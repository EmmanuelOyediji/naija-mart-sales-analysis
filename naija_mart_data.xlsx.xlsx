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Pictures\NAIJA MART PROJECT\"/>
    </mc:Choice>
  </mc:AlternateContent>
  <bookViews>
    <workbookView xWindow="0" yWindow="0" windowWidth="20490" windowHeight="7755" firstSheet="2" activeTab="6"/>
  </bookViews>
  <sheets>
    <sheet name="pivot_branch_revenue" sheetId="7" r:id="rId1"/>
    <sheet name="branches" sheetId="3" r:id="rId2"/>
    <sheet name="products" sheetId="4" r:id="rId3"/>
    <sheet name="customers" sheetId="2" r:id="rId4"/>
    <sheet name="pivot_category_revenue" sheetId="8" r:id="rId5"/>
    <sheet name="pivot_avg_order_value" sheetId="9" r:id="rId6"/>
    <sheet name="pivot_monthly_trend" sheetId="11" r:id="rId7"/>
    <sheet name="transactions" sheetId="1" r:id="rId8"/>
  </sheets>
  <definedNames>
    <definedName name="branches" localSheetId="1">branches!$A$1:$C$5</definedName>
    <definedName name="customers" localSheetId="3">customers!$A$1:$C$221</definedName>
    <definedName name="products" localSheetId="2">products!$A$1:$D$26</definedName>
  </definedNames>
  <calcPr calcId="152511"/>
  <pivotCaches>
    <pivotCache cacheId="22" r:id="rId9"/>
    <pivotCache cacheId="23" r:id="rId10"/>
    <pivotCache cacheId="24" r:id="rId11"/>
  </pivotCaches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2" i="1"/>
  <c r="H823" i="1"/>
  <c r="J823" i="1" s="1"/>
  <c r="H824" i="1"/>
  <c r="J824" i="1" s="1"/>
  <c r="H825" i="1"/>
  <c r="J825" i="1" s="1"/>
  <c r="H826" i="1"/>
  <c r="J826" i="1" s="1"/>
  <c r="H827" i="1"/>
  <c r="J827" i="1" s="1"/>
  <c r="H828" i="1"/>
  <c r="J828" i="1" s="1"/>
  <c r="H829" i="1"/>
  <c r="J829" i="1" s="1"/>
  <c r="H830" i="1"/>
  <c r="J830" i="1" s="1"/>
  <c r="H831" i="1"/>
  <c r="J831" i="1" s="1"/>
  <c r="H832" i="1"/>
  <c r="J832" i="1" s="1"/>
  <c r="H833" i="1"/>
  <c r="J833" i="1" s="1"/>
  <c r="H834" i="1"/>
  <c r="J834" i="1" s="1"/>
  <c r="H835" i="1"/>
  <c r="J835" i="1" s="1"/>
  <c r="H836" i="1"/>
  <c r="J836" i="1" s="1"/>
  <c r="H837" i="1"/>
  <c r="J837" i="1" s="1"/>
  <c r="H838" i="1"/>
  <c r="J838" i="1" s="1"/>
  <c r="H839" i="1"/>
  <c r="J839" i="1" s="1"/>
  <c r="H840" i="1"/>
  <c r="J840" i="1" s="1"/>
  <c r="H841" i="1"/>
  <c r="J841" i="1" s="1"/>
  <c r="H842" i="1"/>
  <c r="J842" i="1" s="1"/>
  <c r="H843" i="1"/>
  <c r="J843" i="1" s="1"/>
  <c r="H844" i="1"/>
  <c r="J844" i="1" s="1"/>
  <c r="H845" i="1"/>
  <c r="J845" i="1" s="1"/>
  <c r="H846" i="1"/>
  <c r="J846" i="1" s="1"/>
  <c r="H847" i="1"/>
  <c r="J847" i="1" s="1"/>
  <c r="H848" i="1"/>
  <c r="J848" i="1" s="1"/>
  <c r="H849" i="1"/>
  <c r="J849" i="1" s="1"/>
  <c r="H850" i="1"/>
  <c r="J850" i="1" s="1"/>
  <c r="H851" i="1"/>
  <c r="J851" i="1" s="1"/>
  <c r="H852" i="1"/>
  <c r="J852" i="1" s="1"/>
  <c r="H853" i="1"/>
  <c r="J853" i="1" s="1"/>
  <c r="H854" i="1"/>
  <c r="J854" i="1" s="1"/>
  <c r="H855" i="1"/>
  <c r="J855" i="1" s="1"/>
  <c r="H856" i="1"/>
  <c r="J856" i="1" s="1"/>
  <c r="H857" i="1"/>
  <c r="J857" i="1" s="1"/>
  <c r="H858" i="1"/>
  <c r="J858" i="1" s="1"/>
  <c r="H859" i="1"/>
  <c r="J859" i="1" s="1"/>
  <c r="H860" i="1"/>
  <c r="J860" i="1" s="1"/>
  <c r="H861" i="1"/>
  <c r="J861" i="1" s="1"/>
  <c r="H862" i="1"/>
  <c r="J862" i="1" s="1"/>
  <c r="H863" i="1"/>
  <c r="J863" i="1" s="1"/>
  <c r="H864" i="1"/>
  <c r="J864" i="1" s="1"/>
  <c r="H865" i="1"/>
  <c r="J865" i="1" s="1"/>
  <c r="H866" i="1"/>
  <c r="J866" i="1" s="1"/>
  <c r="H867" i="1"/>
  <c r="J867" i="1" s="1"/>
  <c r="H868" i="1"/>
  <c r="J868" i="1" s="1"/>
  <c r="H869" i="1"/>
  <c r="J869" i="1" s="1"/>
  <c r="H870" i="1"/>
  <c r="J870" i="1" s="1"/>
  <c r="H871" i="1"/>
  <c r="J871" i="1" s="1"/>
  <c r="H872" i="1"/>
  <c r="J872" i="1" s="1"/>
  <c r="H873" i="1"/>
  <c r="J873" i="1" s="1"/>
  <c r="H874" i="1"/>
  <c r="J874" i="1" s="1"/>
  <c r="H875" i="1"/>
  <c r="J875" i="1" s="1"/>
  <c r="H876" i="1"/>
  <c r="J876" i="1" s="1"/>
  <c r="H877" i="1"/>
  <c r="J877" i="1" s="1"/>
  <c r="H878" i="1"/>
  <c r="J878" i="1" s="1"/>
  <c r="H879" i="1"/>
  <c r="J879" i="1" s="1"/>
  <c r="H880" i="1"/>
  <c r="J880" i="1" s="1"/>
  <c r="H881" i="1"/>
  <c r="J881" i="1" s="1"/>
  <c r="H882" i="1"/>
  <c r="J882" i="1" s="1"/>
  <c r="H883" i="1"/>
  <c r="J883" i="1" s="1"/>
  <c r="H884" i="1"/>
  <c r="J884" i="1" s="1"/>
  <c r="H885" i="1"/>
  <c r="J885" i="1" s="1"/>
  <c r="H886" i="1"/>
  <c r="J886" i="1" s="1"/>
  <c r="H887" i="1"/>
  <c r="J887" i="1" s="1"/>
  <c r="H888" i="1"/>
  <c r="J888" i="1" s="1"/>
  <c r="H889" i="1"/>
  <c r="J889" i="1" s="1"/>
  <c r="H890" i="1"/>
  <c r="J890" i="1" s="1"/>
  <c r="H891" i="1"/>
  <c r="J891" i="1" s="1"/>
  <c r="H892" i="1"/>
  <c r="J892" i="1" s="1"/>
  <c r="H893" i="1"/>
  <c r="J893" i="1" s="1"/>
  <c r="H894" i="1"/>
  <c r="J894" i="1" s="1"/>
  <c r="H895" i="1"/>
  <c r="J895" i="1" s="1"/>
  <c r="H896" i="1"/>
  <c r="J896" i="1" s="1"/>
  <c r="H897" i="1"/>
  <c r="J897" i="1" s="1"/>
  <c r="H898" i="1"/>
  <c r="J898" i="1" s="1"/>
  <c r="H899" i="1"/>
  <c r="J899" i="1" s="1"/>
  <c r="H900" i="1"/>
  <c r="J900" i="1" s="1"/>
  <c r="H901" i="1"/>
  <c r="J901" i="1" s="1"/>
  <c r="H902" i="1"/>
  <c r="J902" i="1" s="1"/>
  <c r="H903" i="1"/>
  <c r="J903" i="1" s="1"/>
  <c r="H904" i="1"/>
  <c r="J904" i="1" s="1"/>
  <c r="H905" i="1"/>
  <c r="J905" i="1" s="1"/>
  <c r="H906" i="1"/>
  <c r="J906" i="1" s="1"/>
  <c r="H907" i="1"/>
  <c r="J907" i="1" s="1"/>
  <c r="H908" i="1"/>
  <c r="J908" i="1" s="1"/>
  <c r="H909" i="1"/>
  <c r="J909" i="1" s="1"/>
  <c r="H910" i="1"/>
  <c r="J910" i="1" s="1"/>
  <c r="H911" i="1"/>
  <c r="J911" i="1" s="1"/>
  <c r="H912" i="1"/>
  <c r="J912" i="1" s="1"/>
  <c r="H913" i="1"/>
  <c r="J913" i="1" s="1"/>
  <c r="H914" i="1"/>
  <c r="J914" i="1" s="1"/>
  <c r="H915" i="1"/>
  <c r="J915" i="1" s="1"/>
  <c r="H916" i="1"/>
  <c r="J916" i="1" s="1"/>
  <c r="H917" i="1"/>
  <c r="J917" i="1" s="1"/>
  <c r="H918" i="1"/>
  <c r="J918" i="1" s="1"/>
  <c r="H919" i="1"/>
  <c r="J919" i="1" s="1"/>
  <c r="H920" i="1"/>
  <c r="J920" i="1" s="1"/>
  <c r="H921" i="1"/>
  <c r="J921" i="1" s="1"/>
  <c r="H922" i="1"/>
  <c r="J922" i="1" s="1"/>
  <c r="H923" i="1"/>
  <c r="J923" i="1" s="1"/>
  <c r="H924" i="1"/>
  <c r="J924" i="1" s="1"/>
  <c r="H925" i="1"/>
  <c r="J925" i="1" s="1"/>
  <c r="H926" i="1"/>
  <c r="J926" i="1" s="1"/>
  <c r="H927" i="1"/>
  <c r="J927" i="1" s="1"/>
  <c r="H928" i="1"/>
  <c r="J928" i="1" s="1"/>
  <c r="H929" i="1"/>
  <c r="J929" i="1" s="1"/>
  <c r="H930" i="1"/>
  <c r="J930" i="1" s="1"/>
  <c r="H931" i="1"/>
  <c r="J931" i="1" s="1"/>
  <c r="H932" i="1"/>
  <c r="J932" i="1" s="1"/>
  <c r="H933" i="1"/>
  <c r="J933" i="1" s="1"/>
  <c r="H934" i="1"/>
  <c r="J934" i="1" s="1"/>
  <c r="H935" i="1"/>
  <c r="J935" i="1" s="1"/>
  <c r="H936" i="1"/>
  <c r="J936" i="1" s="1"/>
  <c r="H937" i="1"/>
  <c r="J937" i="1" s="1"/>
  <c r="H938" i="1"/>
  <c r="J938" i="1" s="1"/>
  <c r="H939" i="1"/>
  <c r="J939" i="1" s="1"/>
  <c r="H940" i="1"/>
  <c r="J940" i="1" s="1"/>
  <c r="H941" i="1"/>
  <c r="J941" i="1" s="1"/>
  <c r="H942" i="1"/>
  <c r="J942" i="1" s="1"/>
  <c r="H943" i="1"/>
  <c r="J943" i="1" s="1"/>
  <c r="H944" i="1"/>
  <c r="J944" i="1" s="1"/>
  <c r="H945" i="1"/>
  <c r="J945" i="1" s="1"/>
  <c r="H946" i="1"/>
  <c r="J946" i="1" s="1"/>
  <c r="H947" i="1"/>
  <c r="J947" i="1" s="1"/>
  <c r="H948" i="1"/>
  <c r="J948" i="1" s="1"/>
  <c r="H949" i="1"/>
  <c r="J949" i="1" s="1"/>
  <c r="H950" i="1"/>
  <c r="J950" i="1" s="1"/>
  <c r="H951" i="1"/>
  <c r="J951" i="1" s="1"/>
  <c r="H952" i="1"/>
  <c r="J952" i="1" s="1"/>
  <c r="H953" i="1"/>
  <c r="J953" i="1" s="1"/>
  <c r="H954" i="1"/>
  <c r="J954" i="1" s="1"/>
  <c r="H955" i="1"/>
  <c r="J955" i="1" s="1"/>
  <c r="H956" i="1"/>
  <c r="J956" i="1" s="1"/>
  <c r="H957" i="1"/>
  <c r="J957" i="1" s="1"/>
  <c r="H958" i="1"/>
  <c r="J958" i="1" s="1"/>
  <c r="H959" i="1"/>
  <c r="J959" i="1" s="1"/>
  <c r="H960" i="1"/>
  <c r="J960" i="1" s="1"/>
  <c r="H961" i="1"/>
  <c r="J961" i="1" s="1"/>
  <c r="H962" i="1"/>
  <c r="J962" i="1" s="1"/>
  <c r="H963" i="1"/>
  <c r="J963" i="1" s="1"/>
  <c r="H964" i="1"/>
  <c r="J964" i="1" s="1"/>
  <c r="H965" i="1"/>
  <c r="J965" i="1" s="1"/>
  <c r="H966" i="1"/>
  <c r="J966" i="1" s="1"/>
  <c r="H967" i="1"/>
  <c r="J967" i="1" s="1"/>
  <c r="H968" i="1"/>
  <c r="J968" i="1" s="1"/>
  <c r="H969" i="1"/>
  <c r="J969" i="1" s="1"/>
  <c r="H970" i="1"/>
  <c r="J970" i="1" s="1"/>
  <c r="H971" i="1"/>
  <c r="J971" i="1" s="1"/>
  <c r="H972" i="1"/>
  <c r="J972" i="1" s="1"/>
  <c r="H973" i="1"/>
  <c r="J973" i="1" s="1"/>
  <c r="H974" i="1"/>
  <c r="J974" i="1" s="1"/>
  <c r="H975" i="1"/>
  <c r="J975" i="1" s="1"/>
  <c r="H976" i="1"/>
  <c r="J976" i="1" s="1"/>
  <c r="H977" i="1"/>
  <c r="J977" i="1" s="1"/>
  <c r="H978" i="1"/>
  <c r="J978" i="1" s="1"/>
  <c r="H979" i="1"/>
  <c r="J979" i="1" s="1"/>
  <c r="H980" i="1"/>
  <c r="J980" i="1" s="1"/>
  <c r="H981" i="1"/>
  <c r="J981" i="1" s="1"/>
  <c r="H982" i="1"/>
  <c r="J982" i="1" s="1"/>
  <c r="H983" i="1"/>
  <c r="J983" i="1" s="1"/>
  <c r="H984" i="1"/>
  <c r="J984" i="1" s="1"/>
  <c r="H985" i="1"/>
  <c r="J985" i="1" s="1"/>
  <c r="H986" i="1"/>
  <c r="J986" i="1" s="1"/>
  <c r="H987" i="1"/>
  <c r="J987" i="1" s="1"/>
  <c r="H988" i="1"/>
  <c r="J988" i="1" s="1"/>
  <c r="H989" i="1"/>
  <c r="J989" i="1" s="1"/>
  <c r="H990" i="1"/>
  <c r="J990" i="1" s="1"/>
  <c r="H991" i="1"/>
  <c r="J991" i="1" s="1"/>
  <c r="H992" i="1"/>
  <c r="J992" i="1" s="1"/>
  <c r="H993" i="1"/>
  <c r="J993" i="1" s="1"/>
  <c r="H994" i="1"/>
  <c r="J994" i="1" s="1"/>
  <c r="H995" i="1"/>
  <c r="J995" i="1" s="1"/>
  <c r="H996" i="1"/>
  <c r="J996" i="1" s="1"/>
  <c r="H997" i="1"/>
  <c r="J997" i="1" s="1"/>
  <c r="H998" i="1"/>
  <c r="J998" i="1" s="1"/>
  <c r="H999" i="1"/>
  <c r="J999" i="1" s="1"/>
  <c r="H1000" i="1"/>
  <c r="J1000" i="1" s="1"/>
  <c r="H1001" i="1"/>
  <c r="J1001" i="1" s="1"/>
  <c r="H1002" i="1"/>
  <c r="J1002" i="1" s="1"/>
  <c r="H1003" i="1"/>
  <c r="J1003" i="1" s="1"/>
  <c r="H1004" i="1"/>
  <c r="J1004" i="1" s="1"/>
  <c r="H1005" i="1"/>
  <c r="J1005" i="1" s="1"/>
  <c r="H1006" i="1"/>
  <c r="J1006" i="1" s="1"/>
  <c r="H1007" i="1"/>
  <c r="J1007" i="1" s="1"/>
  <c r="H1008" i="1"/>
  <c r="J1008" i="1" s="1"/>
  <c r="H1009" i="1"/>
  <c r="J1009" i="1" s="1"/>
  <c r="H1010" i="1"/>
  <c r="J1010" i="1" s="1"/>
  <c r="H1011" i="1"/>
  <c r="J1011" i="1" s="1"/>
  <c r="H1012" i="1"/>
  <c r="J1012" i="1" s="1"/>
  <c r="H1013" i="1"/>
  <c r="J1013" i="1" s="1"/>
  <c r="H1014" i="1"/>
  <c r="J1014" i="1" s="1"/>
  <c r="H1015" i="1"/>
  <c r="J1015" i="1" s="1"/>
  <c r="H1016" i="1"/>
  <c r="J1016" i="1" s="1"/>
  <c r="H1017" i="1"/>
  <c r="J1017" i="1" s="1"/>
  <c r="H1018" i="1"/>
  <c r="J1018" i="1" s="1"/>
  <c r="H1019" i="1"/>
  <c r="J1019" i="1" s="1"/>
  <c r="H1020" i="1"/>
  <c r="J1020" i="1" s="1"/>
  <c r="H1021" i="1"/>
  <c r="J1021" i="1" s="1"/>
  <c r="H1022" i="1"/>
  <c r="J1022" i="1" s="1"/>
  <c r="H1023" i="1"/>
  <c r="J1023" i="1" s="1"/>
  <c r="H1024" i="1"/>
  <c r="J1024" i="1" s="1"/>
  <c r="H1025" i="1"/>
  <c r="J1025" i="1" s="1"/>
  <c r="H1026" i="1"/>
  <c r="J1026" i="1" s="1"/>
  <c r="H1027" i="1"/>
  <c r="J1027" i="1" s="1"/>
  <c r="H1028" i="1"/>
  <c r="J1028" i="1" s="1"/>
  <c r="H1029" i="1"/>
  <c r="J1029" i="1" s="1"/>
  <c r="H1030" i="1"/>
  <c r="J1030" i="1" s="1"/>
  <c r="H1031" i="1"/>
  <c r="J1031" i="1" s="1"/>
  <c r="H1032" i="1"/>
  <c r="J1032" i="1" s="1"/>
  <c r="H1033" i="1"/>
  <c r="J1033" i="1" s="1"/>
  <c r="H1034" i="1"/>
  <c r="J1034" i="1" s="1"/>
  <c r="H1035" i="1"/>
  <c r="J1035" i="1" s="1"/>
  <c r="H1036" i="1"/>
  <c r="J1036" i="1" s="1"/>
  <c r="H1037" i="1"/>
  <c r="J1037" i="1" s="1"/>
  <c r="H1038" i="1"/>
  <c r="J1038" i="1" s="1"/>
  <c r="H1039" i="1"/>
  <c r="J1039" i="1" s="1"/>
  <c r="H1040" i="1"/>
  <c r="J1040" i="1" s="1"/>
  <c r="H1041" i="1"/>
  <c r="J1041" i="1" s="1"/>
  <c r="H1042" i="1"/>
  <c r="J1042" i="1" s="1"/>
  <c r="H1043" i="1"/>
  <c r="J1043" i="1" s="1"/>
  <c r="H1044" i="1"/>
  <c r="J1044" i="1" s="1"/>
  <c r="H1045" i="1"/>
  <c r="J1045" i="1" s="1"/>
  <c r="H1046" i="1"/>
  <c r="J1046" i="1" s="1"/>
  <c r="H1047" i="1"/>
  <c r="J1047" i="1" s="1"/>
  <c r="H1048" i="1"/>
  <c r="J1048" i="1" s="1"/>
  <c r="H1049" i="1"/>
  <c r="J1049" i="1" s="1"/>
  <c r="H1050" i="1"/>
  <c r="J1050" i="1" s="1"/>
  <c r="H1051" i="1"/>
  <c r="J1051" i="1" s="1"/>
  <c r="H1052" i="1"/>
  <c r="J1052" i="1" s="1"/>
  <c r="H1053" i="1"/>
  <c r="J1053" i="1" s="1"/>
  <c r="H1054" i="1"/>
  <c r="J1054" i="1" s="1"/>
  <c r="H1055" i="1"/>
  <c r="J1055" i="1" s="1"/>
  <c r="H1056" i="1"/>
  <c r="J1056" i="1" s="1"/>
  <c r="H1057" i="1"/>
  <c r="J1057" i="1" s="1"/>
  <c r="H1058" i="1"/>
  <c r="J1058" i="1" s="1"/>
  <c r="H1059" i="1"/>
  <c r="J1059" i="1" s="1"/>
  <c r="H1060" i="1"/>
  <c r="J1060" i="1" s="1"/>
  <c r="H1061" i="1"/>
  <c r="J1061" i="1" s="1"/>
  <c r="H1062" i="1"/>
  <c r="J1062" i="1" s="1"/>
  <c r="H1063" i="1"/>
  <c r="J1063" i="1" s="1"/>
  <c r="H1064" i="1"/>
  <c r="J1064" i="1" s="1"/>
  <c r="H1065" i="1"/>
  <c r="J1065" i="1" s="1"/>
  <c r="H1066" i="1"/>
  <c r="J1066" i="1" s="1"/>
  <c r="H1067" i="1"/>
  <c r="J1067" i="1" s="1"/>
  <c r="H1068" i="1"/>
  <c r="J1068" i="1" s="1"/>
  <c r="H1069" i="1"/>
  <c r="J1069" i="1" s="1"/>
  <c r="H1070" i="1"/>
  <c r="J1070" i="1" s="1"/>
  <c r="H1071" i="1"/>
  <c r="J1071" i="1" s="1"/>
  <c r="H1072" i="1"/>
  <c r="J1072" i="1" s="1"/>
  <c r="H1073" i="1"/>
  <c r="J1073" i="1" s="1"/>
  <c r="H1074" i="1"/>
  <c r="J1074" i="1" s="1"/>
  <c r="H1075" i="1"/>
  <c r="J1075" i="1" s="1"/>
  <c r="H1076" i="1"/>
  <c r="J1076" i="1" s="1"/>
  <c r="H1077" i="1"/>
  <c r="J1077" i="1" s="1"/>
  <c r="H1078" i="1"/>
  <c r="J1078" i="1" s="1"/>
  <c r="H1079" i="1"/>
  <c r="J1079" i="1" s="1"/>
  <c r="H1080" i="1"/>
  <c r="J1080" i="1" s="1"/>
  <c r="H1081" i="1"/>
  <c r="J1081" i="1" s="1"/>
  <c r="H1082" i="1"/>
  <c r="J1082" i="1" s="1"/>
  <c r="H1083" i="1"/>
  <c r="J1083" i="1" s="1"/>
  <c r="H1084" i="1"/>
  <c r="J1084" i="1" s="1"/>
  <c r="H1085" i="1"/>
  <c r="J1085" i="1" s="1"/>
  <c r="H1086" i="1"/>
  <c r="J1086" i="1" s="1"/>
  <c r="H1087" i="1"/>
  <c r="J1087" i="1" s="1"/>
  <c r="H1088" i="1"/>
  <c r="J1088" i="1" s="1"/>
  <c r="H1089" i="1"/>
  <c r="J1089" i="1" s="1"/>
  <c r="H1090" i="1"/>
  <c r="J1090" i="1" s="1"/>
  <c r="H1091" i="1"/>
  <c r="J1091" i="1" s="1"/>
  <c r="H1092" i="1"/>
  <c r="J1092" i="1" s="1"/>
  <c r="H1093" i="1"/>
  <c r="J1093" i="1" s="1"/>
  <c r="H1094" i="1"/>
  <c r="J1094" i="1" s="1"/>
  <c r="H1095" i="1"/>
  <c r="J1095" i="1" s="1"/>
  <c r="H1096" i="1"/>
  <c r="J1096" i="1" s="1"/>
  <c r="H1097" i="1"/>
  <c r="J1097" i="1" s="1"/>
  <c r="H1098" i="1"/>
  <c r="J1098" i="1" s="1"/>
  <c r="H1099" i="1"/>
  <c r="J1099" i="1" s="1"/>
  <c r="H1100" i="1"/>
  <c r="J1100" i="1" s="1"/>
  <c r="H1101" i="1"/>
  <c r="J1101" i="1" s="1"/>
  <c r="H1102" i="1"/>
  <c r="J1102" i="1" s="1"/>
  <c r="H1103" i="1"/>
  <c r="J1103" i="1" s="1"/>
  <c r="H1104" i="1"/>
  <c r="J1104" i="1" s="1"/>
  <c r="H1105" i="1"/>
  <c r="J1105" i="1" s="1"/>
  <c r="H1106" i="1"/>
  <c r="J1106" i="1" s="1"/>
  <c r="H1107" i="1"/>
  <c r="J1107" i="1" s="1"/>
  <c r="H1108" i="1"/>
  <c r="J1108" i="1" s="1"/>
  <c r="H1109" i="1"/>
  <c r="J1109" i="1" s="1"/>
  <c r="H1110" i="1"/>
  <c r="J1110" i="1" s="1"/>
  <c r="H1111" i="1"/>
  <c r="J1111" i="1" s="1"/>
  <c r="H1112" i="1"/>
  <c r="J1112" i="1" s="1"/>
  <c r="H1113" i="1"/>
  <c r="J1113" i="1" s="1"/>
  <c r="H1114" i="1"/>
  <c r="J1114" i="1" s="1"/>
  <c r="H1115" i="1"/>
  <c r="J1115" i="1" s="1"/>
  <c r="H1116" i="1"/>
  <c r="J1116" i="1" s="1"/>
  <c r="H1117" i="1"/>
  <c r="J1117" i="1" s="1"/>
  <c r="H1118" i="1"/>
  <c r="J1118" i="1" s="1"/>
  <c r="H1119" i="1"/>
  <c r="J1119" i="1" s="1"/>
  <c r="H1120" i="1"/>
  <c r="J1120" i="1" s="1"/>
  <c r="H1121" i="1"/>
  <c r="J1121" i="1" s="1"/>
  <c r="H1122" i="1"/>
  <c r="J1122" i="1" s="1"/>
  <c r="H1123" i="1"/>
  <c r="J1123" i="1" s="1"/>
  <c r="H1124" i="1"/>
  <c r="J1124" i="1" s="1"/>
  <c r="H1125" i="1"/>
  <c r="J1125" i="1" s="1"/>
  <c r="H1126" i="1"/>
  <c r="J1126" i="1" s="1"/>
  <c r="H1127" i="1"/>
  <c r="J1127" i="1" s="1"/>
  <c r="H1128" i="1"/>
  <c r="J1128" i="1" s="1"/>
  <c r="H1129" i="1"/>
  <c r="J1129" i="1" s="1"/>
  <c r="H1130" i="1"/>
  <c r="J1130" i="1" s="1"/>
  <c r="H1131" i="1"/>
  <c r="J1131" i="1" s="1"/>
  <c r="H1132" i="1"/>
  <c r="J1132" i="1" s="1"/>
  <c r="H1133" i="1"/>
  <c r="J1133" i="1" s="1"/>
  <c r="H1134" i="1"/>
  <c r="J1134" i="1" s="1"/>
  <c r="H1135" i="1"/>
  <c r="J1135" i="1" s="1"/>
  <c r="H1136" i="1"/>
  <c r="J1136" i="1" s="1"/>
  <c r="H1137" i="1"/>
  <c r="J1137" i="1" s="1"/>
  <c r="H1138" i="1"/>
  <c r="J1138" i="1" s="1"/>
  <c r="H1139" i="1"/>
  <c r="J1139" i="1" s="1"/>
  <c r="H1140" i="1"/>
  <c r="J1140" i="1" s="1"/>
  <c r="H1141" i="1"/>
  <c r="J1141" i="1" s="1"/>
  <c r="H1142" i="1"/>
  <c r="J1142" i="1" s="1"/>
  <c r="H1143" i="1"/>
  <c r="J1143" i="1" s="1"/>
  <c r="H1144" i="1"/>
  <c r="J1144" i="1" s="1"/>
  <c r="H1145" i="1"/>
  <c r="J1145" i="1" s="1"/>
  <c r="H1146" i="1"/>
  <c r="J1146" i="1" s="1"/>
  <c r="H1147" i="1"/>
  <c r="J1147" i="1" s="1"/>
  <c r="H1148" i="1"/>
  <c r="J1148" i="1" s="1"/>
  <c r="H1149" i="1"/>
  <c r="J1149" i="1" s="1"/>
  <c r="H1150" i="1"/>
  <c r="J1150" i="1" s="1"/>
  <c r="H1151" i="1"/>
  <c r="J1151" i="1" s="1"/>
  <c r="H1152" i="1"/>
  <c r="J1152" i="1" s="1"/>
  <c r="H1153" i="1"/>
  <c r="J1153" i="1" s="1"/>
  <c r="H1154" i="1"/>
  <c r="J1154" i="1" s="1"/>
  <c r="H1155" i="1"/>
  <c r="J1155" i="1" s="1"/>
  <c r="H1156" i="1"/>
  <c r="J1156" i="1" s="1"/>
  <c r="H1157" i="1"/>
  <c r="J1157" i="1" s="1"/>
  <c r="H1158" i="1"/>
  <c r="J1158" i="1" s="1"/>
  <c r="H1159" i="1"/>
  <c r="J1159" i="1" s="1"/>
  <c r="H1160" i="1"/>
  <c r="J1160" i="1" s="1"/>
  <c r="H1161" i="1"/>
  <c r="J1161" i="1" s="1"/>
  <c r="H1162" i="1"/>
  <c r="J1162" i="1" s="1"/>
  <c r="H1163" i="1"/>
  <c r="J1163" i="1" s="1"/>
  <c r="H1164" i="1"/>
  <c r="J1164" i="1" s="1"/>
  <c r="H1165" i="1"/>
  <c r="J1165" i="1" s="1"/>
  <c r="H1166" i="1"/>
  <c r="J1166" i="1" s="1"/>
  <c r="H1167" i="1"/>
  <c r="J1167" i="1" s="1"/>
  <c r="H1168" i="1"/>
  <c r="J1168" i="1" s="1"/>
  <c r="H1169" i="1"/>
  <c r="J1169" i="1" s="1"/>
  <c r="H1170" i="1"/>
  <c r="J1170" i="1" s="1"/>
  <c r="H1171" i="1"/>
  <c r="J1171" i="1" s="1"/>
  <c r="H1172" i="1"/>
  <c r="J1172" i="1" s="1"/>
  <c r="H1173" i="1"/>
  <c r="J1173" i="1" s="1"/>
  <c r="H1174" i="1"/>
  <c r="J1174" i="1" s="1"/>
  <c r="H1175" i="1"/>
  <c r="J1175" i="1" s="1"/>
  <c r="H1176" i="1"/>
  <c r="J1176" i="1" s="1"/>
  <c r="H1177" i="1"/>
  <c r="J1177" i="1" s="1"/>
  <c r="H1178" i="1"/>
  <c r="J1178" i="1" s="1"/>
  <c r="H1179" i="1"/>
  <c r="J1179" i="1" s="1"/>
  <c r="H1180" i="1"/>
  <c r="J1180" i="1" s="1"/>
  <c r="H1181" i="1"/>
  <c r="J1181" i="1" s="1"/>
  <c r="H1182" i="1"/>
  <c r="J1182" i="1" s="1"/>
  <c r="H1183" i="1"/>
  <c r="J1183" i="1" s="1"/>
  <c r="H1184" i="1"/>
  <c r="J1184" i="1" s="1"/>
  <c r="H1185" i="1"/>
  <c r="J1185" i="1" s="1"/>
  <c r="H1186" i="1"/>
  <c r="J1186" i="1" s="1"/>
  <c r="H1187" i="1"/>
  <c r="J1187" i="1" s="1"/>
  <c r="H1188" i="1"/>
  <c r="J1188" i="1" s="1"/>
  <c r="H1189" i="1"/>
  <c r="J1189" i="1" s="1"/>
  <c r="H1190" i="1"/>
  <c r="J1190" i="1" s="1"/>
  <c r="H1191" i="1"/>
  <c r="J1191" i="1" s="1"/>
  <c r="H1192" i="1"/>
  <c r="J1192" i="1" s="1"/>
  <c r="H1193" i="1"/>
  <c r="J1193" i="1" s="1"/>
  <c r="H1194" i="1"/>
  <c r="J1194" i="1" s="1"/>
  <c r="H1195" i="1"/>
  <c r="J1195" i="1" s="1"/>
  <c r="H1196" i="1"/>
  <c r="J1196" i="1" s="1"/>
  <c r="H1197" i="1"/>
  <c r="J1197" i="1" s="1"/>
  <c r="H1198" i="1"/>
  <c r="J1198" i="1" s="1"/>
  <c r="H1199" i="1"/>
  <c r="J1199" i="1" s="1"/>
  <c r="H1200" i="1"/>
  <c r="J1200" i="1" s="1"/>
  <c r="H1201" i="1"/>
  <c r="J1201" i="1" s="1"/>
  <c r="H1202" i="1"/>
  <c r="J1202" i="1" s="1"/>
  <c r="H1203" i="1"/>
  <c r="J1203" i="1" s="1"/>
  <c r="H1204" i="1"/>
  <c r="J1204" i="1" s="1"/>
  <c r="H1205" i="1"/>
  <c r="J1205" i="1" s="1"/>
  <c r="H1206" i="1"/>
  <c r="J1206" i="1" s="1"/>
  <c r="H1207" i="1"/>
  <c r="J1207" i="1" s="1"/>
  <c r="H1208" i="1"/>
  <c r="J1208" i="1" s="1"/>
  <c r="H1209" i="1"/>
  <c r="J1209" i="1" s="1"/>
  <c r="H1210" i="1"/>
  <c r="J1210" i="1" s="1"/>
  <c r="H1211" i="1"/>
  <c r="J1211" i="1" s="1"/>
  <c r="H1212" i="1"/>
  <c r="J1212" i="1" s="1"/>
  <c r="H1213" i="1"/>
  <c r="J1213" i="1" s="1"/>
  <c r="H1214" i="1"/>
  <c r="J1214" i="1" s="1"/>
  <c r="H1215" i="1"/>
  <c r="J1215" i="1" s="1"/>
  <c r="H1216" i="1"/>
  <c r="J1216" i="1" s="1"/>
  <c r="H1217" i="1"/>
  <c r="J1217" i="1" s="1"/>
  <c r="H1218" i="1"/>
  <c r="J1218" i="1" s="1"/>
  <c r="H1219" i="1"/>
  <c r="J1219" i="1" s="1"/>
  <c r="H1220" i="1"/>
  <c r="J1220" i="1" s="1"/>
  <c r="H1221" i="1"/>
  <c r="J1221" i="1" s="1"/>
  <c r="H1222" i="1"/>
  <c r="J1222" i="1" s="1"/>
  <c r="H1223" i="1"/>
  <c r="J1223" i="1" s="1"/>
  <c r="H1224" i="1"/>
  <c r="J1224" i="1" s="1"/>
  <c r="H1225" i="1"/>
  <c r="J1225" i="1" s="1"/>
  <c r="H1226" i="1"/>
  <c r="J1226" i="1" s="1"/>
  <c r="H1227" i="1"/>
  <c r="J1227" i="1" s="1"/>
  <c r="H1228" i="1"/>
  <c r="J1228" i="1" s="1"/>
  <c r="H1229" i="1"/>
  <c r="J1229" i="1" s="1"/>
  <c r="H1230" i="1"/>
  <c r="J1230" i="1" s="1"/>
  <c r="H1231" i="1"/>
  <c r="J1231" i="1" s="1"/>
  <c r="H1232" i="1"/>
  <c r="J1232" i="1" s="1"/>
  <c r="H1233" i="1"/>
  <c r="J1233" i="1" s="1"/>
  <c r="H1234" i="1"/>
  <c r="J1234" i="1" s="1"/>
  <c r="H1235" i="1"/>
  <c r="J1235" i="1" s="1"/>
  <c r="H1236" i="1"/>
  <c r="J1236" i="1" s="1"/>
  <c r="H1237" i="1"/>
  <c r="J1237" i="1" s="1"/>
  <c r="H1238" i="1"/>
  <c r="J1238" i="1" s="1"/>
  <c r="H1239" i="1"/>
  <c r="J1239" i="1" s="1"/>
  <c r="H1240" i="1"/>
  <c r="J1240" i="1" s="1"/>
  <c r="H1241" i="1"/>
  <c r="J1241" i="1" s="1"/>
  <c r="H1242" i="1"/>
  <c r="J1242" i="1" s="1"/>
  <c r="H1243" i="1"/>
  <c r="J1243" i="1" s="1"/>
  <c r="H1244" i="1"/>
  <c r="J1244" i="1" s="1"/>
  <c r="H1245" i="1"/>
  <c r="J1245" i="1" s="1"/>
  <c r="H1246" i="1"/>
  <c r="J1246" i="1" s="1"/>
  <c r="H1247" i="1"/>
  <c r="J1247" i="1" s="1"/>
  <c r="H1248" i="1"/>
  <c r="J1248" i="1" s="1"/>
  <c r="H1249" i="1"/>
  <c r="J1249" i="1" s="1"/>
  <c r="H1250" i="1"/>
  <c r="J1250" i="1" s="1"/>
  <c r="H1251" i="1"/>
  <c r="J1251" i="1" s="1"/>
  <c r="H1252" i="1"/>
  <c r="J1252" i="1" s="1"/>
  <c r="H1253" i="1"/>
  <c r="J1253" i="1" s="1"/>
  <c r="H1254" i="1"/>
  <c r="J1254" i="1" s="1"/>
  <c r="H1255" i="1"/>
  <c r="J1255" i="1" s="1"/>
  <c r="H1256" i="1"/>
  <c r="J1256" i="1" s="1"/>
  <c r="H1257" i="1"/>
  <c r="J1257" i="1" s="1"/>
  <c r="H1258" i="1"/>
  <c r="J1258" i="1" s="1"/>
  <c r="H1259" i="1"/>
  <c r="J1259" i="1" s="1"/>
  <c r="H1260" i="1"/>
  <c r="J1260" i="1" s="1"/>
  <c r="H1261" i="1"/>
  <c r="J1261" i="1" s="1"/>
  <c r="H1262" i="1"/>
  <c r="J1262" i="1" s="1"/>
  <c r="H1263" i="1"/>
  <c r="J1263" i="1" s="1"/>
  <c r="H1264" i="1"/>
  <c r="J1264" i="1" s="1"/>
  <c r="H1265" i="1"/>
  <c r="J1265" i="1" s="1"/>
  <c r="H1266" i="1"/>
  <c r="J1266" i="1" s="1"/>
  <c r="H1267" i="1"/>
  <c r="J1267" i="1" s="1"/>
  <c r="H1268" i="1"/>
  <c r="J1268" i="1" s="1"/>
  <c r="H1269" i="1"/>
  <c r="J1269" i="1" s="1"/>
  <c r="H1270" i="1"/>
  <c r="J1270" i="1" s="1"/>
  <c r="H1271" i="1"/>
  <c r="J1271" i="1" s="1"/>
  <c r="H1272" i="1"/>
  <c r="J1272" i="1" s="1"/>
  <c r="H1273" i="1"/>
  <c r="J1273" i="1" s="1"/>
  <c r="H1274" i="1"/>
  <c r="J1274" i="1" s="1"/>
  <c r="H1275" i="1"/>
  <c r="J1275" i="1" s="1"/>
  <c r="H1276" i="1"/>
  <c r="J1276" i="1" s="1"/>
  <c r="H1277" i="1"/>
  <c r="J1277" i="1" s="1"/>
  <c r="H1278" i="1"/>
  <c r="J1278" i="1" s="1"/>
  <c r="H1279" i="1"/>
  <c r="J1279" i="1" s="1"/>
  <c r="H1280" i="1"/>
  <c r="J1280" i="1" s="1"/>
  <c r="H1281" i="1"/>
  <c r="J1281" i="1" s="1"/>
  <c r="H1282" i="1"/>
  <c r="J1282" i="1" s="1"/>
  <c r="H1283" i="1"/>
  <c r="J1283" i="1" s="1"/>
  <c r="H1284" i="1"/>
  <c r="J1284" i="1" s="1"/>
  <c r="H1285" i="1"/>
  <c r="J1285" i="1" s="1"/>
  <c r="H1286" i="1"/>
  <c r="J1286" i="1" s="1"/>
  <c r="H1287" i="1"/>
  <c r="J1287" i="1" s="1"/>
  <c r="H1288" i="1"/>
  <c r="J1288" i="1" s="1"/>
  <c r="H1289" i="1"/>
  <c r="J1289" i="1" s="1"/>
  <c r="H1290" i="1"/>
  <c r="J1290" i="1" s="1"/>
  <c r="H1291" i="1"/>
  <c r="J1291" i="1" s="1"/>
  <c r="H1292" i="1"/>
  <c r="J1292" i="1" s="1"/>
  <c r="H1293" i="1"/>
  <c r="J1293" i="1" s="1"/>
  <c r="H1294" i="1"/>
  <c r="J1294" i="1" s="1"/>
  <c r="H1295" i="1"/>
  <c r="J1295" i="1" s="1"/>
  <c r="H1296" i="1"/>
  <c r="J1296" i="1" s="1"/>
  <c r="H1297" i="1"/>
  <c r="J1297" i="1" s="1"/>
  <c r="H1298" i="1"/>
  <c r="J1298" i="1" s="1"/>
  <c r="H1299" i="1"/>
  <c r="J1299" i="1" s="1"/>
  <c r="H1300" i="1"/>
  <c r="J1300" i="1" s="1"/>
  <c r="H1301" i="1"/>
  <c r="J1301" i="1" s="1"/>
  <c r="H1302" i="1"/>
  <c r="J1302" i="1" s="1"/>
  <c r="H1303" i="1"/>
  <c r="J1303" i="1" s="1"/>
  <c r="H1304" i="1"/>
  <c r="J1304" i="1" s="1"/>
  <c r="H1305" i="1"/>
  <c r="J1305" i="1" s="1"/>
  <c r="H1306" i="1"/>
  <c r="J1306" i="1" s="1"/>
  <c r="H1307" i="1"/>
  <c r="J1307" i="1" s="1"/>
  <c r="H1308" i="1"/>
  <c r="J1308" i="1" s="1"/>
  <c r="H1309" i="1"/>
  <c r="J1309" i="1" s="1"/>
  <c r="H1310" i="1"/>
  <c r="J1310" i="1" s="1"/>
  <c r="H1311" i="1"/>
  <c r="J1311" i="1" s="1"/>
  <c r="H1312" i="1"/>
  <c r="J1312" i="1" s="1"/>
  <c r="H1313" i="1"/>
  <c r="J1313" i="1" s="1"/>
  <c r="H1314" i="1"/>
  <c r="J1314" i="1" s="1"/>
  <c r="H1315" i="1"/>
  <c r="J1315" i="1" s="1"/>
  <c r="H1316" i="1"/>
  <c r="J1316" i="1" s="1"/>
  <c r="H1317" i="1"/>
  <c r="J1317" i="1" s="1"/>
  <c r="H1318" i="1"/>
  <c r="J1318" i="1" s="1"/>
  <c r="H1319" i="1"/>
  <c r="J1319" i="1" s="1"/>
  <c r="H1320" i="1"/>
  <c r="J1320" i="1" s="1"/>
  <c r="H1321" i="1"/>
  <c r="J1321" i="1" s="1"/>
  <c r="H1322" i="1"/>
  <c r="J1322" i="1" s="1"/>
  <c r="H1323" i="1"/>
  <c r="J1323" i="1" s="1"/>
  <c r="H1324" i="1"/>
  <c r="J1324" i="1" s="1"/>
  <c r="H1325" i="1"/>
  <c r="J1325" i="1" s="1"/>
  <c r="H1326" i="1"/>
  <c r="J1326" i="1" s="1"/>
  <c r="H1327" i="1"/>
  <c r="J1327" i="1" s="1"/>
  <c r="H1328" i="1"/>
  <c r="J1328" i="1" s="1"/>
  <c r="H1329" i="1"/>
  <c r="J1329" i="1" s="1"/>
  <c r="H1330" i="1"/>
  <c r="J1330" i="1" s="1"/>
  <c r="H1331" i="1"/>
  <c r="J1331" i="1" s="1"/>
  <c r="H1332" i="1"/>
  <c r="J1332" i="1" s="1"/>
  <c r="H1333" i="1"/>
  <c r="J1333" i="1" s="1"/>
  <c r="H1334" i="1"/>
  <c r="J1334" i="1" s="1"/>
  <c r="H1335" i="1"/>
  <c r="J1335" i="1" s="1"/>
  <c r="H1336" i="1"/>
  <c r="J1336" i="1" s="1"/>
  <c r="H1337" i="1"/>
  <c r="J1337" i="1" s="1"/>
  <c r="H1338" i="1"/>
  <c r="J1338" i="1" s="1"/>
  <c r="H1339" i="1"/>
  <c r="J1339" i="1" s="1"/>
  <c r="H1340" i="1"/>
  <c r="J1340" i="1" s="1"/>
  <c r="H1341" i="1"/>
  <c r="J1341" i="1" s="1"/>
  <c r="H1342" i="1"/>
  <c r="J1342" i="1" s="1"/>
  <c r="H1343" i="1"/>
  <c r="J1343" i="1" s="1"/>
  <c r="H1344" i="1"/>
  <c r="J1344" i="1" s="1"/>
  <c r="H1345" i="1"/>
  <c r="J1345" i="1" s="1"/>
  <c r="H1346" i="1"/>
  <c r="J1346" i="1" s="1"/>
  <c r="H1347" i="1"/>
  <c r="J1347" i="1" s="1"/>
  <c r="H1348" i="1"/>
  <c r="J1348" i="1" s="1"/>
  <c r="H1349" i="1"/>
  <c r="J1349" i="1" s="1"/>
  <c r="H1350" i="1"/>
  <c r="J1350" i="1" s="1"/>
  <c r="H1351" i="1"/>
  <c r="J1351" i="1" s="1"/>
  <c r="H1352" i="1"/>
  <c r="J1352" i="1" s="1"/>
  <c r="H1353" i="1"/>
  <c r="J1353" i="1" s="1"/>
  <c r="H1354" i="1"/>
  <c r="J1354" i="1" s="1"/>
  <c r="H1355" i="1"/>
  <c r="J1355" i="1" s="1"/>
  <c r="H1356" i="1"/>
  <c r="J1356" i="1" s="1"/>
  <c r="H1357" i="1"/>
  <c r="J1357" i="1" s="1"/>
  <c r="H1358" i="1"/>
  <c r="J1358" i="1" s="1"/>
  <c r="H1359" i="1"/>
  <c r="J1359" i="1" s="1"/>
  <c r="H1360" i="1"/>
  <c r="J1360" i="1" s="1"/>
  <c r="H1361" i="1"/>
  <c r="J1361" i="1" s="1"/>
  <c r="H1362" i="1"/>
  <c r="J1362" i="1" s="1"/>
  <c r="H1363" i="1"/>
  <c r="J1363" i="1" s="1"/>
  <c r="H1364" i="1"/>
  <c r="J1364" i="1" s="1"/>
  <c r="H1365" i="1"/>
  <c r="J1365" i="1" s="1"/>
  <c r="H1366" i="1"/>
  <c r="J1366" i="1" s="1"/>
  <c r="H1367" i="1"/>
  <c r="J1367" i="1" s="1"/>
  <c r="H1368" i="1"/>
  <c r="J1368" i="1" s="1"/>
  <c r="H1369" i="1"/>
  <c r="J1369" i="1" s="1"/>
  <c r="H1370" i="1"/>
  <c r="J1370" i="1" s="1"/>
  <c r="H1371" i="1"/>
  <c r="J1371" i="1" s="1"/>
  <c r="H1372" i="1"/>
  <c r="J1372" i="1" s="1"/>
  <c r="H1373" i="1"/>
  <c r="J1373" i="1" s="1"/>
  <c r="H1374" i="1"/>
  <c r="J1374" i="1" s="1"/>
  <c r="H1375" i="1"/>
  <c r="J1375" i="1" s="1"/>
  <c r="H1376" i="1"/>
  <c r="J1376" i="1" s="1"/>
  <c r="H1377" i="1"/>
  <c r="J1377" i="1" s="1"/>
  <c r="H1378" i="1"/>
  <c r="J1378" i="1" s="1"/>
  <c r="H1379" i="1"/>
  <c r="J1379" i="1" s="1"/>
  <c r="H1380" i="1"/>
  <c r="J1380" i="1" s="1"/>
  <c r="H1381" i="1"/>
  <c r="J1381" i="1" s="1"/>
  <c r="H1382" i="1"/>
  <c r="J1382" i="1" s="1"/>
  <c r="H1383" i="1"/>
  <c r="J1383" i="1" s="1"/>
  <c r="H1384" i="1"/>
  <c r="J1384" i="1" s="1"/>
  <c r="H1385" i="1"/>
  <c r="J1385" i="1" s="1"/>
  <c r="H1386" i="1"/>
  <c r="J1386" i="1" s="1"/>
  <c r="H1387" i="1"/>
  <c r="J1387" i="1" s="1"/>
  <c r="H1388" i="1"/>
  <c r="J1388" i="1" s="1"/>
  <c r="H1389" i="1"/>
  <c r="J1389" i="1" s="1"/>
  <c r="H1390" i="1"/>
  <c r="J1390" i="1" s="1"/>
  <c r="H1391" i="1"/>
  <c r="J1391" i="1" s="1"/>
  <c r="H1392" i="1"/>
  <c r="J1392" i="1" s="1"/>
  <c r="H1393" i="1"/>
  <c r="J1393" i="1" s="1"/>
  <c r="H1394" i="1"/>
  <c r="J1394" i="1" s="1"/>
  <c r="H1395" i="1"/>
  <c r="J1395" i="1" s="1"/>
  <c r="H1396" i="1"/>
  <c r="J1396" i="1" s="1"/>
  <c r="H1397" i="1"/>
  <c r="J1397" i="1" s="1"/>
  <c r="H1398" i="1"/>
  <c r="J1398" i="1" s="1"/>
  <c r="H1399" i="1"/>
  <c r="J1399" i="1" s="1"/>
  <c r="H1400" i="1"/>
  <c r="J1400" i="1" s="1"/>
  <c r="H1401" i="1"/>
  <c r="J1401" i="1" s="1"/>
  <c r="H1402" i="1"/>
  <c r="J1402" i="1" s="1"/>
  <c r="H1403" i="1"/>
  <c r="J1403" i="1" s="1"/>
  <c r="H1404" i="1"/>
  <c r="J1404" i="1" s="1"/>
  <c r="H1405" i="1"/>
  <c r="J1405" i="1" s="1"/>
  <c r="H1406" i="1"/>
  <c r="J1406" i="1" s="1"/>
  <c r="H1407" i="1"/>
  <c r="J1407" i="1" s="1"/>
  <c r="H1408" i="1"/>
  <c r="J1408" i="1" s="1"/>
  <c r="H1409" i="1"/>
  <c r="J1409" i="1" s="1"/>
  <c r="H249" i="1"/>
  <c r="J249" i="1" s="1"/>
  <c r="H250" i="1"/>
  <c r="J250" i="1" s="1"/>
  <c r="H251" i="1"/>
  <c r="J251" i="1" s="1"/>
  <c r="H252" i="1"/>
  <c r="J252" i="1" s="1"/>
  <c r="H253" i="1"/>
  <c r="J253" i="1" s="1"/>
  <c r="H254" i="1"/>
  <c r="J254" i="1" s="1"/>
  <c r="H255" i="1"/>
  <c r="J255" i="1" s="1"/>
  <c r="H256" i="1"/>
  <c r="J256" i="1" s="1"/>
  <c r="H257" i="1"/>
  <c r="J257" i="1" s="1"/>
  <c r="H258" i="1"/>
  <c r="J258" i="1" s="1"/>
  <c r="H259" i="1"/>
  <c r="J259" i="1" s="1"/>
  <c r="H260" i="1"/>
  <c r="J260" i="1" s="1"/>
  <c r="H261" i="1"/>
  <c r="J261" i="1" s="1"/>
  <c r="H262" i="1"/>
  <c r="J262" i="1" s="1"/>
  <c r="H263" i="1"/>
  <c r="J263" i="1" s="1"/>
  <c r="H264" i="1"/>
  <c r="J264" i="1" s="1"/>
  <c r="H265" i="1"/>
  <c r="J265" i="1" s="1"/>
  <c r="H266" i="1"/>
  <c r="J266" i="1" s="1"/>
  <c r="H267" i="1"/>
  <c r="J267" i="1" s="1"/>
  <c r="H268" i="1"/>
  <c r="J268" i="1" s="1"/>
  <c r="H269" i="1"/>
  <c r="J269" i="1" s="1"/>
  <c r="H270" i="1"/>
  <c r="J270" i="1" s="1"/>
  <c r="H271" i="1"/>
  <c r="J271" i="1" s="1"/>
  <c r="H272" i="1"/>
  <c r="J272" i="1" s="1"/>
  <c r="H273" i="1"/>
  <c r="J273" i="1" s="1"/>
  <c r="H274" i="1"/>
  <c r="J274" i="1" s="1"/>
  <c r="H275" i="1"/>
  <c r="J275" i="1" s="1"/>
  <c r="H276" i="1"/>
  <c r="J276" i="1" s="1"/>
  <c r="H277" i="1"/>
  <c r="J277" i="1" s="1"/>
  <c r="H278" i="1"/>
  <c r="J278" i="1" s="1"/>
  <c r="H279" i="1"/>
  <c r="J279" i="1" s="1"/>
  <c r="H280" i="1"/>
  <c r="J280" i="1" s="1"/>
  <c r="H281" i="1"/>
  <c r="J281" i="1" s="1"/>
  <c r="H282" i="1"/>
  <c r="J282" i="1" s="1"/>
  <c r="H283" i="1"/>
  <c r="J283" i="1" s="1"/>
  <c r="H284" i="1"/>
  <c r="J284" i="1" s="1"/>
  <c r="H285" i="1"/>
  <c r="J285" i="1" s="1"/>
  <c r="H286" i="1"/>
  <c r="J286" i="1" s="1"/>
  <c r="H287" i="1"/>
  <c r="J287" i="1" s="1"/>
  <c r="H288" i="1"/>
  <c r="J288" i="1" s="1"/>
  <c r="H289" i="1"/>
  <c r="J289" i="1" s="1"/>
  <c r="H290" i="1"/>
  <c r="J290" i="1" s="1"/>
  <c r="H291" i="1"/>
  <c r="J291" i="1" s="1"/>
  <c r="H292" i="1"/>
  <c r="J292" i="1" s="1"/>
  <c r="H293" i="1"/>
  <c r="J293" i="1" s="1"/>
  <c r="H294" i="1"/>
  <c r="J294" i="1" s="1"/>
  <c r="H295" i="1"/>
  <c r="J295" i="1" s="1"/>
  <c r="H296" i="1"/>
  <c r="J296" i="1" s="1"/>
  <c r="H297" i="1"/>
  <c r="J297" i="1" s="1"/>
  <c r="H298" i="1"/>
  <c r="J298" i="1" s="1"/>
  <c r="H299" i="1"/>
  <c r="J299" i="1" s="1"/>
  <c r="H300" i="1"/>
  <c r="J300" i="1" s="1"/>
  <c r="H301" i="1"/>
  <c r="J301" i="1" s="1"/>
  <c r="H302" i="1"/>
  <c r="J302" i="1" s="1"/>
  <c r="H303" i="1"/>
  <c r="J303" i="1" s="1"/>
  <c r="H304" i="1"/>
  <c r="J304" i="1" s="1"/>
  <c r="H305" i="1"/>
  <c r="J305" i="1" s="1"/>
  <c r="H306" i="1"/>
  <c r="J306" i="1" s="1"/>
  <c r="H307" i="1"/>
  <c r="J307" i="1" s="1"/>
  <c r="H308" i="1"/>
  <c r="J308" i="1" s="1"/>
  <c r="H309" i="1"/>
  <c r="J309" i="1" s="1"/>
  <c r="H310" i="1"/>
  <c r="J310" i="1" s="1"/>
  <c r="H311" i="1"/>
  <c r="J311" i="1" s="1"/>
  <c r="H312" i="1"/>
  <c r="J312" i="1" s="1"/>
  <c r="H313" i="1"/>
  <c r="J313" i="1" s="1"/>
  <c r="H314" i="1"/>
  <c r="J314" i="1" s="1"/>
  <c r="H315" i="1"/>
  <c r="J315" i="1" s="1"/>
  <c r="H316" i="1"/>
  <c r="J316" i="1" s="1"/>
  <c r="H317" i="1"/>
  <c r="J317" i="1" s="1"/>
  <c r="H318" i="1"/>
  <c r="J318" i="1" s="1"/>
  <c r="H319" i="1"/>
  <c r="J319" i="1" s="1"/>
  <c r="H320" i="1"/>
  <c r="J320" i="1" s="1"/>
  <c r="H321" i="1"/>
  <c r="J321" i="1" s="1"/>
  <c r="H322" i="1"/>
  <c r="J322" i="1" s="1"/>
  <c r="H323" i="1"/>
  <c r="J323" i="1" s="1"/>
  <c r="H324" i="1"/>
  <c r="J324" i="1" s="1"/>
  <c r="H325" i="1"/>
  <c r="J325" i="1" s="1"/>
  <c r="H326" i="1"/>
  <c r="J326" i="1" s="1"/>
  <c r="H327" i="1"/>
  <c r="J327" i="1" s="1"/>
  <c r="H328" i="1"/>
  <c r="J328" i="1" s="1"/>
  <c r="H329" i="1"/>
  <c r="J329" i="1" s="1"/>
  <c r="H330" i="1"/>
  <c r="J330" i="1" s="1"/>
  <c r="H331" i="1"/>
  <c r="J331" i="1" s="1"/>
  <c r="H332" i="1"/>
  <c r="J332" i="1" s="1"/>
  <c r="H333" i="1"/>
  <c r="J333" i="1" s="1"/>
  <c r="H334" i="1"/>
  <c r="J334" i="1" s="1"/>
  <c r="H335" i="1"/>
  <c r="J335" i="1" s="1"/>
  <c r="H336" i="1"/>
  <c r="J336" i="1" s="1"/>
  <c r="H337" i="1"/>
  <c r="J337" i="1" s="1"/>
  <c r="H338" i="1"/>
  <c r="J338" i="1" s="1"/>
  <c r="H339" i="1"/>
  <c r="J339" i="1" s="1"/>
  <c r="H340" i="1"/>
  <c r="J340" i="1" s="1"/>
  <c r="H341" i="1"/>
  <c r="J341" i="1" s="1"/>
  <c r="H342" i="1"/>
  <c r="J342" i="1" s="1"/>
  <c r="H343" i="1"/>
  <c r="J343" i="1" s="1"/>
  <c r="H344" i="1"/>
  <c r="J344" i="1" s="1"/>
  <c r="H345" i="1"/>
  <c r="J345" i="1" s="1"/>
  <c r="H346" i="1"/>
  <c r="J346" i="1" s="1"/>
  <c r="H347" i="1"/>
  <c r="J347" i="1" s="1"/>
  <c r="H348" i="1"/>
  <c r="J348" i="1" s="1"/>
  <c r="H349" i="1"/>
  <c r="J349" i="1" s="1"/>
  <c r="H350" i="1"/>
  <c r="J350" i="1" s="1"/>
  <c r="H351" i="1"/>
  <c r="J351" i="1" s="1"/>
  <c r="H352" i="1"/>
  <c r="J352" i="1" s="1"/>
  <c r="H353" i="1"/>
  <c r="J353" i="1" s="1"/>
  <c r="H354" i="1"/>
  <c r="J354" i="1" s="1"/>
  <c r="H355" i="1"/>
  <c r="J355" i="1" s="1"/>
  <c r="H356" i="1"/>
  <c r="J356" i="1" s="1"/>
  <c r="H357" i="1"/>
  <c r="J357" i="1" s="1"/>
  <c r="H358" i="1"/>
  <c r="J358" i="1" s="1"/>
  <c r="H359" i="1"/>
  <c r="J359" i="1" s="1"/>
  <c r="H360" i="1"/>
  <c r="J360" i="1" s="1"/>
  <c r="H361" i="1"/>
  <c r="J361" i="1" s="1"/>
  <c r="H362" i="1"/>
  <c r="J362" i="1" s="1"/>
  <c r="H363" i="1"/>
  <c r="J363" i="1" s="1"/>
  <c r="H364" i="1"/>
  <c r="J364" i="1" s="1"/>
  <c r="H365" i="1"/>
  <c r="J365" i="1" s="1"/>
  <c r="H366" i="1"/>
  <c r="J366" i="1" s="1"/>
  <c r="H367" i="1"/>
  <c r="J367" i="1" s="1"/>
  <c r="H368" i="1"/>
  <c r="J368" i="1" s="1"/>
  <c r="H369" i="1"/>
  <c r="J369" i="1" s="1"/>
  <c r="H370" i="1"/>
  <c r="J370" i="1" s="1"/>
  <c r="H371" i="1"/>
  <c r="J371" i="1" s="1"/>
  <c r="H372" i="1"/>
  <c r="J372" i="1" s="1"/>
  <c r="H373" i="1"/>
  <c r="J373" i="1" s="1"/>
  <c r="H374" i="1"/>
  <c r="J374" i="1" s="1"/>
  <c r="H375" i="1"/>
  <c r="J375" i="1" s="1"/>
  <c r="H376" i="1"/>
  <c r="J376" i="1" s="1"/>
  <c r="H377" i="1"/>
  <c r="J377" i="1" s="1"/>
  <c r="H378" i="1"/>
  <c r="J378" i="1" s="1"/>
  <c r="H379" i="1"/>
  <c r="J379" i="1" s="1"/>
  <c r="H380" i="1"/>
  <c r="J380" i="1" s="1"/>
  <c r="H381" i="1"/>
  <c r="J381" i="1" s="1"/>
  <c r="H382" i="1"/>
  <c r="J382" i="1" s="1"/>
  <c r="H383" i="1"/>
  <c r="J383" i="1" s="1"/>
  <c r="H384" i="1"/>
  <c r="J384" i="1" s="1"/>
  <c r="H385" i="1"/>
  <c r="J385" i="1" s="1"/>
  <c r="H386" i="1"/>
  <c r="J386" i="1" s="1"/>
  <c r="H387" i="1"/>
  <c r="J387" i="1" s="1"/>
  <c r="H388" i="1"/>
  <c r="J388" i="1" s="1"/>
  <c r="H389" i="1"/>
  <c r="J389" i="1" s="1"/>
  <c r="H390" i="1"/>
  <c r="J390" i="1" s="1"/>
  <c r="H391" i="1"/>
  <c r="J391" i="1" s="1"/>
  <c r="H392" i="1"/>
  <c r="J392" i="1" s="1"/>
  <c r="H393" i="1"/>
  <c r="J393" i="1" s="1"/>
  <c r="H394" i="1"/>
  <c r="J394" i="1" s="1"/>
  <c r="H395" i="1"/>
  <c r="J395" i="1" s="1"/>
  <c r="H396" i="1"/>
  <c r="J396" i="1" s="1"/>
  <c r="H397" i="1"/>
  <c r="J397" i="1" s="1"/>
  <c r="H398" i="1"/>
  <c r="J398" i="1" s="1"/>
  <c r="H399" i="1"/>
  <c r="J399" i="1" s="1"/>
  <c r="H400" i="1"/>
  <c r="J400" i="1" s="1"/>
  <c r="H401" i="1"/>
  <c r="J401" i="1" s="1"/>
  <c r="H402" i="1"/>
  <c r="J402" i="1" s="1"/>
  <c r="H403" i="1"/>
  <c r="J403" i="1" s="1"/>
  <c r="H404" i="1"/>
  <c r="J404" i="1" s="1"/>
  <c r="H405" i="1"/>
  <c r="J405" i="1" s="1"/>
  <c r="H406" i="1"/>
  <c r="J406" i="1" s="1"/>
  <c r="H407" i="1"/>
  <c r="J407" i="1" s="1"/>
  <c r="H408" i="1"/>
  <c r="J408" i="1" s="1"/>
  <c r="H409" i="1"/>
  <c r="J409" i="1" s="1"/>
  <c r="H410" i="1"/>
  <c r="J410" i="1" s="1"/>
  <c r="H411" i="1"/>
  <c r="J411" i="1" s="1"/>
  <c r="H412" i="1"/>
  <c r="J412" i="1" s="1"/>
  <c r="H413" i="1"/>
  <c r="J413" i="1" s="1"/>
  <c r="H414" i="1"/>
  <c r="J414" i="1" s="1"/>
  <c r="H415" i="1"/>
  <c r="J415" i="1" s="1"/>
  <c r="H416" i="1"/>
  <c r="J416" i="1" s="1"/>
  <c r="H417" i="1"/>
  <c r="J417" i="1" s="1"/>
  <c r="H418" i="1"/>
  <c r="J418" i="1" s="1"/>
  <c r="H419" i="1"/>
  <c r="J419" i="1" s="1"/>
  <c r="H420" i="1"/>
  <c r="J420" i="1" s="1"/>
  <c r="H421" i="1"/>
  <c r="J421" i="1" s="1"/>
  <c r="H422" i="1"/>
  <c r="J422" i="1" s="1"/>
  <c r="H423" i="1"/>
  <c r="J423" i="1" s="1"/>
  <c r="H424" i="1"/>
  <c r="J424" i="1" s="1"/>
  <c r="H425" i="1"/>
  <c r="J425" i="1" s="1"/>
  <c r="H426" i="1"/>
  <c r="J426" i="1" s="1"/>
  <c r="H427" i="1"/>
  <c r="J427" i="1" s="1"/>
  <c r="H428" i="1"/>
  <c r="J428" i="1" s="1"/>
  <c r="H429" i="1"/>
  <c r="J429" i="1" s="1"/>
  <c r="H430" i="1"/>
  <c r="J430" i="1" s="1"/>
  <c r="H431" i="1"/>
  <c r="J431" i="1" s="1"/>
  <c r="H432" i="1"/>
  <c r="J432" i="1" s="1"/>
  <c r="H433" i="1"/>
  <c r="J433" i="1" s="1"/>
  <c r="H434" i="1"/>
  <c r="J434" i="1" s="1"/>
  <c r="H435" i="1"/>
  <c r="J435" i="1" s="1"/>
  <c r="H436" i="1"/>
  <c r="J436" i="1" s="1"/>
  <c r="H437" i="1"/>
  <c r="J437" i="1" s="1"/>
  <c r="H438" i="1"/>
  <c r="J438" i="1" s="1"/>
  <c r="H439" i="1"/>
  <c r="J439" i="1" s="1"/>
  <c r="H440" i="1"/>
  <c r="J440" i="1" s="1"/>
  <c r="H441" i="1"/>
  <c r="J441" i="1" s="1"/>
  <c r="H442" i="1"/>
  <c r="J442" i="1" s="1"/>
  <c r="H443" i="1"/>
  <c r="J443" i="1" s="1"/>
  <c r="H444" i="1"/>
  <c r="J444" i="1" s="1"/>
  <c r="H445" i="1"/>
  <c r="J445" i="1" s="1"/>
  <c r="H446" i="1"/>
  <c r="J446" i="1" s="1"/>
  <c r="H447" i="1"/>
  <c r="J447" i="1" s="1"/>
  <c r="H448" i="1"/>
  <c r="J448" i="1" s="1"/>
  <c r="H449" i="1"/>
  <c r="J449" i="1" s="1"/>
  <c r="H450" i="1"/>
  <c r="J450" i="1" s="1"/>
  <c r="H451" i="1"/>
  <c r="J451" i="1" s="1"/>
  <c r="H452" i="1"/>
  <c r="J452" i="1" s="1"/>
  <c r="H453" i="1"/>
  <c r="J453" i="1" s="1"/>
  <c r="H454" i="1"/>
  <c r="J454" i="1" s="1"/>
  <c r="H455" i="1"/>
  <c r="J455" i="1" s="1"/>
  <c r="H456" i="1"/>
  <c r="J456" i="1" s="1"/>
  <c r="H457" i="1"/>
  <c r="J457" i="1" s="1"/>
  <c r="H458" i="1"/>
  <c r="J458" i="1" s="1"/>
  <c r="H459" i="1"/>
  <c r="J459" i="1" s="1"/>
  <c r="H460" i="1"/>
  <c r="J460" i="1" s="1"/>
  <c r="H461" i="1"/>
  <c r="J461" i="1" s="1"/>
  <c r="H462" i="1"/>
  <c r="J462" i="1" s="1"/>
  <c r="H463" i="1"/>
  <c r="J463" i="1" s="1"/>
  <c r="H464" i="1"/>
  <c r="J464" i="1" s="1"/>
  <c r="H465" i="1"/>
  <c r="J465" i="1" s="1"/>
  <c r="H466" i="1"/>
  <c r="J466" i="1" s="1"/>
  <c r="H467" i="1"/>
  <c r="J467" i="1" s="1"/>
  <c r="H468" i="1"/>
  <c r="J468" i="1" s="1"/>
  <c r="H469" i="1"/>
  <c r="J469" i="1" s="1"/>
  <c r="H470" i="1"/>
  <c r="J470" i="1" s="1"/>
  <c r="H471" i="1"/>
  <c r="J471" i="1" s="1"/>
  <c r="H472" i="1"/>
  <c r="J472" i="1" s="1"/>
  <c r="H473" i="1"/>
  <c r="J473" i="1" s="1"/>
  <c r="H474" i="1"/>
  <c r="J474" i="1" s="1"/>
  <c r="H475" i="1"/>
  <c r="J475" i="1" s="1"/>
  <c r="H476" i="1"/>
  <c r="J476" i="1" s="1"/>
  <c r="H477" i="1"/>
  <c r="J477" i="1" s="1"/>
  <c r="H478" i="1"/>
  <c r="J478" i="1" s="1"/>
  <c r="H479" i="1"/>
  <c r="J479" i="1" s="1"/>
  <c r="H480" i="1"/>
  <c r="J480" i="1" s="1"/>
  <c r="H481" i="1"/>
  <c r="J481" i="1" s="1"/>
  <c r="H482" i="1"/>
  <c r="J482" i="1" s="1"/>
  <c r="H483" i="1"/>
  <c r="J483" i="1" s="1"/>
  <c r="H484" i="1"/>
  <c r="J484" i="1" s="1"/>
  <c r="H485" i="1"/>
  <c r="J485" i="1" s="1"/>
  <c r="H486" i="1"/>
  <c r="J486" i="1" s="1"/>
  <c r="H487" i="1"/>
  <c r="J487" i="1" s="1"/>
  <c r="H488" i="1"/>
  <c r="J488" i="1" s="1"/>
  <c r="H489" i="1"/>
  <c r="J489" i="1" s="1"/>
  <c r="H490" i="1"/>
  <c r="J490" i="1" s="1"/>
  <c r="H491" i="1"/>
  <c r="J491" i="1" s="1"/>
  <c r="H492" i="1"/>
  <c r="J492" i="1" s="1"/>
  <c r="H493" i="1"/>
  <c r="J493" i="1" s="1"/>
  <c r="H494" i="1"/>
  <c r="J494" i="1" s="1"/>
  <c r="H495" i="1"/>
  <c r="J495" i="1" s="1"/>
  <c r="H496" i="1"/>
  <c r="J496" i="1" s="1"/>
  <c r="H497" i="1"/>
  <c r="J497" i="1" s="1"/>
  <c r="H498" i="1"/>
  <c r="J498" i="1" s="1"/>
  <c r="H499" i="1"/>
  <c r="J499" i="1" s="1"/>
  <c r="H500" i="1"/>
  <c r="J500" i="1" s="1"/>
  <c r="H501" i="1"/>
  <c r="J501" i="1" s="1"/>
  <c r="H502" i="1"/>
  <c r="J502" i="1" s="1"/>
  <c r="H503" i="1"/>
  <c r="J503" i="1" s="1"/>
  <c r="H504" i="1"/>
  <c r="J504" i="1" s="1"/>
  <c r="H505" i="1"/>
  <c r="J505" i="1" s="1"/>
  <c r="H506" i="1"/>
  <c r="J506" i="1" s="1"/>
  <c r="H507" i="1"/>
  <c r="J507" i="1" s="1"/>
  <c r="H508" i="1"/>
  <c r="J508" i="1" s="1"/>
  <c r="H509" i="1"/>
  <c r="J509" i="1" s="1"/>
  <c r="H510" i="1"/>
  <c r="J510" i="1" s="1"/>
  <c r="H511" i="1"/>
  <c r="J511" i="1" s="1"/>
  <c r="H512" i="1"/>
  <c r="J512" i="1" s="1"/>
  <c r="H513" i="1"/>
  <c r="J513" i="1" s="1"/>
  <c r="H514" i="1"/>
  <c r="J514" i="1" s="1"/>
  <c r="H515" i="1"/>
  <c r="J515" i="1" s="1"/>
  <c r="H516" i="1"/>
  <c r="J516" i="1" s="1"/>
  <c r="H517" i="1"/>
  <c r="J517" i="1" s="1"/>
  <c r="H518" i="1"/>
  <c r="J518" i="1" s="1"/>
  <c r="H519" i="1"/>
  <c r="J519" i="1" s="1"/>
  <c r="H520" i="1"/>
  <c r="J520" i="1" s="1"/>
  <c r="H521" i="1"/>
  <c r="J521" i="1" s="1"/>
  <c r="H522" i="1"/>
  <c r="J522" i="1" s="1"/>
  <c r="H523" i="1"/>
  <c r="J523" i="1" s="1"/>
  <c r="H524" i="1"/>
  <c r="J524" i="1" s="1"/>
  <c r="H525" i="1"/>
  <c r="J525" i="1" s="1"/>
  <c r="H526" i="1"/>
  <c r="J526" i="1" s="1"/>
  <c r="H527" i="1"/>
  <c r="J527" i="1" s="1"/>
  <c r="H528" i="1"/>
  <c r="J528" i="1" s="1"/>
  <c r="H529" i="1"/>
  <c r="J529" i="1" s="1"/>
  <c r="H530" i="1"/>
  <c r="J530" i="1" s="1"/>
  <c r="H531" i="1"/>
  <c r="J531" i="1" s="1"/>
  <c r="H532" i="1"/>
  <c r="J532" i="1" s="1"/>
  <c r="H533" i="1"/>
  <c r="J533" i="1" s="1"/>
  <c r="H534" i="1"/>
  <c r="J534" i="1" s="1"/>
  <c r="H535" i="1"/>
  <c r="J535" i="1" s="1"/>
  <c r="H536" i="1"/>
  <c r="J536" i="1" s="1"/>
  <c r="H537" i="1"/>
  <c r="J537" i="1" s="1"/>
  <c r="H538" i="1"/>
  <c r="J538" i="1" s="1"/>
  <c r="H539" i="1"/>
  <c r="J539" i="1" s="1"/>
  <c r="H540" i="1"/>
  <c r="J540" i="1" s="1"/>
  <c r="H541" i="1"/>
  <c r="J541" i="1" s="1"/>
  <c r="H542" i="1"/>
  <c r="J542" i="1" s="1"/>
  <c r="H543" i="1"/>
  <c r="J543" i="1" s="1"/>
  <c r="H544" i="1"/>
  <c r="J544" i="1" s="1"/>
  <c r="H545" i="1"/>
  <c r="J545" i="1" s="1"/>
  <c r="H546" i="1"/>
  <c r="J546" i="1" s="1"/>
  <c r="H547" i="1"/>
  <c r="J547" i="1" s="1"/>
  <c r="H548" i="1"/>
  <c r="J548" i="1" s="1"/>
  <c r="H549" i="1"/>
  <c r="J549" i="1" s="1"/>
  <c r="H550" i="1"/>
  <c r="J550" i="1" s="1"/>
  <c r="H551" i="1"/>
  <c r="J551" i="1" s="1"/>
  <c r="H552" i="1"/>
  <c r="J552" i="1" s="1"/>
  <c r="H553" i="1"/>
  <c r="J553" i="1" s="1"/>
  <c r="H554" i="1"/>
  <c r="J554" i="1" s="1"/>
  <c r="H555" i="1"/>
  <c r="J555" i="1" s="1"/>
  <c r="H556" i="1"/>
  <c r="J556" i="1" s="1"/>
  <c r="H557" i="1"/>
  <c r="J557" i="1" s="1"/>
  <c r="H558" i="1"/>
  <c r="J558" i="1" s="1"/>
  <c r="H559" i="1"/>
  <c r="J559" i="1" s="1"/>
  <c r="H560" i="1"/>
  <c r="J560" i="1" s="1"/>
  <c r="H561" i="1"/>
  <c r="J561" i="1" s="1"/>
  <c r="H562" i="1"/>
  <c r="J562" i="1" s="1"/>
  <c r="H563" i="1"/>
  <c r="J563" i="1" s="1"/>
  <c r="H564" i="1"/>
  <c r="J564" i="1" s="1"/>
  <c r="H565" i="1"/>
  <c r="J565" i="1" s="1"/>
  <c r="H566" i="1"/>
  <c r="J566" i="1" s="1"/>
  <c r="H567" i="1"/>
  <c r="J567" i="1" s="1"/>
  <c r="H568" i="1"/>
  <c r="J568" i="1" s="1"/>
  <c r="H569" i="1"/>
  <c r="J569" i="1" s="1"/>
  <c r="H570" i="1"/>
  <c r="J570" i="1" s="1"/>
  <c r="H571" i="1"/>
  <c r="J571" i="1" s="1"/>
  <c r="H572" i="1"/>
  <c r="J572" i="1" s="1"/>
  <c r="H573" i="1"/>
  <c r="J573" i="1" s="1"/>
  <c r="H574" i="1"/>
  <c r="J574" i="1" s="1"/>
  <c r="H575" i="1"/>
  <c r="J575" i="1" s="1"/>
  <c r="H576" i="1"/>
  <c r="J576" i="1" s="1"/>
  <c r="H577" i="1"/>
  <c r="J577" i="1" s="1"/>
  <c r="H578" i="1"/>
  <c r="J578" i="1" s="1"/>
  <c r="H579" i="1"/>
  <c r="J579" i="1" s="1"/>
  <c r="H580" i="1"/>
  <c r="J580" i="1" s="1"/>
  <c r="H581" i="1"/>
  <c r="J581" i="1" s="1"/>
  <c r="H582" i="1"/>
  <c r="J582" i="1" s="1"/>
  <c r="H583" i="1"/>
  <c r="J583" i="1" s="1"/>
  <c r="H584" i="1"/>
  <c r="J584" i="1" s="1"/>
  <c r="H585" i="1"/>
  <c r="J585" i="1" s="1"/>
  <c r="H586" i="1"/>
  <c r="J586" i="1" s="1"/>
  <c r="H587" i="1"/>
  <c r="J587" i="1" s="1"/>
  <c r="H588" i="1"/>
  <c r="J588" i="1" s="1"/>
  <c r="H589" i="1"/>
  <c r="J589" i="1" s="1"/>
  <c r="H590" i="1"/>
  <c r="J590" i="1" s="1"/>
  <c r="H591" i="1"/>
  <c r="J591" i="1" s="1"/>
  <c r="H592" i="1"/>
  <c r="J592" i="1" s="1"/>
  <c r="H593" i="1"/>
  <c r="J593" i="1" s="1"/>
  <c r="H594" i="1"/>
  <c r="J594" i="1" s="1"/>
  <c r="H595" i="1"/>
  <c r="J595" i="1" s="1"/>
  <c r="H596" i="1"/>
  <c r="J596" i="1" s="1"/>
  <c r="H597" i="1"/>
  <c r="J597" i="1" s="1"/>
  <c r="H598" i="1"/>
  <c r="J598" i="1" s="1"/>
  <c r="H599" i="1"/>
  <c r="J599" i="1" s="1"/>
  <c r="H600" i="1"/>
  <c r="J600" i="1" s="1"/>
  <c r="H601" i="1"/>
  <c r="J601" i="1" s="1"/>
  <c r="H602" i="1"/>
  <c r="J602" i="1" s="1"/>
  <c r="H603" i="1"/>
  <c r="J603" i="1" s="1"/>
  <c r="H604" i="1"/>
  <c r="J604" i="1" s="1"/>
  <c r="H605" i="1"/>
  <c r="J605" i="1" s="1"/>
  <c r="H606" i="1"/>
  <c r="J606" i="1" s="1"/>
  <c r="H607" i="1"/>
  <c r="J607" i="1" s="1"/>
  <c r="H608" i="1"/>
  <c r="J608" i="1" s="1"/>
  <c r="H609" i="1"/>
  <c r="J609" i="1" s="1"/>
  <c r="H610" i="1"/>
  <c r="J610" i="1" s="1"/>
  <c r="H611" i="1"/>
  <c r="J611" i="1" s="1"/>
  <c r="H612" i="1"/>
  <c r="J612" i="1" s="1"/>
  <c r="H613" i="1"/>
  <c r="J613" i="1" s="1"/>
  <c r="H614" i="1"/>
  <c r="J614" i="1" s="1"/>
  <c r="H615" i="1"/>
  <c r="J615" i="1" s="1"/>
  <c r="H616" i="1"/>
  <c r="J616" i="1" s="1"/>
  <c r="H617" i="1"/>
  <c r="J617" i="1" s="1"/>
  <c r="H618" i="1"/>
  <c r="J618" i="1" s="1"/>
  <c r="H619" i="1"/>
  <c r="J619" i="1" s="1"/>
  <c r="H620" i="1"/>
  <c r="J620" i="1" s="1"/>
  <c r="H621" i="1"/>
  <c r="J621" i="1" s="1"/>
  <c r="H622" i="1"/>
  <c r="J622" i="1" s="1"/>
  <c r="H623" i="1"/>
  <c r="J623" i="1" s="1"/>
  <c r="H624" i="1"/>
  <c r="J624" i="1" s="1"/>
  <c r="H625" i="1"/>
  <c r="J625" i="1" s="1"/>
  <c r="H626" i="1"/>
  <c r="J626" i="1" s="1"/>
  <c r="H627" i="1"/>
  <c r="J627" i="1" s="1"/>
  <c r="H628" i="1"/>
  <c r="J628" i="1" s="1"/>
  <c r="H629" i="1"/>
  <c r="J629" i="1" s="1"/>
  <c r="H630" i="1"/>
  <c r="J630" i="1" s="1"/>
  <c r="H631" i="1"/>
  <c r="J631" i="1" s="1"/>
  <c r="H632" i="1"/>
  <c r="J632" i="1" s="1"/>
  <c r="H633" i="1"/>
  <c r="J633" i="1" s="1"/>
  <c r="H634" i="1"/>
  <c r="J634" i="1" s="1"/>
  <c r="H635" i="1"/>
  <c r="J635" i="1" s="1"/>
  <c r="H636" i="1"/>
  <c r="J636" i="1" s="1"/>
  <c r="H637" i="1"/>
  <c r="J637" i="1" s="1"/>
  <c r="H638" i="1"/>
  <c r="J638" i="1" s="1"/>
  <c r="H639" i="1"/>
  <c r="J639" i="1" s="1"/>
  <c r="H640" i="1"/>
  <c r="J640" i="1" s="1"/>
  <c r="H641" i="1"/>
  <c r="J641" i="1" s="1"/>
  <c r="H642" i="1"/>
  <c r="J642" i="1" s="1"/>
  <c r="H643" i="1"/>
  <c r="J643" i="1" s="1"/>
  <c r="H644" i="1"/>
  <c r="J644" i="1" s="1"/>
  <c r="H645" i="1"/>
  <c r="J645" i="1" s="1"/>
  <c r="H646" i="1"/>
  <c r="J646" i="1" s="1"/>
  <c r="H647" i="1"/>
  <c r="J647" i="1" s="1"/>
  <c r="H648" i="1"/>
  <c r="J648" i="1" s="1"/>
  <c r="H649" i="1"/>
  <c r="J649" i="1" s="1"/>
  <c r="H650" i="1"/>
  <c r="J650" i="1" s="1"/>
  <c r="H651" i="1"/>
  <c r="J651" i="1" s="1"/>
  <c r="H652" i="1"/>
  <c r="J652" i="1" s="1"/>
  <c r="H653" i="1"/>
  <c r="J653" i="1" s="1"/>
  <c r="H654" i="1"/>
  <c r="J654" i="1" s="1"/>
  <c r="H655" i="1"/>
  <c r="J655" i="1" s="1"/>
  <c r="H656" i="1"/>
  <c r="J656" i="1" s="1"/>
  <c r="H657" i="1"/>
  <c r="J657" i="1" s="1"/>
  <c r="H658" i="1"/>
  <c r="J658" i="1" s="1"/>
  <c r="H659" i="1"/>
  <c r="J659" i="1" s="1"/>
  <c r="H660" i="1"/>
  <c r="J660" i="1" s="1"/>
  <c r="H661" i="1"/>
  <c r="J661" i="1" s="1"/>
  <c r="H662" i="1"/>
  <c r="J662" i="1" s="1"/>
  <c r="H663" i="1"/>
  <c r="J663" i="1" s="1"/>
  <c r="H664" i="1"/>
  <c r="J664" i="1" s="1"/>
  <c r="H665" i="1"/>
  <c r="J665" i="1" s="1"/>
  <c r="H666" i="1"/>
  <c r="J666" i="1" s="1"/>
  <c r="H667" i="1"/>
  <c r="J667" i="1" s="1"/>
  <c r="H668" i="1"/>
  <c r="J668" i="1" s="1"/>
  <c r="H669" i="1"/>
  <c r="J669" i="1" s="1"/>
  <c r="H670" i="1"/>
  <c r="J670" i="1" s="1"/>
  <c r="H671" i="1"/>
  <c r="J671" i="1" s="1"/>
  <c r="H672" i="1"/>
  <c r="J672" i="1" s="1"/>
  <c r="H673" i="1"/>
  <c r="J673" i="1" s="1"/>
  <c r="H674" i="1"/>
  <c r="J674" i="1" s="1"/>
  <c r="H675" i="1"/>
  <c r="J675" i="1" s="1"/>
  <c r="H676" i="1"/>
  <c r="J676" i="1" s="1"/>
  <c r="H677" i="1"/>
  <c r="J677" i="1" s="1"/>
  <c r="H678" i="1"/>
  <c r="J678" i="1" s="1"/>
  <c r="H679" i="1"/>
  <c r="J679" i="1" s="1"/>
  <c r="H680" i="1"/>
  <c r="J680" i="1" s="1"/>
  <c r="H681" i="1"/>
  <c r="J681" i="1" s="1"/>
  <c r="H682" i="1"/>
  <c r="J682" i="1" s="1"/>
  <c r="H683" i="1"/>
  <c r="J683" i="1" s="1"/>
  <c r="H684" i="1"/>
  <c r="J684" i="1" s="1"/>
  <c r="H685" i="1"/>
  <c r="J685" i="1" s="1"/>
  <c r="H686" i="1"/>
  <c r="J686" i="1" s="1"/>
  <c r="H687" i="1"/>
  <c r="J687" i="1" s="1"/>
  <c r="H688" i="1"/>
  <c r="J688" i="1" s="1"/>
  <c r="H689" i="1"/>
  <c r="J689" i="1" s="1"/>
  <c r="H690" i="1"/>
  <c r="J690" i="1" s="1"/>
  <c r="H691" i="1"/>
  <c r="J691" i="1" s="1"/>
  <c r="H692" i="1"/>
  <c r="J692" i="1" s="1"/>
  <c r="H693" i="1"/>
  <c r="J693" i="1" s="1"/>
  <c r="H694" i="1"/>
  <c r="J694" i="1" s="1"/>
  <c r="H695" i="1"/>
  <c r="J695" i="1" s="1"/>
  <c r="H696" i="1"/>
  <c r="J696" i="1" s="1"/>
  <c r="H697" i="1"/>
  <c r="J697" i="1" s="1"/>
  <c r="H698" i="1"/>
  <c r="J698" i="1" s="1"/>
  <c r="H699" i="1"/>
  <c r="J699" i="1" s="1"/>
  <c r="H700" i="1"/>
  <c r="J700" i="1" s="1"/>
  <c r="H701" i="1"/>
  <c r="J701" i="1" s="1"/>
  <c r="H702" i="1"/>
  <c r="J702" i="1" s="1"/>
  <c r="H703" i="1"/>
  <c r="J703" i="1" s="1"/>
  <c r="H704" i="1"/>
  <c r="J704" i="1" s="1"/>
  <c r="H705" i="1"/>
  <c r="J705" i="1" s="1"/>
  <c r="H706" i="1"/>
  <c r="J706" i="1" s="1"/>
  <c r="H707" i="1"/>
  <c r="J707" i="1" s="1"/>
  <c r="H708" i="1"/>
  <c r="J708" i="1" s="1"/>
  <c r="H709" i="1"/>
  <c r="J709" i="1" s="1"/>
  <c r="H710" i="1"/>
  <c r="J710" i="1" s="1"/>
  <c r="H711" i="1"/>
  <c r="J711" i="1" s="1"/>
  <c r="H712" i="1"/>
  <c r="J712" i="1" s="1"/>
  <c r="H713" i="1"/>
  <c r="J713" i="1" s="1"/>
  <c r="H714" i="1"/>
  <c r="J714" i="1" s="1"/>
  <c r="H715" i="1"/>
  <c r="J715" i="1" s="1"/>
  <c r="H716" i="1"/>
  <c r="J716" i="1" s="1"/>
  <c r="H717" i="1"/>
  <c r="J717" i="1" s="1"/>
  <c r="H718" i="1"/>
  <c r="J718" i="1" s="1"/>
  <c r="H719" i="1"/>
  <c r="J719" i="1" s="1"/>
  <c r="H720" i="1"/>
  <c r="J720" i="1" s="1"/>
  <c r="H721" i="1"/>
  <c r="J721" i="1" s="1"/>
  <c r="H722" i="1"/>
  <c r="J722" i="1" s="1"/>
  <c r="H723" i="1"/>
  <c r="J723" i="1" s="1"/>
  <c r="H724" i="1"/>
  <c r="J724" i="1" s="1"/>
  <c r="H725" i="1"/>
  <c r="J725" i="1" s="1"/>
  <c r="H726" i="1"/>
  <c r="J726" i="1" s="1"/>
  <c r="H727" i="1"/>
  <c r="J727" i="1" s="1"/>
  <c r="H728" i="1"/>
  <c r="J728" i="1" s="1"/>
  <c r="H729" i="1"/>
  <c r="J729" i="1" s="1"/>
  <c r="H730" i="1"/>
  <c r="J730" i="1" s="1"/>
  <c r="H731" i="1"/>
  <c r="J731" i="1" s="1"/>
  <c r="H732" i="1"/>
  <c r="J732" i="1" s="1"/>
  <c r="H733" i="1"/>
  <c r="J733" i="1" s="1"/>
  <c r="H734" i="1"/>
  <c r="J734" i="1" s="1"/>
  <c r="H735" i="1"/>
  <c r="J735" i="1" s="1"/>
  <c r="H736" i="1"/>
  <c r="J736" i="1" s="1"/>
  <c r="H737" i="1"/>
  <c r="J737" i="1" s="1"/>
  <c r="H738" i="1"/>
  <c r="J738" i="1" s="1"/>
  <c r="H739" i="1"/>
  <c r="J739" i="1" s="1"/>
  <c r="H740" i="1"/>
  <c r="J740" i="1" s="1"/>
  <c r="H741" i="1"/>
  <c r="J741" i="1" s="1"/>
  <c r="H742" i="1"/>
  <c r="J742" i="1" s="1"/>
  <c r="H743" i="1"/>
  <c r="J743" i="1" s="1"/>
  <c r="H744" i="1"/>
  <c r="J744" i="1" s="1"/>
  <c r="H745" i="1"/>
  <c r="J745" i="1" s="1"/>
  <c r="H746" i="1"/>
  <c r="J746" i="1" s="1"/>
  <c r="H747" i="1"/>
  <c r="J747" i="1" s="1"/>
  <c r="H748" i="1"/>
  <c r="J748" i="1" s="1"/>
  <c r="H749" i="1"/>
  <c r="J749" i="1" s="1"/>
  <c r="H750" i="1"/>
  <c r="J750" i="1" s="1"/>
  <c r="H751" i="1"/>
  <c r="J751" i="1" s="1"/>
  <c r="H752" i="1"/>
  <c r="J752" i="1" s="1"/>
  <c r="H753" i="1"/>
  <c r="J753" i="1" s="1"/>
  <c r="H754" i="1"/>
  <c r="J754" i="1" s="1"/>
  <c r="H755" i="1"/>
  <c r="J755" i="1" s="1"/>
  <c r="H756" i="1"/>
  <c r="J756" i="1" s="1"/>
  <c r="H757" i="1"/>
  <c r="J757" i="1" s="1"/>
  <c r="H758" i="1"/>
  <c r="J758" i="1" s="1"/>
  <c r="H759" i="1"/>
  <c r="J759" i="1" s="1"/>
  <c r="H760" i="1"/>
  <c r="J760" i="1" s="1"/>
  <c r="H761" i="1"/>
  <c r="J761" i="1" s="1"/>
  <c r="H762" i="1"/>
  <c r="J762" i="1" s="1"/>
  <c r="H763" i="1"/>
  <c r="J763" i="1" s="1"/>
  <c r="H764" i="1"/>
  <c r="J764" i="1" s="1"/>
  <c r="H765" i="1"/>
  <c r="J765" i="1" s="1"/>
  <c r="H766" i="1"/>
  <c r="J766" i="1" s="1"/>
  <c r="H767" i="1"/>
  <c r="J767" i="1" s="1"/>
  <c r="H768" i="1"/>
  <c r="J768" i="1" s="1"/>
  <c r="H769" i="1"/>
  <c r="J769" i="1" s="1"/>
  <c r="H770" i="1"/>
  <c r="J770" i="1" s="1"/>
  <c r="H771" i="1"/>
  <c r="J771" i="1" s="1"/>
  <c r="H772" i="1"/>
  <c r="J772" i="1" s="1"/>
  <c r="H773" i="1"/>
  <c r="J773" i="1" s="1"/>
  <c r="H774" i="1"/>
  <c r="J774" i="1" s="1"/>
  <c r="H775" i="1"/>
  <c r="J775" i="1" s="1"/>
  <c r="H776" i="1"/>
  <c r="J776" i="1" s="1"/>
  <c r="H777" i="1"/>
  <c r="J777" i="1" s="1"/>
  <c r="H778" i="1"/>
  <c r="J778" i="1" s="1"/>
  <c r="H779" i="1"/>
  <c r="J779" i="1" s="1"/>
  <c r="H780" i="1"/>
  <c r="J780" i="1" s="1"/>
  <c r="H781" i="1"/>
  <c r="J781" i="1" s="1"/>
  <c r="H782" i="1"/>
  <c r="J782" i="1" s="1"/>
  <c r="H783" i="1"/>
  <c r="J783" i="1" s="1"/>
  <c r="H784" i="1"/>
  <c r="J784" i="1" s="1"/>
  <c r="H785" i="1"/>
  <c r="J785" i="1" s="1"/>
  <c r="H786" i="1"/>
  <c r="J786" i="1" s="1"/>
  <c r="H787" i="1"/>
  <c r="J787" i="1" s="1"/>
  <c r="H788" i="1"/>
  <c r="J788" i="1" s="1"/>
  <c r="H789" i="1"/>
  <c r="J789" i="1" s="1"/>
  <c r="H790" i="1"/>
  <c r="J790" i="1" s="1"/>
  <c r="H791" i="1"/>
  <c r="J791" i="1" s="1"/>
  <c r="H792" i="1"/>
  <c r="J792" i="1" s="1"/>
  <c r="H793" i="1"/>
  <c r="J793" i="1" s="1"/>
  <c r="H794" i="1"/>
  <c r="J794" i="1" s="1"/>
  <c r="H795" i="1"/>
  <c r="J795" i="1" s="1"/>
  <c r="H796" i="1"/>
  <c r="J796" i="1" s="1"/>
  <c r="H797" i="1"/>
  <c r="J797" i="1" s="1"/>
  <c r="H798" i="1"/>
  <c r="J798" i="1" s="1"/>
  <c r="H799" i="1"/>
  <c r="J799" i="1" s="1"/>
  <c r="H800" i="1"/>
  <c r="J800" i="1" s="1"/>
  <c r="H801" i="1"/>
  <c r="J801" i="1" s="1"/>
  <c r="H802" i="1"/>
  <c r="J802" i="1" s="1"/>
  <c r="H803" i="1"/>
  <c r="J803" i="1" s="1"/>
  <c r="H804" i="1"/>
  <c r="J804" i="1" s="1"/>
  <c r="H805" i="1"/>
  <c r="J805" i="1" s="1"/>
  <c r="H806" i="1"/>
  <c r="J806" i="1" s="1"/>
  <c r="H807" i="1"/>
  <c r="J807" i="1" s="1"/>
  <c r="H808" i="1"/>
  <c r="J808" i="1" s="1"/>
  <c r="H809" i="1"/>
  <c r="J809" i="1" s="1"/>
  <c r="H810" i="1"/>
  <c r="J810" i="1" s="1"/>
  <c r="H811" i="1"/>
  <c r="J811" i="1" s="1"/>
  <c r="H812" i="1"/>
  <c r="J812" i="1" s="1"/>
  <c r="H813" i="1"/>
  <c r="J813" i="1" s="1"/>
  <c r="H814" i="1"/>
  <c r="J814" i="1" s="1"/>
  <c r="H815" i="1"/>
  <c r="J815" i="1" s="1"/>
  <c r="H816" i="1"/>
  <c r="J816" i="1" s="1"/>
  <c r="H817" i="1"/>
  <c r="J817" i="1" s="1"/>
  <c r="H818" i="1"/>
  <c r="J818" i="1" s="1"/>
  <c r="H819" i="1"/>
  <c r="J819" i="1" s="1"/>
  <c r="H820" i="1"/>
  <c r="J820" i="1" s="1"/>
  <c r="H821" i="1"/>
  <c r="J821" i="1" s="1"/>
  <c r="H822" i="1"/>
  <c r="J822" i="1" s="1"/>
  <c r="H203" i="1"/>
  <c r="J203" i="1" s="1"/>
  <c r="H204" i="1"/>
  <c r="J204" i="1" s="1"/>
  <c r="H205" i="1"/>
  <c r="J205" i="1" s="1"/>
  <c r="H206" i="1"/>
  <c r="J206" i="1" s="1"/>
  <c r="H207" i="1"/>
  <c r="J207" i="1" s="1"/>
  <c r="H208" i="1"/>
  <c r="J208" i="1" s="1"/>
  <c r="H209" i="1"/>
  <c r="J209" i="1" s="1"/>
  <c r="H210" i="1"/>
  <c r="J210" i="1" s="1"/>
  <c r="H211" i="1"/>
  <c r="J211" i="1" s="1"/>
  <c r="H212" i="1"/>
  <c r="J212" i="1" s="1"/>
  <c r="H213" i="1"/>
  <c r="J213" i="1" s="1"/>
  <c r="H214" i="1"/>
  <c r="J214" i="1" s="1"/>
  <c r="H215" i="1"/>
  <c r="J215" i="1" s="1"/>
  <c r="H216" i="1"/>
  <c r="J216" i="1" s="1"/>
  <c r="H217" i="1"/>
  <c r="J217" i="1" s="1"/>
  <c r="H218" i="1"/>
  <c r="J218" i="1" s="1"/>
  <c r="H219" i="1"/>
  <c r="J219" i="1" s="1"/>
  <c r="H220" i="1"/>
  <c r="J220" i="1" s="1"/>
  <c r="H221" i="1"/>
  <c r="J221" i="1" s="1"/>
  <c r="H222" i="1"/>
  <c r="J222" i="1" s="1"/>
  <c r="H223" i="1"/>
  <c r="J223" i="1" s="1"/>
  <c r="H224" i="1"/>
  <c r="J224" i="1" s="1"/>
  <c r="H225" i="1"/>
  <c r="J225" i="1" s="1"/>
  <c r="H226" i="1"/>
  <c r="J226" i="1" s="1"/>
  <c r="H227" i="1"/>
  <c r="J227" i="1" s="1"/>
  <c r="H228" i="1"/>
  <c r="J228" i="1" s="1"/>
  <c r="H229" i="1"/>
  <c r="J229" i="1" s="1"/>
  <c r="H230" i="1"/>
  <c r="J230" i="1" s="1"/>
  <c r="H231" i="1"/>
  <c r="J231" i="1" s="1"/>
  <c r="H232" i="1"/>
  <c r="J232" i="1" s="1"/>
  <c r="H233" i="1"/>
  <c r="J233" i="1" s="1"/>
  <c r="H234" i="1"/>
  <c r="J234" i="1" s="1"/>
  <c r="H235" i="1"/>
  <c r="J235" i="1" s="1"/>
  <c r="H236" i="1"/>
  <c r="J236" i="1" s="1"/>
  <c r="H237" i="1"/>
  <c r="J237" i="1" s="1"/>
  <c r="H238" i="1"/>
  <c r="J238" i="1" s="1"/>
  <c r="H239" i="1"/>
  <c r="J239" i="1" s="1"/>
  <c r="H240" i="1"/>
  <c r="J240" i="1" s="1"/>
  <c r="H241" i="1"/>
  <c r="J241" i="1" s="1"/>
  <c r="H242" i="1"/>
  <c r="J242" i="1" s="1"/>
  <c r="H243" i="1"/>
  <c r="J243" i="1" s="1"/>
  <c r="H244" i="1"/>
  <c r="J244" i="1" s="1"/>
  <c r="H245" i="1"/>
  <c r="J245" i="1" s="1"/>
  <c r="H246" i="1"/>
  <c r="J246" i="1" s="1"/>
  <c r="H247" i="1"/>
  <c r="J247" i="1" s="1"/>
  <c r="H248" i="1"/>
  <c r="J248" i="1" s="1"/>
  <c r="H3" i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49" i="1"/>
  <c r="J49" i="1" s="1"/>
  <c r="H50" i="1"/>
  <c r="J50" i="1" s="1"/>
  <c r="H51" i="1"/>
  <c r="J51" i="1" s="1"/>
  <c r="H52" i="1"/>
  <c r="J52" i="1" s="1"/>
  <c r="H53" i="1"/>
  <c r="J53" i="1" s="1"/>
  <c r="H54" i="1"/>
  <c r="J54" i="1" s="1"/>
  <c r="H55" i="1"/>
  <c r="J55" i="1" s="1"/>
  <c r="H56" i="1"/>
  <c r="J56" i="1" s="1"/>
  <c r="H57" i="1"/>
  <c r="J57" i="1" s="1"/>
  <c r="H58" i="1"/>
  <c r="J58" i="1" s="1"/>
  <c r="H59" i="1"/>
  <c r="J59" i="1" s="1"/>
  <c r="H60" i="1"/>
  <c r="J60" i="1" s="1"/>
  <c r="H61" i="1"/>
  <c r="J61" i="1" s="1"/>
  <c r="H62" i="1"/>
  <c r="J62" i="1" s="1"/>
  <c r="H63" i="1"/>
  <c r="J63" i="1" s="1"/>
  <c r="H64" i="1"/>
  <c r="J64" i="1" s="1"/>
  <c r="H65" i="1"/>
  <c r="J65" i="1" s="1"/>
  <c r="H66" i="1"/>
  <c r="J66" i="1" s="1"/>
  <c r="H67" i="1"/>
  <c r="J67" i="1" s="1"/>
  <c r="H68" i="1"/>
  <c r="J68" i="1" s="1"/>
  <c r="H69" i="1"/>
  <c r="J69" i="1" s="1"/>
  <c r="H70" i="1"/>
  <c r="J70" i="1" s="1"/>
  <c r="H71" i="1"/>
  <c r="J71" i="1" s="1"/>
  <c r="H72" i="1"/>
  <c r="J72" i="1" s="1"/>
  <c r="H73" i="1"/>
  <c r="J73" i="1" s="1"/>
  <c r="H74" i="1"/>
  <c r="J74" i="1" s="1"/>
  <c r="H75" i="1"/>
  <c r="J75" i="1" s="1"/>
  <c r="H76" i="1"/>
  <c r="J76" i="1" s="1"/>
  <c r="H77" i="1"/>
  <c r="J77" i="1" s="1"/>
  <c r="H78" i="1"/>
  <c r="J78" i="1" s="1"/>
  <c r="H79" i="1"/>
  <c r="J79" i="1" s="1"/>
  <c r="H80" i="1"/>
  <c r="J80" i="1" s="1"/>
  <c r="H81" i="1"/>
  <c r="J81" i="1" s="1"/>
  <c r="H82" i="1"/>
  <c r="J82" i="1" s="1"/>
  <c r="H83" i="1"/>
  <c r="J83" i="1" s="1"/>
  <c r="H84" i="1"/>
  <c r="J84" i="1" s="1"/>
  <c r="H85" i="1"/>
  <c r="J85" i="1" s="1"/>
  <c r="H86" i="1"/>
  <c r="J86" i="1" s="1"/>
  <c r="H87" i="1"/>
  <c r="J87" i="1" s="1"/>
  <c r="H88" i="1"/>
  <c r="J88" i="1" s="1"/>
  <c r="H89" i="1"/>
  <c r="J89" i="1" s="1"/>
  <c r="H90" i="1"/>
  <c r="J90" i="1" s="1"/>
  <c r="H91" i="1"/>
  <c r="J91" i="1" s="1"/>
  <c r="H92" i="1"/>
  <c r="J92" i="1" s="1"/>
  <c r="H93" i="1"/>
  <c r="J93" i="1" s="1"/>
  <c r="H94" i="1"/>
  <c r="J94" i="1" s="1"/>
  <c r="H95" i="1"/>
  <c r="J95" i="1" s="1"/>
  <c r="H96" i="1"/>
  <c r="J96" i="1" s="1"/>
  <c r="H97" i="1"/>
  <c r="J97" i="1" s="1"/>
  <c r="H98" i="1"/>
  <c r="J98" i="1" s="1"/>
  <c r="H99" i="1"/>
  <c r="J99" i="1" s="1"/>
  <c r="H100" i="1"/>
  <c r="J100" i="1" s="1"/>
  <c r="H101" i="1"/>
  <c r="J101" i="1" s="1"/>
  <c r="H102" i="1"/>
  <c r="J102" i="1" s="1"/>
  <c r="H103" i="1"/>
  <c r="J103" i="1" s="1"/>
  <c r="H104" i="1"/>
  <c r="J104" i="1" s="1"/>
  <c r="H105" i="1"/>
  <c r="J105" i="1" s="1"/>
  <c r="H106" i="1"/>
  <c r="J106" i="1" s="1"/>
  <c r="H107" i="1"/>
  <c r="J107" i="1" s="1"/>
  <c r="H108" i="1"/>
  <c r="J108" i="1" s="1"/>
  <c r="H109" i="1"/>
  <c r="J109" i="1" s="1"/>
  <c r="H110" i="1"/>
  <c r="J110" i="1" s="1"/>
  <c r="H111" i="1"/>
  <c r="J111" i="1" s="1"/>
  <c r="H112" i="1"/>
  <c r="J112" i="1" s="1"/>
  <c r="H113" i="1"/>
  <c r="J113" i="1" s="1"/>
  <c r="H114" i="1"/>
  <c r="J114" i="1" s="1"/>
  <c r="H115" i="1"/>
  <c r="J115" i="1" s="1"/>
  <c r="H116" i="1"/>
  <c r="J116" i="1" s="1"/>
  <c r="H117" i="1"/>
  <c r="J117" i="1" s="1"/>
  <c r="H118" i="1"/>
  <c r="J118" i="1" s="1"/>
  <c r="H119" i="1"/>
  <c r="J119" i="1" s="1"/>
  <c r="H120" i="1"/>
  <c r="J120" i="1" s="1"/>
  <c r="H121" i="1"/>
  <c r="J121" i="1" s="1"/>
  <c r="H122" i="1"/>
  <c r="J122" i="1" s="1"/>
  <c r="H123" i="1"/>
  <c r="J123" i="1" s="1"/>
  <c r="H124" i="1"/>
  <c r="J124" i="1" s="1"/>
  <c r="H125" i="1"/>
  <c r="J125" i="1" s="1"/>
  <c r="H126" i="1"/>
  <c r="J126" i="1" s="1"/>
  <c r="H127" i="1"/>
  <c r="J127" i="1" s="1"/>
  <c r="H128" i="1"/>
  <c r="J128" i="1" s="1"/>
  <c r="H129" i="1"/>
  <c r="J129" i="1" s="1"/>
  <c r="H130" i="1"/>
  <c r="J130" i="1" s="1"/>
  <c r="H131" i="1"/>
  <c r="J131" i="1" s="1"/>
  <c r="H132" i="1"/>
  <c r="J132" i="1" s="1"/>
  <c r="H133" i="1"/>
  <c r="J133" i="1" s="1"/>
  <c r="H134" i="1"/>
  <c r="J134" i="1" s="1"/>
  <c r="H135" i="1"/>
  <c r="J135" i="1" s="1"/>
  <c r="H136" i="1"/>
  <c r="J136" i="1" s="1"/>
  <c r="H137" i="1"/>
  <c r="J137" i="1" s="1"/>
  <c r="H138" i="1"/>
  <c r="J138" i="1" s="1"/>
  <c r="H139" i="1"/>
  <c r="J139" i="1" s="1"/>
  <c r="H140" i="1"/>
  <c r="J140" i="1" s="1"/>
  <c r="H141" i="1"/>
  <c r="J141" i="1" s="1"/>
  <c r="H142" i="1"/>
  <c r="J142" i="1" s="1"/>
  <c r="H143" i="1"/>
  <c r="J143" i="1" s="1"/>
  <c r="H144" i="1"/>
  <c r="J144" i="1" s="1"/>
  <c r="H145" i="1"/>
  <c r="J145" i="1" s="1"/>
  <c r="H146" i="1"/>
  <c r="J146" i="1" s="1"/>
  <c r="H147" i="1"/>
  <c r="J147" i="1" s="1"/>
  <c r="H148" i="1"/>
  <c r="J148" i="1" s="1"/>
  <c r="H149" i="1"/>
  <c r="J149" i="1" s="1"/>
  <c r="H150" i="1"/>
  <c r="J150" i="1" s="1"/>
  <c r="H151" i="1"/>
  <c r="J151" i="1" s="1"/>
  <c r="H152" i="1"/>
  <c r="J152" i="1" s="1"/>
  <c r="H153" i="1"/>
  <c r="J153" i="1" s="1"/>
  <c r="H154" i="1"/>
  <c r="J154" i="1" s="1"/>
  <c r="H155" i="1"/>
  <c r="J155" i="1" s="1"/>
  <c r="H156" i="1"/>
  <c r="J156" i="1" s="1"/>
  <c r="H157" i="1"/>
  <c r="J157" i="1" s="1"/>
  <c r="H158" i="1"/>
  <c r="J158" i="1" s="1"/>
  <c r="H159" i="1"/>
  <c r="J159" i="1" s="1"/>
  <c r="H160" i="1"/>
  <c r="J160" i="1" s="1"/>
  <c r="H161" i="1"/>
  <c r="J161" i="1" s="1"/>
  <c r="H162" i="1"/>
  <c r="J162" i="1" s="1"/>
  <c r="H163" i="1"/>
  <c r="J163" i="1" s="1"/>
  <c r="H164" i="1"/>
  <c r="J164" i="1" s="1"/>
  <c r="H165" i="1"/>
  <c r="J165" i="1" s="1"/>
  <c r="H166" i="1"/>
  <c r="J166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174" i="1"/>
  <c r="J174" i="1" s="1"/>
  <c r="H175" i="1"/>
  <c r="J175" i="1" s="1"/>
  <c r="H176" i="1"/>
  <c r="J176" i="1" s="1"/>
  <c r="H177" i="1"/>
  <c r="J177" i="1" s="1"/>
  <c r="H178" i="1"/>
  <c r="J178" i="1" s="1"/>
  <c r="H179" i="1"/>
  <c r="J179" i="1" s="1"/>
  <c r="H180" i="1"/>
  <c r="J180" i="1" s="1"/>
  <c r="H181" i="1"/>
  <c r="J181" i="1" s="1"/>
  <c r="H182" i="1"/>
  <c r="J182" i="1" s="1"/>
  <c r="H183" i="1"/>
  <c r="J183" i="1" s="1"/>
  <c r="H184" i="1"/>
  <c r="J184" i="1" s="1"/>
  <c r="H185" i="1"/>
  <c r="J185" i="1" s="1"/>
  <c r="H186" i="1"/>
  <c r="J186" i="1" s="1"/>
  <c r="H187" i="1"/>
  <c r="J187" i="1" s="1"/>
  <c r="H188" i="1"/>
  <c r="J188" i="1" s="1"/>
  <c r="H189" i="1"/>
  <c r="J189" i="1" s="1"/>
  <c r="H190" i="1"/>
  <c r="J190" i="1" s="1"/>
  <c r="H191" i="1"/>
  <c r="J191" i="1" s="1"/>
  <c r="H192" i="1"/>
  <c r="J192" i="1" s="1"/>
  <c r="H193" i="1"/>
  <c r="J193" i="1" s="1"/>
  <c r="H194" i="1"/>
  <c r="J194" i="1" s="1"/>
  <c r="H195" i="1"/>
  <c r="J195" i="1" s="1"/>
  <c r="H196" i="1"/>
  <c r="J196" i="1" s="1"/>
  <c r="H197" i="1"/>
  <c r="J197" i="1" s="1"/>
  <c r="H198" i="1"/>
  <c r="J198" i="1" s="1"/>
  <c r="H199" i="1"/>
  <c r="J199" i="1" s="1"/>
  <c r="H200" i="1"/>
  <c r="J200" i="1" s="1"/>
  <c r="H201" i="1"/>
  <c r="J201" i="1" s="1"/>
  <c r="H202" i="1"/>
  <c r="J202" i="1" s="1"/>
  <c r="H2" i="1"/>
  <c r="J2" i="1" s="1"/>
  <c r="D22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" i="2"/>
</calcChain>
</file>

<file path=xl/connections.xml><?xml version="1.0" encoding="utf-8"?>
<connections xmlns="http://schemas.openxmlformats.org/spreadsheetml/2006/main">
  <connection id="1" name="branches" type="6" refreshedVersion="5" background="1" saveData="1">
    <textPr codePage="437" sourceFile="C:\Users\pc\Pictures\NAIJA MART PROJECT RESOURCE\branches.csv" comma="1">
      <textFields count="3">
        <textField/>
        <textField/>
        <textField/>
      </textFields>
    </textPr>
  </connection>
  <connection id="2" name="customers" type="6" refreshedVersion="5" background="1" saveData="1">
    <textPr codePage="437" sourceFile="C:\Users\pc\Pictures\NAIJA MART PROJECT RESOURCE\customers.csv" comma="1">
      <textFields count="3">
        <textField/>
        <textField/>
        <textField/>
      </textFields>
    </textPr>
  </connection>
  <connection id="3" name="products" type="6" refreshedVersion="5" background="1" saveData="1">
    <textPr codePage="437" sourceFile="C:\Users\pc\Pictures\NAIJA MART PROJECT RESOURCE\products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<sst xmlns="http://schemas.openxmlformats.org/spreadsheetml/2006/main" count="6439" uniqueCount="1913">
  <si>
    <t>transaction_id</t>
  </si>
  <si>
    <t>date</t>
  </si>
  <si>
    <t>branch_id</t>
  </si>
  <si>
    <t>product_id</t>
  </si>
  <si>
    <t>customer_id</t>
  </si>
  <si>
    <t>quantity</t>
  </si>
  <si>
    <t>discount_pct</t>
  </si>
  <si>
    <t>T01320</t>
  </si>
  <si>
    <t>BR003</t>
  </si>
  <si>
    <t>P008</t>
  </si>
  <si>
    <t>C0059</t>
  </si>
  <si>
    <t>T00314</t>
  </si>
  <si>
    <t>BR002</t>
  </si>
  <si>
    <t>P017</t>
  </si>
  <si>
    <t>C0133</t>
  </si>
  <si>
    <t>T00242</t>
  </si>
  <si>
    <t>BR001</t>
  </si>
  <si>
    <t>P013</t>
  </si>
  <si>
    <t>C0040</t>
  </si>
  <si>
    <t>T00362</t>
  </si>
  <si>
    <t>P004</t>
  </si>
  <si>
    <t>C0078</t>
  </si>
  <si>
    <t>T01236</t>
  </si>
  <si>
    <t>P016</t>
  </si>
  <si>
    <t>C0024</t>
  </si>
  <si>
    <t>T01198</t>
  </si>
  <si>
    <t>P007</t>
  </si>
  <si>
    <t>C0200</t>
  </si>
  <si>
    <t>T00147</t>
  </si>
  <si>
    <t>C0171</t>
  </si>
  <si>
    <t>T00180</t>
  </si>
  <si>
    <t>C0143</t>
  </si>
  <si>
    <t>T00112</t>
  </si>
  <si>
    <t>P024</t>
  </si>
  <si>
    <t>C0080</t>
  </si>
  <si>
    <t>T01260</t>
  </si>
  <si>
    <t>BR004</t>
  </si>
  <si>
    <t>P020</t>
  </si>
  <si>
    <t>C0085</t>
  </si>
  <si>
    <t>T00934</t>
  </si>
  <si>
    <t>P023</t>
  </si>
  <si>
    <t>C0013</t>
  </si>
  <si>
    <t>T01309</t>
  </si>
  <si>
    <t>P011</t>
  </si>
  <si>
    <t>C0007</t>
  </si>
  <si>
    <t>T00784</t>
  </si>
  <si>
    <t>P010</t>
  </si>
  <si>
    <t>C0192</t>
  </si>
  <si>
    <t>T01079</t>
  </si>
  <si>
    <t>P012</t>
  </si>
  <si>
    <t>T01329</t>
  </si>
  <si>
    <t>P018</t>
  </si>
  <si>
    <t>C0015</t>
  </si>
  <si>
    <t>T00464</t>
  </si>
  <si>
    <t>C0187</t>
  </si>
  <si>
    <t>T00018</t>
  </si>
  <si>
    <t>P014</t>
  </si>
  <si>
    <t>C0060</t>
  </si>
  <si>
    <t>T00186</t>
  </si>
  <si>
    <t>P015</t>
  </si>
  <si>
    <t>C0034</t>
  </si>
  <si>
    <t>T00663</t>
  </si>
  <si>
    <t>C0141</t>
  </si>
  <si>
    <t>T01083</t>
  </si>
  <si>
    <t>P025</t>
  </si>
  <si>
    <t>C0165</t>
  </si>
  <si>
    <t>T00142</t>
  </si>
  <si>
    <t>C0111</t>
  </si>
  <si>
    <t>T01346</t>
  </si>
  <si>
    <t>P003</t>
  </si>
  <si>
    <t>C0199</t>
  </si>
  <si>
    <t>T00395</t>
  </si>
  <si>
    <t>C0099</t>
  </si>
  <si>
    <t>T00264</t>
  </si>
  <si>
    <t>C0130</t>
  </si>
  <si>
    <t>T00474</t>
  </si>
  <si>
    <t>C0145</t>
  </si>
  <si>
    <t>T01377</t>
  </si>
  <si>
    <t>C0118</t>
  </si>
  <si>
    <t>T00977</t>
  </si>
  <si>
    <t>P009</t>
  </si>
  <si>
    <t>C0170</t>
  </si>
  <si>
    <t>T00761</t>
  </si>
  <si>
    <t>C0148</t>
  </si>
  <si>
    <t>T00883</t>
  </si>
  <si>
    <t>C0174</t>
  </si>
  <si>
    <t>T00926</t>
  </si>
  <si>
    <t>C0047</t>
  </si>
  <si>
    <t>T00119</t>
  </si>
  <si>
    <t>C0012</t>
  </si>
  <si>
    <t>T01389</t>
  </si>
  <si>
    <t>P022</t>
  </si>
  <si>
    <t>C0046</t>
  </si>
  <si>
    <t>T00502</t>
  </si>
  <si>
    <t>P002</t>
  </si>
  <si>
    <t>C0002</t>
  </si>
  <si>
    <t>T00432</t>
  </si>
  <si>
    <t>P019</t>
  </si>
  <si>
    <t>C0042</t>
  </si>
  <si>
    <t>T00512</t>
  </si>
  <si>
    <t>C0197</t>
  </si>
  <si>
    <t>T00685</t>
  </si>
  <si>
    <t>C0173</t>
  </si>
  <si>
    <t>T00494</t>
  </si>
  <si>
    <t>C0153</t>
  </si>
  <si>
    <t>T00751</t>
  </si>
  <si>
    <t>C0061</t>
  </si>
  <si>
    <t>T00102</t>
  </si>
  <si>
    <t>C0211</t>
  </si>
  <si>
    <t>T01138</t>
  </si>
  <si>
    <t>C0095</t>
  </si>
  <si>
    <t>T00373</t>
  </si>
  <si>
    <t>C0193</t>
  </si>
  <si>
    <t>T00014</t>
  </si>
  <si>
    <t>C0106</t>
  </si>
  <si>
    <t>T01352</t>
  </si>
  <si>
    <t>C0154</t>
  </si>
  <si>
    <t>T01104</t>
  </si>
  <si>
    <t>C0036</t>
  </si>
  <si>
    <t>T00114</t>
  </si>
  <si>
    <t>C0009</t>
  </si>
  <si>
    <t>T01157</t>
  </si>
  <si>
    <t>C0109</t>
  </si>
  <si>
    <t>T00431</t>
  </si>
  <si>
    <t>C0182</t>
  </si>
  <si>
    <t>T00035</t>
  </si>
  <si>
    <t>P001</t>
  </si>
  <si>
    <t>C0105</t>
  </si>
  <si>
    <t>T00099</t>
  </si>
  <si>
    <t>C0162</t>
  </si>
  <si>
    <t>T01040</t>
  </si>
  <si>
    <t>T00641</t>
  </si>
  <si>
    <t>T00064</t>
  </si>
  <si>
    <t>T00398</t>
  </si>
  <si>
    <t>C0116</t>
  </si>
  <si>
    <t>T01333</t>
  </si>
  <si>
    <t>C0079</t>
  </si>
  <si>
    <t>T00870</t>
  </si>
  <si>
    <t>C0055</t>
  </si>
  <si>
    <t>T00657</t>
  </si>
  <si>
    <t>T00537</t>
  </si>
  <si>
    <t>C0112</t>
  </si>
  <si>
    <t>T01048</t>
  </si>
  <si>
    <t>C0161</t>
  </si>
  <si>
    <t>T00708</t>
  </si>
  <si>
    <t>C0067</t>
  </si>
  <si>
    <t>T00818</t>
  </si>
  <si>
    <t>C0202</t>
  </si>
  <si>
    <t>T00260</t>
  </si>
  <si>
    <t>P021</t>
  </si>
  <si>
    <t>C0083</t>
  </si>
  <si>
    <t>T00111</t>
  </si>
  <si>
    <t>T01258</t>
  </si>
  <si>
    <t>C0139</t>
  </si>
  <si>
    <t>T00059</t>
  </si>
  <si>
    <t>T00611</t>
  </si>
  <si>
    <t>T00448</t>
  </si>
  <si>
    <t>C0129</t>
  </si>
  <si>
    <t>T00025</t>
  </si>
  <si>
    <t>C0032</t>
  </si>
  <si>
    <t>T00016</t>
  </si>
  <si>
    <t>C0126</t>
  </si>
  <si>
    <t>T00173</t>
  </si>
  <si>
    <t>C0063</t>
  </si>
  <si>
    <t>T00325</t>
  </si>
  <si>
    <t>C0213</t>
  </si>
  <si>
    <t>T00301</t>
  </si>
  <si>
    <t>C0011</t>
  </si>
  <si>
    <t>T00100</t>
  </si>
  <si>
    <t>C0051</t>
  </si>
  <si>
    <t>T00658</t>
  </si>
  <si>
    <t>T00858</t>
  </si>
  <si>
    <t>T01248</t>
  </si>
  <si>
    <t>T01331</t>
  </si>
  <si>
    <t>C0122</t>
  </si>
  <si>
    <t>T00674</t>
  </si>
  <si>
    <t>C0150</t>
  </si>
  <si>
    <t>T01366</t>
  </si>
  <si>
    <t>C0121</t>
  </si>
  <si>
    <t>T01111</t>
  </si>
  <si>
    <t>C0149</t>
  </si>
  <si>
    <t>T01144</t>
  </si>
  <si>
    <t>C0138</t>
  </si>
  <si>
    <t>T00501</t>
  </si>
  <si>
    <t>C0049</t>
  </si>
  <si>
    <t>T01050</t>
  </si>
  <si>
    <t>C0016</t>
  </si>
  <si>
    <t>T01087</t>
  </si>
  <si>
    <t>T00451</t>
  </si>
  <si>
    <t>C0151</t>
  </si>
  <si>
    <t>T00370</t>
  </si>
  <si>
    <t>C0094</t>
  </si>
  <si>
    <t>T00639</t>
  </si>
  <si>
    <t>T00427</t>
  </si>
  <si>
    <t>C0035</t>
  </si>
  <si>
    <t>T01110</t>
  </si>
  <si>
    <t>T00940</t>
  </si>
  <si>
    <t>P006</t>
  </si>
  <si>
    <t>C0110</t>
  </si>
  <si>
    <t>T01115</t>
  </si>
  <si>
    <t>C0159</t>
  </si>
  <si>
    <t>T00295</t>
  </si>
  <si>
    <t>T00841</t>
  </si>
  <si>
    <t>C0188</t>
  </si>
  <si>
    <t>T00894</t>
  </si>
  <si>
    <t>C0056</t>
  </si>
  <si>
    <t>T00326</t>
  </si>
  <si>
    <t>C0010</t>
  </si>
  <si>
    <t>T00800</t>
  </si>
  <si>
    <t>C0089</t>
  </si>
  <si>
    <t>T00888</t>
  </si>
  <si>
    <t>C0127</t>
  </si>
  <si>
    <t>T01016</t>
  </si>
  <si>
    <t>C0041</t>
  </si>
  <si>
    <t>T01139</t>
  </si>
  <si>
    <t>C0090</t>
  </si>
  <si>
    <t>T01022</t>
  </si>
  <si>
    <t>C0108</t>
  </si>
  <si>
    <t>T01057</t>
  </si>
  <si>
    <t>C0004</t>
  </si>
  <si>
    <t>T00919</t>
  </si>
  <si>
    <t>T00052</t>
  </si>
  <si>
    <t>T00276</t>
  </si>
  <si>
    <t>T00709</t>
  </si>
  <si>
    <t>C0062</t>
  </si>
  <si>
    <t>T00799</t>
  </si>
  <si>
    <t>C0168</t>
  </si>
  <si>
    <t>T00416</t>
  </si>
  <si>
    <t>C0204</t>
  </si>
  <si>
    <t>T00447</t>
  </si>
  <si>
    <t>C0194</t>
  </si>
  <si>
    <t>T00542</t>
  </si>
  <si>
    <t>T00393</t>
  </si>
  <si>
    <t>T00535</t>
  </si>
  <si>
    <t>C0045</t>
  </si>
  <si>
    <t>T01219</t>
  </si>
  <si>
    <t>T00971</t>
  </si>
  <si>
    <t>T00752</t>
  </si>
  <si>
    <t>C0039</t>
  </si>
  <si>
    <t>T01159</t>
  </si>
  <si>
    <t>C0132</t>
  </si>
  <si>
    <t>T01327</t>
  </si>
  <si>
    <t>T01204</t>
  </si>
  <si>
    <t>C0186</t>
  </si>
  <si>
    <t>T00607</t>
  </si>
  <si>
    <t>C0220</t>
  </si>
  <si>
    <t>T00187</t>
  </si>
  <si>
    <t>T00455</t>
  </si>
  <si>
    <t>T01202</t>
  </si>
  <si>
    <t>T00807</t>
  </si>
  <si>
    <t>C0215</t>
  </si>
  <si>
    <t>T00211</t>
  </si>
  <si>
    <t>T00904</t>
  </si>
  <si>
    <t>C0176</t>
  </si>
  <si>
    <t>T00281</t>
  </si>
  <si>
    <t>T00411</t>
  </si>
  <si>
    <t>C0160</t>
  </si>
  <si>
    <t>T00021</t>
  </si>
  <si>
    <t>P005</t>
  </si>
  <si>
    <t>T00047</t>
  </si>
  <si>
    <t>T00463</t>
  </si>
  <si>
    <t>C0074</t>
  </si>
  <si>
    <t>T00644</t>
  </si>
  <si>
    <t>C0066</t>
  </si>
  <si>
    <t>T01348</t>
  </si>
  <si>
    <t>C0210</t>
  </si>
  <si>
    <t>T00769</t>
  </si>
  <si>
    <t>T01027</t>
  </si>
  <si>
    <t>T00569</t>
  </si>
  <si>
    <t>C0189</t>
  </si>
  <si>
    <t>T00877</t>
  </si>
  <si>
    <t>T00796</t>
  </si>
  <si>
    <t>T00956</t>
  </si>
  <si>
    <t>T00789</t>
  </si>
  <si>
    <t>C0052</t>
  </si>
  <si>
    <t>T00622</t>
  </si>
  <si>
    <t>T00954</t>
  </si>
  <si>
    <t>T01283</t>
  </si>
  <si>
    <t>T01247</t>
  </si>
  <si>
    <t>C0072</t>
  </si>
  <si>
    <t>T00129</t>
  </si>
  <si>
    <t>T00896</t>
  </si>
  <si>
    <t>T01081</t>
  </si>
  <si>
    <t>T00285</t>
  </si>
  <si>
    <t>C0219</t>
  </si>
  <si>
    <t>T00345</t>
  </si>
  <si>
    <t>T01354</t>
  </si>
  <si>
    <t>T01268</t>
  </si>
  <si>
    <t>C0069</t>
  </si>
  <si>
    <t>T00229</t>
  </si>
  <si>
    <t>T01343</t>
  </si>
  <si>
    <t>T00559</t>
  </si>
  <si>
    <t>T01199</t>
  </si>
  <si>
    <t>C0075</t>
  </si>
  <si>
    <t>T00598</t>
  </si>
  <si>
    <t>C0088</t>
  </si>
  <si>
    <t>T00991</t>
  </si>
  <si>
    <t>C0086</t>
  </si>
  <si>
    <t>T00433</t>
  </si>
  <si>
    <t>T00340</t>
  </si>
  <si>
    <t>C0025</t>
  </si>
  <si>
    <t>T01310</t>
  </si>
  <si>
    <t>C0044</t>
  </si>
  <si>
    <t>T01184</t>
  </si>
  <si>
    <t>C0113</t>
  </si>
  <si>
    <t>T00766</t>
  </si>
  <si>
    <t>T00165</t>
  </si>
  <si>
    <t>T00109</t>
  </si>
  <si>
    <t>C0068</t>
  </si>
  <si>
    <t>T00208</t>
  </si>
  <si>
    <t>T00309</t>
  </si>
  <si>
    <t>T00868</t>
  </si>
  <si>
    <t>T01122</t>
  </si>
  <si>
    <t>C0172</t>
  </si>
  <si>
    <t>T00688</t>
  </si>
  <si>
    <t>T01312</t>
  </si>
  <si>
    <t>T00573</t>
  </si>
  <si>
    <t>T00548</t>
  </si>
  <si>
    <t>T00284</t>
  </si>
  <si>
    <t>T01187</t>
  </si>
  <si>
    <t>T01349</t>
  </si>
  <si>
    <t>T01360</t>
  </si>
  <si>
    <t>C0119</t>
  </si>
  <si>
    <t>T00355</t>
  </si>
  <si>
    <t>C0100</t>
  </si>
  <si>
    <t>T01128</t>
  </si>
  <si>
    <t>C0026</t>
  </si>
  <si>
    <t>T00128</t>
  </si>
  <si>
    <t>T00549</t>
  </si>
  <si>
    <t>T00944</t>
  </si>
  <si>
    <t>T00923</t>
  </si>
  <si>
    <t>T01374</t>
  </si>
  <si>
    <t>T01029</t>
  </si>
  <si>
    <t>C0031</t>
  </si>
  <si>
    <t>T01088</t>
  </si>
  <si>
    <t>C0120</t>
  </si>
  <si>
    <t>T00254</t>
  </si>
  <si>
    <t>T00867</t>
  </si>
  <si>
    <t>T00171</t>
  </si>
  <si>
    <t>T00061</t>
  </si>
  <si>
    <t>T01034</t>
  </si>
  <si>
    <t>C0023</t>
  </si>
  <si>
    <t>T00706</t>
  </si>
  <si>
    <t>C0136</t>
  </si>
  <si>
    <t>T00846</t>
  </si>
  <si>
    <t>T00413</t>
  </si>
  <si>
    <t>C0053</t>
  </si>
  <si>
    <t>T00190</t>
  </si>
  <si>
    <t>T00408</t>
  </si>
  <si>
    <t>C0178</t>
  </si>
  <si>
    <t>T00415</t>
  </si>
  <si>
    <t>C0147</t>
  </si>
  <si>
    <t>T00250</t>
  </si>
  <si>
    <t>C0166</t>
  </si>
  <si>
    <t>T00485</t>
  </si>
  <si>
    <t>C0038</t>
  </si>
  <si>
    <t>T00368</t>
  </si>
  <si>
    <t>T00331</t>
  </si>
  <si>
    <t>T00390</t>
  </si>
  <si>
    <t>T00618</t>
  </si>
  <si>
    <t>C0167</t>
  </si>
  <si>
    <t>T00263</t>
  </si>
  <si>
    <t>T00378</t>
  </si>
  <si>
    <t>T00958</t>
  </si>
  <si>
    <t>C0081</t>
  </si>
  <si>
    <t>T01363</t>
  </si>
  <si>
    <t>T01318</t>
  </si>
  <si>
    <t>C0092</t>
  </si>
  <si>
    <t>T00733</t>
  </si>
  <si>
    <t>T00028</t>
  </si>
  <si>
    <t>T00619</t>
  </si>
  <si>
    <t>C0208</t>
  </si>
  <si>
    <t>T00651</t>
  </si>
  <si>
    <t>C0019</t>
  </si>
  <si>
    <t>T00763</t>
  </si>
  <si>
    <t>T00409</t>
  </si>
  <si>
    <t>C0196</t>
  </si>
  <si>
    <t>T00253</t>
  </si>
  <si>
    <t>T00044</t>
  </si>
  <si>
    <t>C0020</t>
  </si>
  <si>
    <t>T00864</t>
  </si>
  <si>
    <t>T01252</t>
  </si>
  <si>
    <t>C0123</t>
  </si>
  <si>
    <t>T00713</t>
  </si>
  <si>
    <t>T01368</t>
  </si>
  <si>
    <t>T00596</t>
  </si>
  <si>
    <t>T00152</t>
  </si>
  <si>
    <t>C0140</t>
  </si>
  <si>
    <t>T01125</t>
  </si>
  <si>
    <t>T00575</t>
  </si>
  <si>
    <t>C0103</t>
  </si>
  <si>
    <t>T00446</t>
  </si>
  <si>
    <t>T00649</t>
  </si>
  <si>
    <t>T01325</t>
  </si>
  <si>
    <t>T00327</t>
  </si>
  <si>
    <t>T00319</t>
  </si>
  <si>
    <t>T00875</t>
  </si>
  <si>
    <t>T01277</t>
  </si>
  <si>
    <t>C0206</t>
  </si>
  <si>
    <t>T00153</t>
  </si>
  <si>
    <t>C0217</t>
  </si>
  <si>
    <t>T00195</t>
  </si>
  <si>
    <t>T00952</t>
  </si>
  <si>
    <t>C0071</t>
  </si>
  <si>
    <t>T00493</t>
  </si>
  <si>
    <t>C0207</t>
  </si>
  <si>
    <t>T00743</t>
  </si>
  <si>
    <t>C0158</t>
  </si>
  <si>
    <t>T01304</t>
  </si>
  <si>
    <t>T00217</t>
  </si>
  <si>
    <t>T01357</t>
  </si>
  <si>
    <t>T00652</t>
  </si>
  <si>
    <t>T00069</t>
  </si>
  <si>
    <t>T00364</t>
  </si>
  <si>
    <t>T00737</t>
  </si>
  <si>
    <t>C0179</t>
  </si>
  <si>
    <t>T00638</t>
  </si>
  <si>
    <t>T01197</t>
  </si>
  <si>
    <t>T01262</t>
  </si>
  <si>
    <t>T00010</t>
  </si>
  <si>
    <t>C0057</t>
  </si>
  <si>
    <t>T01170</t>
  </si>
  <si>
    <t>T00531</t>
  </si>
  <si>
    <t>C0183</t>
  </si>
  <si>
    <t>T00371</t>
  </si>
  <si>
    <t>T01168</t>
  </si>
  <si>
    <t>C0169</t>
  </si>
  <si>
    <t>T01075</t>
  </si>
  <si>
    <t>C0146</t>
  </si>
  <si>
    <t>T00749</t>
  </si>
  <si>
    <t>C0156</t>
  </si>
  <si>
    <t>T00286</t>
  </si>
  <si>
    <t>T00241</t>
  </si>
  <si>
    <t>T00200</t>
  </si>
  <si>
    <t>T00684</t>
  </si>
  <si>
    <t>T00591</t>
  </si>
  <si>
    <t>T00205</t>
  </si>
  <si>
    <t>T01152</t>
  </si>
  <si>
    <t>T00188</t>
  </si>
  <si>
    <t>T00886</t>
  </si>
  <si>
    <t>T00397</t>
  </si>
  <si>
    <t>T00927</t>
  </si>
  <si>
    <t>T00526</t>
  </si>
  <si>
    <t>T01330</t>
  </si>
  <si>
    <t>T01124</t>
  </si>
  <si>
    <t>T01295</t>
  </si>
  <si>
    <t>T01365</t>
  </si>
  <si>
    <t>T00351</t>
  </si>
  <si>
    <t>C0021</t>
  </si>
  <si>
    <t>T00110</t>
  </si>
  <si>
    <t>T01222</t>
  </si>
  <si>
    <t>T00123</t>
  </si>
  <si>
    <t>T00694</t>
  </si>
  <si>
    <t>T00582</t>
  </si>
  <si>
    <t>C0184</t>
  </si>
  <si>
    <t>T00384</t>
  </si>
  <si>
    <t>T00821</t>
  </si>
  <si>
    <t>T01286</t>
  </si>
  <si>
    <t>T00519</t>
  </si>
  <si>
    <t>C0114</t>
  </si>
  <si>
    <t>T01011</t>
  </si>
  <si>
    <t>C0097</t>
  </si>
  <si>
    <t>T00565</t>
  </si>
  <si>
    <t>T01289</t>
  </si>
  <si>
    <t>T01194</t>
  </si>
  <si>
    <t>T00068</t>
  </si>
  <si>
    <t>T00699</t>
  </si>
  <si>
    <t>T00352</t>
  </si>
  <si>
    <t>T00705</t>
  </si>
  <si>
    <t>C0203</t>
  </si>
  <si>
    <t>T00782</t>
  </si>
  <si>
    <t>T00599</t>
  </si>
  <si>
    <t>C0195</t>
  </si>
  <si>
    <t>T01218</t>
  </si>
  <si>
    <t>T00922</t>
  </si>
  <si>
    <t>C0163</t>
  </si>
  <si>
    <t>T01136</t>
  </si>
  <si>
    <t>C0027</t>
  </si>
  <si>
    <t>T01273</t>
  </si>
  <si>
    <t>T00612</t>
  </si>
  <si>
    <t>C0115</t>
  </si>
  <si>
    <t>T00347</t>
  </si>
  <si>
    <t>T00756</t>
  </si>
  <si>
    <t>T00697</t>
  </si>
  <si>
    <t>T01203</t>
  </si>
  <si>
    <t>T01114</t>
  </si>
  <si>
    <t>C0117</t>
  </si>
  <si>
    <t>T00126</t>
  </si>
  <si>
    <t>T00840</t>
  </si>
  <si>
    <t>T00636</t>
  </si>
  <si>
    <t>T00716</t>
  </si>
  <si>
    <t>C0054</t>
  </si>
  <si>
    <t>T01211</t>
  </si>
  <si>
    <t>C0018</t>
  </si>
  <si>
    <t>T00290</t>
  </si>
  <si>
    <t>T00963</t>
  </si>
  <si>
    <t>T00745</t>
  </si>
  <si>
    <t>T00736</t>
  </si>
  <si>
    <t>T00054</t>
  </si>
  <si>
    <t>T00936</t>
  </si>
  <si>
    <t>C0001</t>
  </si>
  <si>
    <t>T00703</t>
  </si>
  <si>
    <t>T00041</t>
  </si>
  <si>
    <t>T00620</t>
  </si>
  <si>
    <t>C0175</t>
  </si>
  <si>
    <t>T00913</t>
  </si>
  <si>
    <t>T00475</t>
  </si>
  <si>
    <t>T01196</t>
  </si>
  <si>
    <t>T00084</t>
  </si>
  <si>
    <t>T00116</t>
  </si>
  <si>
    <t>T01086</t>
  </si>
  <si>
    <t>T00329</t>
  </si>
  <si>
    <t>T00678</t>
  </si>
  <si>
    <t>T00588</t>
  </si>
  <si>
    <t>C0006</t>
  </si>
  <si>
    <t>T00547</t>
  </si>
  <si>
    <t>C0073</t>
  </si>
  <si>
    <t>T01173</t>
  </si>
  <si>
    <t>T00504</t>
  </si>
  <si>
    <t>C0104</t>
  </si>
  <si>
    <t>T01296</t>
  </si>
  <si>
    <t>T01151</t>
  </si>
  <si>
    <t>C0022</t>
  </si>
  <si>
    <t>T00097</t>
  </si>
  <si>
    <t>C0058</t>
  </si>
  <si>
    <t>T00410</t>
  </si>
  <si>
    <t>C0201</t>
  </si>
  <si>
    <t>T01282</t>
  </si>
  <si>
    <t>C0142</t>
  </si>
  <si>
    <t>T01385</t>
  </si>
  <si>
    <t>T00049</t>
  </si>
  <si>
    <t>T00682</t>
  </si>
  <si>
    <t>T01049</t>
  </si>
  <si>
    <t>T00154</t>
  </si>
  <si>
    <t>T00238</t>
  </si>
  <si>
    <t>T00055</t>
  </si>
  <si>
    <t>T00124</t>
  </si>
  <si>
    <t>C0098</t>
  </si>
  <si>
    <t>T00135</t>
  </si>
  <si>
    <t>T00269</t>
  </si>
  <si>
    <t>T00098</t>
  </si>
  <si>
    <t>T00221</t>
  </si>
  <si>
    <t>T00042</t>
  </si>
  <si>
    <t>T00881</t>
  </si>
  <si>
    <t>T00417</t>
  </si>
  <si>
    <t>T00759</t>
  </si>
  <si>
    <t>T01257</t>
  </si>
  <si>
    <t>C0137</t>
  </si>
  <si>
    <t>T00829</t>
  </si>
  <si>
    <t>T00534</t>
  </si>
  <si>
    <t>T00013</t>
  </si>
  <si>
    <t>C0180</t>
  </si>
  <si>
    <t>T00643</t>
  </si>
  <si>
    <t>T00499</t>
  </si>
  <si>
    <t>T00973</t>
  </si>
  <si>
    <t>T00669</t>
  </si>
  <si>
    <t>T00518</t>
  </si>
  <si>
    <t>C0216</t>
  </si>
  <si>
    <t>T01347</t>
  </si>
  <si>
    <t>T00566</t>
  </si>
  <si>
    <t>T00803</t>
  </si>
  <si>
    <t>T00880</t>
  </si>
  <si>
    <t>T00650</t>
  </si>
  <si>
    <t>T01324</t>
  </si>
  <si>
    <t>T01099</t>
  </si>
  <si>
    <t>T00508</t>
  </si>
  <si>
    <t>C0030</t>
  </si>
  <si>
    <t>T00735</t>
  </si>
  <si>
    <t>C0125</t>
  </si>
  <si>
    <t>T00994</t>
  </si>
  <si>
    <t>T00386</t>
  </si>
  <si>
    <t>T00859</t>
  </si>
  <si>
    <t>T00337</t>
  </si>
  <si>
    <t>T00233</t>
  </si>
  <si>
    <t>C0017</t>
  </si>
  <si>
    <t>T00490</t>
  </si>
  <si>
    <t>T00468</t>
  </si>
  <si>
    <t>T00604</t>
  </si>
  <si>
    <t>T00653</t>
  </si>
  <si>
    <t>T00298</t>
  </si>
  <si>
    <t>T01223</t>
  </si>
  <si>
    <t>T00985</t>
  </si>
  <si>
    <t>T00603</t>
  </si>
  <si>
    <t>T00206</t>
  </si>
  <si>
    <t>T01107</t>
  </si>
  <si>
    <t>T00458</t>
  </si>
  <si>
    <t>T00469</t>
  </si>
  <si>
    <t>T00738</t>
  </si>
  <si>
    <t>T00975</t>
  </si>
  <si>
    <t>T01179</t>
  </si>
  <si>
    <t>T00661</t>
  </si>
  <si>
    <t>T01267</t>
  </si>
  <si>
    <t>T01328</t>
  </si>
  <si>
    <t>T00557</t>
  </si>
  <si>
    <t>C0144</t>
  </si>
  <si>
    <t>T00771</t>
  </si>
  <si>
    <t>T01399</t>
  </si>
  <si>
    <t>C0155</t>
  </si>
  <si>
    <t>T01243</t>
  </si>
  <si>
    <t>T00656</t>
  </si>
  <si>
    <t>T01280</t>
  </si>
  <si>
    <t>T00586</t>
  </si>
  <si>
    <t>T00158</t>
  </si>
  <si>
    <t>C0077</t>
  </si>
  <si>
    <t>T00666</t>
  </si>
  <si>
    <t>C0131</t>
  </si>
  <si>
    <t>T01212</t>
  </si>
  <si>
    <t>T00141</t>
  </si>
  <si>
    <t>T00161</t>
  </si>
  <si>
    <t>T00306</t>
  </si>
  <si>
    <t>T01038</t>
  </si>
  <si>
    <t>T01294</t>
  </si>
  <si>
    <t>T01376</t>
  </si>
  <si>
    <t>T00396</t>
  </si>
  <si>
    <t>T00505</t>
  </si>
  <si>
    <t>T00400</t>
  </si>
  <si>
    <t>T00879</t>
  </si>
  <si>
    <t>T01201</t>
  </si>
  <si>
    <t>C0212</t>
  </si>
  <si>
    <t>T00903</t>
  </si>
  <si>
    <t>T00901</t>
  </si>
  <si>
    <t>C0087</t>
  </si>
  <si>
    <t>T00225</t>
  </si>
  <si>
    <t>C0003</t>
  </si>
  <si>
    <t>T00982</t>
  </si>
  <si>
    <t>T01174</t>
  </si>
  <si>
    <t>T00356</t>
  </si>
  <si>
    <t>T01146</t>
  </si>
  <si>
    <t>T00472</t>
  </si>
  <si>
    <t>T00964</t>
  </si>
  <si>
    <t>T00863</t>
  </si>
  <si>
    <t>T00852</t>
  </si>
  <si>
    <t>T00955</t>
  </si>
  <si>
    <t>T01008</t>
  </si>
  <si>
    <t>T00027</t>
  </si>
  <si>
    <t>T01043</t>
  </si>
  <si>
    <t>T00359</t>
  </si>
  <si>
    <t>C0082</t>
  </si>
  <si>
    <t>T00279</t>
  </si>
  <si>
    <t>T00572</t>
  </si>
  <si>
    <t>T01298</t>
  </si>
  <si>
    <t>T00004</t>
  </si>
  <si>
    <t>T00024</t>
  </si>
  <si>
    <t>T01228</t>
  </si>
  <si>
    <t>T00489</t>
  </si>
  <si>
    <t>T00348</t>
  </si>
  <si>
    <t>T01164</t>
  </si>
  <si>
    <t>T01018</t>
  </si>
  <si>
    <t>C0065</t>
  </si>
  <si>
    <t>T01014</t>
  </si>
  <si>
    <t>C0218</t>
  </si>
  <si>
    <t>T00908</t>
  </si>
  <si>
    <t>T01119</t>
  </si>
  <si>
    <t>T00594</t>
  </si>
  <si>
    <t>T01265</t>
  </si>
  <si>
    <t>T00380</t>
  </si>
  <si>
    <t>T00783</t>
  </si>
  <si>
    <t>T00375</t>
  </si>
  <si>
    <t>T01216</t>
  </si>
  <si>
    <t>C0008</t>
  </si>
  <si>
    <t>T00574</t>
  </si>
  <si>
    <t>C0181</t>
  </si>
  <si>
    <t>T00810</t>
  </si>
  <si>
    <t>C0177</t>
  </si>
  <si>
    <t>T00452</t>
  </si>
  <si>
    <t>T00479</t>
  </si>
  <si>
    <t>T00232</t>
  </si>
  <si>
    <t>T00148</t>
  </si>
  <si>
    <t>T01009</t>
  </si>
  <si>
    <t>T00168</t>
  </si>
  <si>
    <t>T00073</t>
  </si>
  <si>
    <t>T00071</t>
  </si>
  <si>
    <t>T00595</t>
  </si>
  <si>
    <t>C0050</t>
  </si>
  <si>
    <t>T01189</t>
  </si>
  <si>
    <t>T00172</t>
  </si>
  <si>
    <t>T00131</t>
  </si>
  <si>
    <t>T00169</t>
  </si>
  <si>
    <t>T00265</t>
  </si>
  <si>
    <t>T00514</t>
  </si>
  <si>
    <t>T01290</t>
  </si>
  <si>
    <t>T00948</t>
  </si>
  <si>
    <t>T00273</t>
  </si>
  <si>
    <t>C0093</t>
  </si>
  <si>
    <t>T01195</t>
  </si>
  <si>
    <t>T00421</t>
  </si>
  <si>
    <t>T00511</t>
  </si>
  <si>
    <t>T01063</t>
  </si>
  <si>
    <t>T00921</t>
  </si>
  <si>
    <t>T01117</t>
  </si>
  <si>
    <t>T00043</t>
  </si>
  <si>
    <t>C0028</t>
  </si>
  <si>
    <t>T00057</t>
  </si>
  <si>
    <t>C0029</t>
  </si>
  <si>
    <t>T01246</t>
  </si>
  <si>
    <t>T00621</t>
  </si>
  <si>
    <t>T00133</t>
  </si>
  <si>
    <t>T01166</t>
  </si>
  <si>
    <t>T01106</t>
  </si>
  <si>
    <t>T00039</t>
  </si>
  <si>
    <t>T00307</t>
  </si>
  <si>
    <t>T00507</t>
  </si>
  <si>
    <t>T00778</t>
  </si>
  <si>
    <t>T00271</t>
  </si>
  <si>
    <t>T01076</t>
  </si>
  <si>
    <t>T01241</t>
  </si>
  <si>
    <t>T00167</t>
  </si>
  <si>
    <t>T00721</t>
  </si>
  <si>
    <t>T00072</t>
  </si>
  <si>
    <t>T00562</t>
  </si>
  <si>
    <t>T00957</t>
  </si>
  <si>
    <t>T00983</t>
  </si>
  <si>
    <t>T00541</t>
  </si>
  <si>
    <t>T01140</t>
  </si>
  <si>
    <t>T01326</t>
  </si>
  <si>
    <t>C0135</t>
  </si>
  <si>
    <t>T00631</t>
  </si>
  <si>
    <t>T00610</t>
  </si>
  <si>
    <t>T00849</t>
  </si>
  <si>
    <t>C0198</t>
  </si>
  <si>
    <t>T00675</t>
  </si>
  <si>
    <t>T00317</t>
  </si>
  <si>
    <t>T00873</t>
  </si>
  <si>
    <t>T01207</t>
  </si>
  <si>
    <t>T00005</t>
  </si>
  <si>
    <t>T00563</t>
  </si>
  <si>
    <t>T00798</t>
  </si>
  <si>
    <t>T00757</t>
  </si>
  <si>
    <t>T01064</t>
  </si>
  <si>
    <t>T01232</t>
  </si>
  <si>
    <t>T00899</t>
  </si>
  <si>
    <t>T00698</t>
  </si>
  <si>
    <t>T00532</t>
  </si>
  <si>
    <t>C0157</t>
  </si>
  <si>
    <t>T01098</t>
  </si>
  <si>
    <t>T01245</t>
  </si>
  <si>
    <t>T01161</t>
  </si>
  <si>
    <t>T00453</t>
  </si>
  <si>
    <t>C0043</t>
  </si>
  <si>
    <t>T00095</t>
  </si>
  <si>
    <t>T00096</t>
  </si>
  <si>
    <t>T00928</t>
  </si>
  <si>
    <t>T00882</t>
  </si>
  <si>
    <t>C0096</t>
  </si>
  <si>
    <t>T00062</t>
  </si>
  <si>
    <t>T01264</t>
  </si>
  <si>
    <t>T01392</t>
  </si>
  <si>
    <t>T00889</t>
  </si>
  <si>
    <t>T00245</t>
  </si>
  <si>
    <t>T00026</t>
  </si>
  <si>
    <t>T00223</t>
  </si>
  <si>
    <t>T01361</t>
  </si>
  <si>
    <t>T00106</t>
  </si>
  <si>
    <t>T00659</t>
  </si>
  <si>
    <t>T00510</t>
  </si>
  <si>
    <t>T00132</t>
  </si>
  <si>
    <t>T00900</t>
  </si>
  <si>
    <t>T01239</t>
  </si>
  <si>
    <t>T00509</t>
  </si>
  <si>
    <t>T01129</t>
  </si>
  <si>
    <t>T00076</t>
  </si>
  <si>
    <t>T00037</t>
  </si>
  <si>
    <t>T01238</t>
  </si>
  <si>
    <t>T00058</t>
  </si>
  <si>
    <t>C0102</t>
  </si>
  <si>
    <t>T00197</t>
  </si>
  <si>
    <t>C0033</t>
  </si>
  <si>
    <t>T01372</t>
  </si>
  <si>
    <t>T01301</t>
  </si>
  <si>
    <t>T00587</t>
  </si>
  <si>
    <t>T00478</t>
  </si>
  <si>
    <t>T00087</t>
  </si>
  <si>
    <t>T00335</t>
  </si>
  <si>
    <t>T01118</t>
  </si>
  <si>
    <t>C0107</t>
  </si>
  <si>
    <t>T00719</t>
  </si>
  <si>
    <t>T00790</t>
  </si>
  <si>
    <t>T01090</t>
  </si>
  <si>
    <t>C0190</t>
  </si>
  <si>
    <t>T01095</t>
  </si>
  <si>
    <t>T00539</t>
  </si>
  <si>
    <t>T00673</t>
  </si>
  <si>
    <t>T00419</t>
  </si>
  <si>
    <t>C0134</t>
  </si>
  <si>
    <t>T00831</t>
  </si>
  <si>
    <t>T01314</t>
  </si>
  <si>
    <t>T00993</t>
  </si>
  <si>
    <t>C0128</t>
  </si>
  <si>
    <t>T00718</t>
  </si>
  <si>
    <t>T01191</t>
  </si>
  <si>
    <t>T01024</t>
  </si>
  <si>
    <t>C0164</t>
  </si>
  <si>
    <t>T00768</t>
  </si>
  <si>
    <t>T01302</t>
  </si>
  <si>
    <t>T01032</t>
  </si>
  <si>
    <t>T01028</t>
  </si>
  <si>
    <t>T01135</t>
  </si>
  <si>
    <t>T01103</t>
  </si>
  <si>
    <t>T00009</t>
  </si>
  <si>
    <t>T00811</t>
  </si>
  <si>
    <t>T01269</t>
  </si>
  <si>
    <t>T00700</t>
  </si>
  <si>
    <t>T00884</t>
  </si>
  <si>
    <t>T01062</t>
  </si>
  <si>
    <t>T00075</t>
  </si>
  <si>
    <t>T00748</t>
  </si>
  <si>
    <t>T00523</t>
  </si>
  <si>
    <t>T00336</t>
  </si>
  <si>
    <t>T00570</t>
  </si>
  <si>
    <t>C0124</t>
  </si>
  <si>
    <t>T00089</t>
  </si>
  <si>
    <t>T01153</t>
  </si>
  <si>
    <t>T00218</t>
  </si>
  <si>
    <t>T01055</t>
  </si>
  <si>
    <t>T00174</t>
  </si>
  <si>
    <t>T00937</t>
  </si>
  <si>
    <t>T00916</t>
  </si>
  <si>
    <t>T00320</t>
  </si>
  <si>
    <t>T01224</t>
  </si>
  <si>
    <t>C0091</t>
  </si>
  <si>
    <t>T00701</t>
  </si>
  <si>
    <t>T00267</t>
  </si>
  <si>
    <t>T00007</t>
  </si>
  <si>
    <t>C0214</t>
  </si>
  <si>
    <t>T00139</t>
  </si>
  <si>
    <t>T00164</t>
  </si>
  <si>
    <t>T01315</t>
  </si>
  <si>
    <t>T01319</t>
  </si>
  <si>
    <t>T01026</t>
  </si>
  <si>
    <t>T01017</t>
  </si>
  <si>
    <t>T00524</t>
  </si>
  <si>
    <t>T00774</t>
  </si>
  <si>
    <t>T01089</t>
  </si>
  <si>
    <t>T00579</t>
  </si>
  <si>
    <t>T00672</t>
  </si>
  <si>
    <t>T00020</t>
  </si>
  <si>
    <t>T01190</t>
  </si>
  <si>
    <t>T00670</t>
  </si>
  <si>
    <t>T00680</t>
  </si>
  <si>
    <t>T00714</t>
  </si>
  <si>
    <t>T00138</t>
  </si>
  <si>
    <t>T00558</t>
  </si>
  <si>
    <t>C0064</t>
  </si>
  <si>
    <t>T01150</t>
  </si>
  <si>
    <t>T00634</t>
  </si>
  <si>
    <t>T00753</t>
  </si>
  <si>
    <t>T01023</t>
  </si>
  <si>
    <t>C0185</t>
  </si>
  <si>
    <t>T00369</t>
  </si>
  <si>
    <t>T01323</t>
  </si>
  <si>
    <t>T00732</t>
  </si>
  <si>
    <t>T00328</t>
  </si>
  <si>
    <t>T00318</t>
  </si>
  <si>
    <t>T01071</t>
  </si>
  <si>
    <t>T01039</t>
  </si>
  <si>
    <t>T00529</t>
  </si>
  <si>
    <t>T00527</t>
  </si>
  <si>
    <t>T00088</t>
  </si>
  <si>
    <t>T00480</t>
  </si>
  <si>
    <t>T00339</t>
  </si>
  <si>
    <t>T00665</t>
  </si>
  <si>
    <t>C0205</t>
  </si>
  <si>
    <t>T00149</t>
  </si>
  <si>
    <t>T01381</t>
  </si>
  <si>
    <t>T01297</t>
  </si>
  <si>
    <t>T00029</t>
  </si>
  <si>
    <t>T00247</t>
  </si>
  <si>
    <t>T00366</t>
  </si>
  <si>
    <t>C0209</t>
  </si>
  <si>
    <t>T00667</t>
  </si>
  <si>
    <t>T01059</t>
  </si>
  <si>
    <t>T00199</t>
  </si>
  <si>
    <t>T01341</t>
  </si>
  <si>
    <t>T01112</t>
  </si>
  <si>
    <t>T00405</t>
  </si>
  <si>
    <t>T00972</t>
  </si>
  <si>
    <t>T00484</t>
  </si>
  <si>
    <t>T00159</t>
  </si>
  <si>
    <t>T00316</t>
  </si>
  <si>
    <t>T00257</t>
  </si>
  <si>
    <t>T00008</t>
  </si>
  <si>
    <t>T01127</t>
  </si>
  <si>
    <t>T00385</t>
  </si>
  <si>
    <t>T00178</t>
  </si>
  <si>
    <t>T00869</t>
  </si>
  <si>
    <t>T00315</t>
  </si>
  <si>
    <t>T00358</t>
  </si>
  <si>
    <t>T00299</t>
  </si>
  <si>
    <t>T00456</t>
  </si>
  <si>
    <t>T00544</t>
  </si>
  <si>
    <t>T01065</t>
  </si>
  <si>
    <t>T00741</t>
  </si>
  <si>
    <t>T00528</t>
  </si>
  <si>
    <t>C0101</t>
  </si>
  <si>
    <t>T01175</t>
  </si>
  <si>
    <t>T00160</t>
  </si>
  <si>
    <t>T01169</t>
  </si>
  <si>
    <t>T00361</t>
  </si>
  <si>
    <t>T01237</t>
  </si>
  <si>
    <t>T00203</t>
  </si>
  <si>
    <t>T00872</t>
  </si>
  <si>
    <t>T00681</t>
  </si>
  <si>
    <t>T00113</t>
  </si>
  <si>
    <t>T00780</t>
  </si>
  <si>
    <t>T00308</t>
  </si>
  <si>
    <t>T00740</t>
  </si>
  <si>
    <t>T00423</t>
  </si>
  <si>
    <t>T00692</t>
  </si>
  <si>
    <t>C0084</t>
  </si>
  <si>
    <t>T01042</t>
  </si>
  <si>
    <t>T00826</t>
  </si>
  <si>
    <t>T00460</t>
  </si>
  <si>
    <t>T01051</t>
  </si>
  <si>
    <t>T01215</t>
  </si>
  <si>
    <t>T00717</t>
  </si>
  <si>
    <t>T00802</t>
  </si>
  <si>
    <t>T00450</t>
  </si>
  <si>
    <t>T01263</t>
  </si>
  <si>
    <t>T00081</t>
  </si>
  <si>
    <t>T01227</t>
  </si>
  <si>
    <t>T01340</t>
  </si>
  <si>
    <t>T00216</t>
  </si>
  <si>
    <t>T00833</t>
  </si>
  <si>
    <t>T00031</t>
  </si>
  <si>
    <t>T00243</t>
  </si>
  <si>
    <t>T00857</t>
  </si>
  <si>
    <t>T00642</t>
  </si>
  <si>
    <t>T00210</t>
  </si>
  <si>
    <t>T00729</t>
  </si>
  <si>
    <t>T00436</t>
  </si>
  <si>
    <t>T00947</t>
  </si>
  <si>
    <t>T01316</t>
  </si>
  <si>
    <t>T01287</t>
  </si>
  <si>
    <t>T01281</t>
  </si>
  <si>
    <t>T00689</t>
  </si>
  <si>
    <t>T00552</t>
  </si>
  <si>
    <t>T00545</t>
  </si>
  <si>
    <t>T00929</t>
  </si>
  <si>
    <t>T01142</t>
  </si>
  <si>
    <t>T00755</t>
  </si>
  <si>
    <t>T00404</t>
  </si>
  <si>
    <t>T01388</t>
  </si>
  <si>
    <t>T00363</t>
  </si>
  <si>
    <t>T00272</t>
  </si>
  <si>
    <t>T00467</t>
  </si>
  <si>
    <t>T01253</t>
  </si>
  <si>
    <t>T01035</t>
  </si>
  <si>
    <t>T00278</t>
  </si>
  <si>
    <t>T01251</t>
  </si>
  <si>
    <t>T01334</t>
  </si>
  <si>
    <t>T00839</t>
  </si>
  <si>
    <t>T00935</t>
  </si>
  <si>
    <t>T01082</t>
  </si>
  <si>
    <t>C0152</t>
  </si>
  <si>
    <t>T00443</t>
  </si>
  <si>
    <t>T00300</t>
  </si>
  <si>
    <t>T01133</t>
  </si>
  <si>
    <t>T00376</t>
  </si>
  <si>
    <t>T00969</t>
  </si>
  <si>
    <t>T01052</t>
  </si>
  <si>
    <t>T00836</t>
  </si>
  <si>
    <t>T00862</t>
  </si>
  <si>
    <t>T00473</t>
  </si>
  <si>
    <t>T00772</t>
  </si>
  <si>
    <t>T00564</t>
  </si>
  <si>
    <t>T01274</t>
  </si>
  <si>
    <t>T00389</t>
  </si>
  <si>
    <t>T00023</t>
  </si>
  <si>
    <t>T00861</t>
  </si>
  <si>
    <t>C0070</t>
  </si>
  <si>
    <t>T00125</t>
  </si>
  <si>
    <t>T00424</t>
  </si>
  <si>
    <t>T01261</t>
  </si>
  <si>
    <t>T01003</t>
  </si>
  <si>
    <t>T00722</t>
  </si>
  <si>
    <t>T00902</t>
  </si>
  <si>
    <t>T00143</t>
  </si>
  <si>
    <t>C0014</t>
  </si>
  <si>
    <t>T00051</t>
  </si>
  <si>
    <t>T01344</t>
  </si>
  <si>
    <t>T00998</t>
  </si>
  <si>
    <t>T00624</t>
  </si>
  <si>
    <t>T01025</t>
  </si>
  <si>
    <t>T00082</t>
  </si>
  <si>
    <t>T00704</t>
  </si>
  <si>
    <t>T00483</t>
  </si>
  <si>
    <t>T00322</t>
  </si>
  <si>
    <t>T01171</t>
  </si>
  <si>
    <t>T00968</t>
  </si>
  <si>
    <t>T01337</t>
  </si>
  <si>
    <t>T00067</t>
  </si>
  <si>
    <t>T00801</t>
  </si>
  <si>
    <t>T01242</t>
  </si>
  <si>
    <t>T00747</t>
  </si>
  <si>
    <t>T00032</t>
  </si>
  <si>
    <t>T00418</t>
  </si>
  <si>
    <t>T00633</t>
  </si>
  <si>
    <t>T01284</t>
  </si>
  <si>
    <t>T00065</t>
  </si>
  <si>
    <t>T00140</t>
  </si>
  <si>
    <t>T01131</t>
  </si>
  <si>
    <t>T01234</t>
  </si>
  <si>
    <t>T00492</t>
  </si>
  <si>
    <t>T01382</t>
  </si>
  <si>
    <t>T00986</t>
  </si>
  <si>
    <t>T00533</t>
  </si>
  <si>
    <t>T00066</t>
  </si>
  <si>
    <t>T01183</t>
  </si>
  <si>
    <t>T00792</t>
  </si>
  <si>
    <t>T01178</t>
  </si>
  <si>
    <t>T00297</t>
  </si>
  <si>
    <t>T00592</t>
  </si>
  <si>
    <t>T00420</t>
  </si>
  <si>
    <t>T00439</t>
  </si>
  <si>
    <t>T00262</t>
  </si>
  <si>
    <t>T00725</t>
  </si>
  <si>
    <t>T00978</t>
  </si>
  <si>
    <t>T00282</t>
  </si>
  <si>
    <t>T00627</t>
  </si>
  <si>
    <t>T00887</t>
  </si>
  <si>
    <t>T00946</t>
  </si>
  <si>
    <t>T01362</t>
  </si>
  <si>
    <t>T00189</t>
  </si>
  <si>
    <t>T00252</t>
  </si>
  <si>
    <t>T00584</t>
  </si>
  <si>
    <t>T00987</t>
  </si>
  <si>
    <t>T00979</t>
  </si>
  <si>
    <t>T01074</t>
  </si>
  <si>
    <t>T00515</t>
  </si>
  <si>
    <t>T00830</t>
  </si>
  <si>
    <t>T00707</t>
  </si>
  <si>
    <t>T00488</t>
  </si>
  <si>
    <t>T00664</t>
  </si>
  <si>
    <t>T00274</t>
  </si>
  <si>
    <t>T00686</t>
  </si>
  <si>
    <t>T01167</t>
  </si>
  <si>
    <t>T01266</t>
  </si>
  <si>
    <t>T00449</t>
  </si>
  <si>
    <t>T00412</t>
  </si>
  <si>
    <t>T00459</t>
  </si>
  <si>
    <t>T01012</t>
  </si>
  <si>
    <t>T01226</t>
  </si>
  <si>
    <t>T00668</t>
  </si>
  <si>
    <t>T01163</t>
  </si>
  <si>
    <t>T00150</t>
  </si>
  <si>
    <t>T01359</t>
  </si>
  <si>
    <t>T01147</t>
  </si>
  <si>
    <t>T00734</t>
  </si>
  <si>
    <t>T00219</t>
  </si>
  <si>
    <t>T00240</t>
  </si>
  <si>
    <t>T01096</t>
  </si>
  <si>
    <t>T00726</t>
  </si>
  <si>
    <t>T00193</t>
  </si>
  <si>
    <t>T00962</t>
  </si>
  <si>
    <t>T00192</t>
  </si>
  <si>
    <t>T00817</t>
  </si>
  <si>
    <t>T00838</t>
  </si>
  <si>
    <t>T00842</t>
  </si>
  <si>
    <t>T00645</t>
  </si>
  <si>
    <t>T00996</t>
  </si>
  <si>
    <t>T01073</t>
  </si>
  <si>
    <t>T01364</t>
  </si>
  <si>
    <t>T00017</t>
  </si>
  <si>
    <t>T01000</t>
  </si>
  <si>
    <t>T01132</t>
  </si>
  <si>
    <t>T00583</t>
  </si>
  <si>
    <t>T01335</t>
  </si>
  <si>
    <t>T01217</t>
  </si>
  <si>
    <t>T00628</t>
  </si>
  <si>
    <t>T01305</t>
  </si>
  <si>
    <t>T00324</t>
  </si>
  <si>
    <t>T00825</t>
  </si>
  <si>
    <t>T01345</t>
  </si>
  <si>
    <t>T00632</t>
  </si>
  <si>
    <t>T01105</t>
  </si>
  <si>
    <t>T00779</t>
  </si>
  <si>
    <t>T01256</t>
  </si>
  <si>
    <t>T00438</t>
  </si>
  <si>
    <t>T00120</t>
  </si>
  <si>
    <t>T01094</t>
  </si>
  <si>
    <t>T00791</t>
  </si>
  <si>
    <t>T00342</t>
  </si>
  <si>
    <t>T00816</t>
  </si>
  <si>
    <t>T00003</t>
  </si>
  <si>
    <t>T00230</t>
  </si>
  <si>
    <t>T00981</t>
  </si>
  <si>
    <t>T01355</t>
  </si>
  <si>
    <t>T00077</t>
  </si>
  <si>
    <t>T01299</t>
  </si>
  <si>
    <t>T01134</t>
  </si>
  <si>
    <t>C0191</t>
  </si>
  <si>
    <t>T00372</t>
  </si>
  <si>
    <t>T00181</t>
  </si>
  <si>
    <t>T00237</t>
  </si>
  <si>
    <t>T00578</t>
  </si>
  <si>
    <t>T00949</t>
  </si>
  <si>
    <t>T01387</t>
  </si>
  <si>
    <t>T01046</t>
  </si>
  <si>
    <t>T01209</t>
  </si>
  <si>
    <t>T01200</t>
  </si>
  <si>
    <t>T00906</t>
  </si>
  <si>
    <t>T00590</t>
  </si>
  <si>
    <t>T01054</t>
  </si>
  <si>
    <t>T00786</t>
  </si>
  <si>
    <t>T01078</t>
  </si>
  <si>
    <t>T00312</t>
  </si>
  <si>
    <t>T01126</t>
  </si>
  <si>
    <t>T00302</t>
  </si>
  <si>
    <t>T00723</t>
  </si>
  <si>
    <t>T00690</t>
  </si>
  <si>
    <t>T00813</t>
  </si>
  <si>
    <t>T00038</t>
  </si>
  <si>
    <t>T00354</t>
  </si>
  <si>
    <t>T01291</t>
  </si>
  <si>
    <t>T00715</t>
  </si>
  <si>
    <t>T01172</t>
  </si>
  <si>
    <t>T00730</t>
  </si>
  <si>
    <t>T01158</t>
  </si>
  <si>
    <t>T00878</t>
  </si>
  <si>
    <t>C0037</t>
  </si>
  <si>
    <t>T00500</t>
  </si>
  <si>
    <t>T01160</t>
  </si>
  <si>
    <t>T00554</t>
  </si>
  <si>
    <t>T00056</t>
  </si>
  <si>
    <t>T00303</t>
  </si>
  <si>
    <t>T00795</t>
  </si>
  <si>
    <t>T00287</t>
  </si>
  <si>
    <t>T01072</t>
  </si>
  <si>
    <t>T00220</t>
  </si>
  <si>
    <t>T00893</t>
  </si>
  <si>
    <t>T00388</t>
  </si>
  <si>
    <t>T00305</t>
  </si>
  <si>
    <t>T00391</t>
  </si>
  <si>
    <t>T00907</t>
  </si>
  <si>
    <t>T00353</t>
  </si>
  <si>
    <t>T00194</t>
  </si>
  <si>
    <t>T00236</t>
  </si>
  <si>
    <t>T01193</t>
  </si>
  <si>
    <t>T00695</t>
  </si>
  <si>
    <t>T00481</t>
  </si>
  <si>
    <t>T00568</t>
  </si>
  <si>
    <t>T00117</t>
  </si>
  <si>
    <t>T01116</t>
  </si>
  <si>
    <t>T00654</t>
  </si>
  <si>
    <t>T01384</t>
  </si>
  <si>
    <t>T01303</t>
  </si>
  <si>
    <t>T00758</t>
  </si>
  <si>
    <t>T00445</t>
  </si>
  <si>
    <t>T01370</t>
  </si>
  <si>
    <t>T00121</t>
  </si>
  <si>
    <t>T01080</t>
  </si>
  <si>
    <t>T01206</t>
  </si>
  <si>
    <t>T01056</t>
  </si>
  <si>
    <t>T00063</t>
  </si>
  <si>
    <t>T00744</t>
  </si>
  <si>
    <t>T00931</t>
  </si>
  <si>
    <t>T00454</t>
  </si>
  <si>
    <t>T00516</t>
  </si>
  <si>
    <t>T00571</t>
  </si>
  <si>
    <t>T00224</t>
  </si>
  <si>
    <t>T01047</t>
  </si>
  <si>
    <t>T00614</t>
  </si>
  <si>
    <t>T00844</t>
  </si>
  <si>
    <t>T00222</t>
  </si>
  <si>
    <t>T00942</t>
  </si>
  <si>
    <t>T00517</t>
  </si>
  <si>
    <t>T00466</t>
  </si>
  <si>
    <t>T00053</t>
  </si>
  <si>
    <t>T01288</t>
  </si>
  <si>
    <t>T00486</t>
  </si>
  <si>
    <t>T00876</t>
  </si>
  <si>
    <t>T01339</t>
  </si>
  <si>
    <t>T00819</t>
  </si>
  <si>
    <t>T00387</t>
  </si>
  <si>
    <t>T00156</t>
  </si>
  <si>
    <t>T01145</t>
  </si>
  <si>
    <t>T00601</t>
  </si>
  <si>
    <t>T01121</t>
  </si>
  <si>
    <t>T00249</t>
  </si>
  <si>
    <t>T00762</t>
  </si>
  <si>
    <t>T00871</t>
  </si>
  <si>
    <t>T00856</t>
  </si>
  <si>
    <t>T00442</t>
  </si>
  <si>
    <t>T01278</t>
  </si>
  <si>
    <t>T01292</t>
  </si>
  <si>
    <t>C0048</t>
  </si>
  <si>
    <t>T00543</t>
  </si>
  <si>
    <t>T01019</t>
  </si>
  <si>
    <t>T00702</t>
  </si>
  <si>
    <t>T00118</t>
  </si>
  <si>
    <t>T01021</t>
  </si>
  <si>
    <t>T00629</t>
  </si>
  <si>
    <t>T01006</t>
  </si>
  <si>
    <t>T00207</t>
  </si>
  <si>
    <t>T00292</t>
  </si>
  <si>
    <t>T01230</t>
  </si>
  <si>
    <t>T00382</t>
  </si>
  <si>
    <t>T00820</t>
  </si>
  <si>
    <t>T00984</t>
  </si>
  <si>
    <t>T01077</t>
  </si>
  <si>
    <t>T00201</t>
  </si>
  <si>
    <t>T00597</t>
  </si>
  <si>
    <t>T00898</t>
  </si>
  <si>
    <t>T01235</t>
  </si>
  <si>
    <t>T00855</t>
  </si>
  <si>
    <t>T01336</t>
  </si>
  <si>
    <t>C0005</t>
  </si>
  <si>
    <t>T01397</t>
  </si>
  <si>
    <t>T00805</t>
  </si>
  <si>
    <t>T01371</t>
  </si>
  <si>
    <t>T00976</t>
  </si>
  <si>
    <t>T00793</t>
  </si>
  <si>
    <t>T00770</t>
  </si>
  <si>
    <t>T00961</t>
  </si>
  <si>
    <t>T01182</t>
  </si>
  <si>
    <t>T00814</t>
  </si>
  <si>
    <t>T01123</t>
  </si>
  <si>
    <t>T00506</t>
  </si>
  <si>
    <t>T00892</t>
  </si>
  <si>
    <t>T00349</t>
  </si>
  <si>
    <t>T01045</t>
  </si>
  <si>
    <t>T01149</t>
  </si>
  <si>
    <t>T01400</t>
  </si>
  <si>
    <t>T00341</t>
  </si>
  <si>
    <t>T00787</t>
  </si>
  <si>
    <t>T00616</t>
  </si>
  <si>
    <t>T00155</t>
  </si>
  <si>
    <t>T01300</t>
  </si>
  <si>
    <t>T01271</t>
  </si>
  <si>
    <t>T00078</t>
  </si>
  <si>
    <t>T01395</t>
  </si>
  <si>
    <t>T00288</t>
  </si>
  <si>
    <t>T00323</t>
  </si>
  <si>
    <t>T00687</t>
  </si>
  <si>
    <t>T01084</t>
  </si>
  <si>
    <t>T01356</t>
  </si>
  <si>
    <t>T00914</t>
  </si>
  <si>
    <t>T01275</t>
  </si>
  <si>
    <t>T01109</t>
  </si>
  <si>
    <t>T00083</t>
  </si>
  <si>
    <t>T00513</t>
  </si>
  <si>
    <t>T00965</t>
  </si>
  <si>
    <t>T00465</t>
  </si>
  <si>
    <t>T01068</t>
  </si>
  <si>
    <t>T00360</t>
  </si>
  <si>
    <t>T01375</t>
  </si>
  <si>
    <t>T00930</t>
  </si>
  <si>
    <t>T01143</t>
  </si>
  <si>
    <t>T00334</t>
  </si>
  <si>
    <t>T00011</t>
  </si>
  <si>
    <t>T00739</t>
  </si>
  <si>
    <t>T00471</t>
  </si>
  <si>
    <t>T00832</t>
  </si>
  <si>
    <t>T00033</t>
  </si>
  <si>
    <t>T00151</t>
  </si>
  <si>
    <t>T00414</t>
  </si>
  <si>
    <t>T00581</t>
  </si>
  <si>
    <t>T00383</t>
  </si>
  <si>
    <t>T00794</t>
  </si>
  <si>
    <t>T01085</t>
  </si>
  <si>
    <t>T00377</t>
  </si>
  <si>
    <t>T01332</t>
  </si>
  <si>
    <t>T00615</t>
  </si>
  <si>
    <t>T01338</t>
  </si>
  <si>
    <t>T00379</t>
  </si>
  <si>
    <t>T01015</t>
  </si>
  <si>
    <t>T00090</t>
  </si>
  <si>
    <t>C0076</t>
  </si>
  <si>
    <t>T01188</t>
  </si>
  <si>
    <t>T00693</t>
  </si>
  <si>
    <t>T00602</t>
  </si>
  <si>
    <t>T00214</t>
  </si>
  <si>
    <t>T00834</t>
  </si>
  <si>
    <t>T00333</t>
  </si>
  <si>
    <t>T00134</t>
  </si>
  <si>
    <t>T00556</t>
  </si>
  <si>
    <t>T00321</t>
  </si>
  <si>
    <t>T01233</t>
  </si>
  <si>
    <t>T01379</t>
  </si>
  <si>
    <t>T00635</t>
  </si>
  <si>
    <t>T00553</t>
  </si>
  <si>
    <t>T01091</t>
  </si>
  <si>
    <t>T00797</t>
  </si>
  <si>
    <t>T01165</t>
  </si>
  <si>
    <t>T00175</t>
  </si>
  <si>
    <t>T00767</t>
  </si>
  <si>
    <t>T00246</t>
  </si>
  <si>
    <t>T01213</t>
  </si>
  <si>
    <t>T00146</t>
  </si>
  <si>
    <t>T00091</t>
  </si>
  <si>
    <t>T00683</t>
  </si>
  <si>
    <t>T00311</t>
  </si>
  <si>
    <t>T00094</t>
  </si>
  <si>
    <t>T01390</t>
  </si>
  <si>
    <t>T00925</t>
  </si>
  <si>
    <t>T01181</t>
  </si>
  <si>
    <t>T01036</t>
  </si>
  <si>
    <t>T00244</t>
  </si>
  <si>
    <t>T00215</t>
  </si>
  <si>
    <t>T00999</t>
  </si>
  <si>
    <t>T00854</t>
  </si>
  <si>
    <t>T00426</t>
  </si>
  <si>
    <t>T01229</t>
  </si>
  <si>
    <t>T00227</t>
  </si>
  <si>
    <t>T01141</t>
  </si>
  <si>
    <t>T00001</t>
  </si>
  <si>
    <t>T00402</t>
  </si>
  <si>
    <t>T00085</t>
  </si>
  <si>
    <t>T00163</t>
  </si>
  <si>
    <t>T00115</t>
  </si>
  <si>
    <t>T00671</t>
  </si>
  <si>
    <t>T01070</t>
  </si>
  <si>
    <t>T00890</t>
  </si>
  <si>
    <t>T00626</t>
  </si>
  <si>
    <t>T00953</t>
  </si>
  <si>
    <t>T00808</t>
  </si>
  <si>
    <t>T00259</t>
  </si>
  <si>
    <t>T00625</t>
  </si>
  <si>
    <t>T00827</t>
  </si>
  <si>
    <t>T00235</t>
  </si>
  <si>
    <t>T00136</t>
  </si>
  <si>
    <t>T00617</t>
  </si>
  <si>
    <t>T00837</t>
  </si>
  <si>
    <t>T00843</t>
  </si>
  <si>
    <t>T00960</t>
  </si>
  <si>
    <t>T00593</t>
  </si>
  <si>
    <t>T00344</t>
  </si>
  <si>
    <t>T01154</t>
  </si>
  <si>
    <t>T00294</t>
  </si>
  <si>
    <t>T00365</t>
  </si>
  <si>
    <t>T00179</t>
  </si>
  <si>
    <t>T00660</t>
  </si>
  <si>
    <t>T00997</t>
  </si>
  <si>
    <t>T00015</t>
  </si>
  <si>
    <t>T00166</t>
  </si>
  <si>
    <t>T00060</t>
  </si>
  <si>
    <t>T00710</t>
  </si>
  <si>
    <t>T00677</t>
  </si>
  <si>
    <t>T00781</t>
  </si>
  <si>
    <t>T00425</t>
  </si>
  <si>
    <t>T00293</t>
  </si>
  <si>
    <t>T01066</t>
  </si>
  <si>
    <t>T01250</t>
  </si>
  <si>
    <t>T00330</t>
  </si>
  <si>
    <t>T00430</t>
  </si>
  <si>
    <t>T01013</t>
  </si>
  <si>
    <t>T00080</t>
  </si>
  <si>
    <t>T01053</t>
  </si>
  <si>
    <t>T00938</t>
  </si>
  <si>
    <t>T00835</t>
  </si>
  <si>
    <t>T00750</t>
  </si>
  <si>
    <t>T00891</t>
  </si>
  <si>
    <t>T00255</t>
  </si>
  <si>
    <t>T01369</t>
  </si>
  <si>
    <t>T00137</t>
  </si>
  <si>
    <t>T00853</t>
  </si>
  <si>
    <t>T00724</t>
  </si>
  <si>
    <t>T00860</t>
  </si>
  <si>
    <t>T00970</t>
  </si>
  <si>
    <t>T00497</t>
  </si>
  <si>
    <t>T00951</t>
  </si>
  <si>
    <t>T00806</t>
  </si>
  <si>
    <t>T00130</t>
  </si>
  <si>
    <t>T00338</t>
  </si>
  <si>
    <t>T01396</t>
  </si>
  <si>
    <t>T00609</t>
  </si>
  <si>
    <t>T00196</t>
  </si>
  <si>
    <t>T00910</t>
  </si>
  <si>
    <t>T00585</t>
  </si>
  <si>
    <t>T00104</t>
  </si>
  <si>
    <t>T01293</t>
  </si>
  <si>
    <t>T01307</t>
  </si>
  <si>
    <t>T00720</t>
  </si>
  <si>
    <t>T00885</t>
  </si>
  <si>
    <t>T00777</t>
  </si>
  <si>
    <t>T00850</t>
  </si>
  <si>
    <t>T00895</t>
  </si>
  <si>
    <t>T00228</t>
  </si>
  <si>
    <t>T01317</t>
  </si>
  <si>
    <t>T00127</t>
  </si>
  <si>
    <t>T00406</t>
  </si>
  <si>
    <t>T00776</t>
  </si>
  <si>
    <t>T00822</t>
  </si>
  <si>
    <t>T00712</t>
  </si>
  <si>
    <t>T01321</t>
  </si>
  <si>
    <t>T01061</t>
  </si>
  <si>
    <t>T00304</t>
  </si>
  <si>
    <t>T00268</t>
  </si>
  <si>
    <t>T00546</t>
  </si>
  <si>
    <t>T00213</t>
  </si>
  <si>
    <t>T00897</t>
  </si>
  <si>
    <t>T00917</t>
  </si>
  <si>
    <t>T00676</t>
  </si>
  <si>
    <t>T00815</t>
  </si>
  <si>
    <t>T00343</t>
  </si>
  <si>
    <t>T00550</t>
  </si>
  <si>
    <t>T00967</t>
  </si>
  <si>
    <t>T00296</t>
  </si>
  <si>
    <t>T00696</t>
  </si>
  <si>
    <t>T00074</t>
  </si>
  <si>
    <t>T00606</t>
  </si>
  <si>
    <t>T00105</t>
  </si>
  <si>
    <t>T00646</t>
  </si>
  <si>
    <t>T01041</t>
  </si>
  <si>
    <t>T00440</t>
  </si>
  <si>
    <t>T01020</t>
  </si>
  <si>
    <t>T00092</t>
  </si>
  <si>
    <t>T01113</t>
  </si>
  <si>
    <t>T01225</t>
  </si>
  <si>
    <t>T00909</t>
  </si>
  <si>
    <t>T00103</t>
  </si>
  <si>
    <t>T00239</t>
  </si>
  <si>
    <t>T01394</t>
  </si>
  <si>
    <t>T00943</t>
  </si>
  <si>
    <t>T00939</t>
  </si>
  <si>
    <t>T00006</t>
  </si>
  <si>
    <t>T01270</t>
  </si>
  <si>
    <t>T00966</t>
  </si>
  <si>
    <t>T00019</t>
  </si>
  <si>
    <t>T00122</t>
  </si>
  <si>
    <t>T00662</t>
  </si>
  <si>
    <t>T01180</t>
  </si>
  <si>
    <t>T00275</t>
  </si>
  <si>
    <t>T00434</t>
  </si>
  <si>
    <t>T00812</t>
  </si>
  <si>
    <t>T01308</t>
  </si>
  <si>
    <t>T01322</t>
  </si>
  <si>
    <t>T00182</t>
  </si>
  <si>
    <t>T00185</t>
  </si>
  <si>
    <t>T00407</t>
  </si>
  <si>
    <t>T00866</t>
  </si>
  <si>
    <t>T00521</t>
  </si>
  <si>
    <t>T01004</t>
  </si>
  <si>
    <t>T00381</t>
  </si>
  <si>
    <t>T00428</t>
  </si>
  <si>
    <t>T00079</t>
  </si>
  <si>
    <t>T01010</t>
  </si>
  <si>
    <t>T01380</t>
  </si>
  <si>
    <t>T00608</t>
  </si>
  <si>
    <t>T01351</t>
  </si>
  <si>
    <t>T01393</t>
  </si>
  <si>
    <t>T01276</t>
  </si>
  <si>
    <t>T01058</t>
  </si>
  <si>
    <t>T01092</t>
  </si>
  <si>
    <t>T01102</t>
  </si>
  <si>
    <t>T01130</t>
  </si>
  <si>
    <t>T01231</t>
  </si>
  <si>
    <t>T00959</t>
  </si>
  <si>
    <t>T00560</t>
  </si>
  <si>
    <t>T00847</t>
  </si>
  <si>
    <t>T00691</t>
  </si>
  <si>
    <t>T01358</t>
  </si>
  <si>
    <t>T01306</t>
  </si>
  <si>
    <t>T00437</t>
  </si>
  <si>
    <t>T00491</t>
  </si>
  <si>
    <t>T01398</t>
  </si>
  <si>
    <t>T01285</t>
  </si>
  <si>
    <t>T00070</t>
  </si>
  <si>
    <t>T00809</t>
  </si>
  <si>
    <t>T01185</t>
  </si>
  <si>
    <t>T00012</t>
  </si>
  <si>
    <t>T00145</t>
  </si>
  <si>
    <t>T00918</t>
  </si>
  <si>
    <t>T00640</t>
  </si>
  <si>
    <t>T00177</t>
  </si>
  <si>
    <t>T00995</t>
  </si>
  <si>
    <t>T00441</t>
  </si>
  <si>
    <t>T00522</t>
  </si>
  <si>
    <t>T01386</t>
  </si>
  <si>
    <t>T01005</t>
  </si>
  <si>
    <t>T00144</t>
  </si>
  <si>
    <t>T00754</t>
  </si>
  <si>
    <t>T00520</t>
  </si>
  <si>
    <t>T00823</t>
  </si>
  <si>
    <t>T00429</t>
  </si>
  <si>
    <t>T00613</t>
  </si>
  <si>
    <t>T01033</t>
  </si>
  <si>
    <t>T00157</t>
  </si>
  <si>
    <t>T00540</t>
  </si>
  <si>
    <t>T00462</t>
  </si>
  <si>
    <t>T00577</t>
  </si>
  <si>
    <t>T00256</t>
  </si>
  <si>
    <t>T00980</t>
  </si>
  <si>
    <t>T01186</t>
  </si>
  <si>
    <t>T01007</t>
  </si>
  <si>
    <t>T00561</t>
  </si>
  <si>
    <t>T00209</t>
  </si>
  <si>
    <t>T00911</t>
  </si>
  <si>
    <t>T00002</t>
  </si>
  <si>
    <t>T00270</t>
  </si>
  <si>
    <t>T00266</t>
  </si>
  <si>
    <t>T00915</t>
  </si>
  <si>
    <t>T00231</t>
  </si>
  <si>
    <t>T01383</t>
  </si>
  <si>
    <t>T01120</t>
  </si>
  <si>
    <t>T01378</t>
  </si>
  <si>
    <t>T00865</t>
  </si>
  <si>
    <t>T01067</t>
  </si>
  <si>
    <t>T00874</t>
  </si>
  <si>
    <t>T01254</t>
  </si>
  <si>
    <t>T00399</t>
  </si>
  <si>
    <t>T01279</t>
  </si>
  <si>
    <t>T00046</t>
  </si>
  <si>
    <t>T00162</t>
  </si>
  <si>
    <t>T00992</t>
  </si>
  <si>
    <t>T00728</t>
  </si>
  <si>
    <t>T00630</t>
  </si>
  <si>
    <t>T00289</t>
  </si>
  <si>
    <t>T01060</t>
  </si>
  <si>
    <t>T01367</t>
  </si>
  <si>
    <t>T00576</t>
  </si>
  <si>
    <t>T00851</t>
  </si>
  <si>
    <t>T00912</t>
  </si>
  <si>
    <t>T01255</t>
  </si>
  <si>
    <t>T01272</t>
  </si>
  <si>
    <t>T00933</t>
  </si>
  <si>
    <t>T01101</t>
  </si>
  <si>
    <t>T01208</t>
  </si>
  <si>
    <t>T00248</t>
  </si>
  <si>
    <t>T00477</t>
  </si>
  <si>
    <t>T00086</t>
  </si>
  <si>
    <t>T00470</t>
  </si>
  <si>
    <t>T00226</t>
  </si>
  <si>
    <t>T00775</t>
  </si>
  <si>
    <t>T00332</t>
  </si>
  <si>
    <t>T00234</t>
  </si>
  <si>
    <t>T00589</t>
  </si>
  <si>
    <t>T00476</t>
  </si>
  <si>
    <t>T00600</t>
  </si>
  <si>
    <t>T00422</t>
  </si>
  <si>
    <t>T00183</t>
  </si>
  <si>
    <t>T00989</t>
  </si>
  <si>
    <t>T01001</t>
  </si>
  <si>
    <t>T00050</t>
  </si>
  <si>
    <t>T01313</t>
  </si>
  <si>
    <t>T01030</t>
  </si>
  <si>
    <t>T00530</t>
  </si>
  <si>
    <t>T01259</t>
  </si>
  <si>
    <t>T00487</t>
  </si>
  <si>
    <t>T00498</t>
  </si>
  <si>
    <t>T00107</t>
  </si>
  <si>
    <t>T00444</t>
  </si>
  <si>
    <t>T00647</t>
  </si>
  <si>
    <t>T01037</t>
  </si>
  <si>
    <t>T00727</t>
  </si>
  <si>
    <t>T00191</t>
  </si>
  <si>
    <t>T00283</t>
  </si>
  <si>
    <t>T00030</t>
  </si>
  <si>
    <t>T00170</t>
  </si>
  <si>
    <t>T01002</t>
  </si>
  <si>
    <t>T01205</t>
  </si>
  <si>
    <t>T00101</t>
  </si>
  <si>
    <t>T00198</t>
  </si>
  <si>
    <t>T00496</t>
  </si>
  <si>
    <t>T00648</t>
  </si>
  <si>
    <t>T00988</t>
  </si>
  <si>
    <t>T00045</t>
  </si>
  <si>
    <t>T00711</t>
  </si>
  <si>
    <t>T00374</t>
  </si>
  <si>
    <t>T00679</t>
  </si>
  <si>
    <t>T00567</t>
  </si>
  <si>
    <t>T00848</t>
  </si>
  <si>
    <t>T00461</t>
  </si>
  <si>
    <t>T01156</t>
  </si>
  <si>
    <t>T00040</t>
  </si>
  <si>
    <t>T00435</t>
  </si>
  <si>
    <t>T00974</t>
  </si>
  <si>
    <t>T01240</t>
  </si>
  <si>
    <t>T00457</t>
  </si>
  <si>
    <t>T00261</t>
  </si>
  <si>
    <t>T00036</t>
  </si>
  <si>
    <t>T00828</t>
  </si>
  <si>
    <t>T00310</t>
  </si>
  <si>
    <t>T00277</t>
  </si>
  <si>
    <t>T00637</t>
  </si>
  <si>
    <t>T00655</t>
  </si>
  <si>
    <t>T00623</t>
  </si>
  <si>
    <t>T00845</t>
  </si>
  <si>
    <t>T00394</t>
  </si>
  <si>
    <t>T00108</t>
  </si>
  <si>
    <t>T00350</t>
  </si>
  <si>
    <t>T00525</t>
  </si>
  <si>
    <t>T00785</t>
  </si>
  <si>
    <t>T00048</t>
  </si>
  <si>
    <t>T00204</t>
  </si>
  <si>
    <t>T00022</t>
  </si>
  <si>
    <t>T00403</t>
  </si>
  <si>
    <t>T01108</t>
  </si>
  <si>
    <t>T01155</t>
  </si>
  <si>
    <t>T00990</t>
  </si>
  <si>
    <t>T00742</t>
  </si>
  <si>
    <t>T01311</t>
  </si>
  <si>
    <t>T01148</t>
  </si>
  <si>
    <t>T00034</t>
  </si>
  <si>
    <t>T00788</t>
  </si>
  <si>
    <t>T00924</t>
  </si>
  <si>
    <t>T01044</t>
  </si>
  <si>
    <t>T01353</t>
  </si>
  <si>
    <t>T01244</t>
  </si>
  <si>
    <t>T00580</t>
  </si>
  <si>
    <t>T00482</t>
  </si>
  <si>
    <t>T00932</t>
  </si>
  <si>
    <t>T00357</t>
  </si>
  <si>
    <t>T01249</t>
  </si>
  <si>
    <t>T00760</t>
  </si>
  <si>
    <t>T00093</t>
  </si>
  <si>
    <t>T01176</t>
  </si>
  <si>
    <t>T01342</t>
  </si>
  <si>
    <t>T00804</t>
  </si>
  <si>
    <t>T00746</t>
  </si>
  <si>
    <t>T00280</t>
  </si>
  <si>
    <t>T00765</t>
  </si>
  <si>
    <t>T00605</t>
  </si>
  <si>
    <t>T01391</t>
  </si>
  <si>
    <t>T00401</t>
  </si>
  <si>
    <t>T00258</t>
  </si>
  <si>
    <t>T00945</t>
  </si>
  <si>
    <t>T01097</t>
  </si>
  <si>
    <t>T01220</t>
  </si>
  <si>
    <t>T01162</t>
  </si>
  <si>
    <t>T00495</t>
  </si>
  <si>
    <t>T00773</t>
  </si>
  <si>
    <t>T00551</t>
  </si>
  <si>
    <t>T00202</t>
  </si>
  <si>
    <t>T00313</t>
  </si>
  <si>
    <t>T00291</t>
  </si>
  <si>
    <t>T01214</t>
  </si>
  <si>
    <t>T00764</t>
  </si>
  <si>
    <t>T01137</t>
  </si>
  <si>
    <t>T00950</t>
  </si>
  <si>
    <t>T00184</t>
  </si>
  <si>
    <t>T01177</t>
  </si>
  <si>
    <t>T01350</t>
  </si>
  <si>
    <t>T01069</t>
  </si>
  <si>
    <t>T01031</t>
  </si>
  <si>
    <t>T00251</t>
  </si>
  <si>
    <t>T00824</t>
  </si>
  <si>
    <t>T01100</t>
  </si>
  <si>
    <t>T00941</t>
  </si>
  <si>
    <t>T00392</t>
  </si>
  <si>
    <t>T01093</t>
  </si>
  <si>
    <t>T01192</t>
  </si>
  <si>
    <t>T00905</t>
  </si>
  <si>
    <t>T00731</t>
  </si>
  <si>
    <t>T00555</t>
  </si>
  <si>
    <t>T00367</t>
  </si>
  <si>
    <t>T00346</t>
  </si>
  <si>
    <t>T00536</t>
  </si>
  <si>
    <t>T01210</t>
  </si>
  <si>
    <t>T01373</t>
  </si>
  <si>
    <t>T00920</t>
  </si>
  <si>
    <t>T00212</t>
  </si>
  <si>
    <t>T00503</t>
  </si>
  <si>
    <t>T00538</t>
  </si>
  <si>
    <t>T01221</t>
  </si>
  <si>
    <t>T00176</t>
  </si>
  <si>
    <t>customer_name</t>
  </si>
  <si>
    <t>city</t>
  </si>
  <si>
    <t>Ibrahim Eze</t>
  </si>
  <si>
    <t>LAGOS</t>
  </si>
  <si>
    <t>Funke Okoro</t>
  </si>
  <si>
    <t xml:space="preserve">Abuja </t>
  </si>
  <si>
    <t>Ngozi Lawal</t>
  </si>
  <si>
    <t xml:space="preserve">Lagos </t>
  </si>
  <si>
    <t>Amaka Okafor</t>
  </si>
  <si>
    <t>lagos</t>
  </si>
  <si>
    <t>Funke Obi</t>
  </si>
  <si>
    <t>Kunle Lawal</t>
  </si>
  <si>
    <t>Kano</t>
  </si>
  <si>
    <t>Yusuf Ogunleye</t>
  </si>
  <si>
    <t>Port Harcourt</t>
  </si>
  <si>
    <t>Suleiman Nwosu</t>
  </si>
  <si>
    <t>kano</t>
  </si>
  <si>
    <t>Musa Adeyemi</t>
  </si>
  <si>
    <t>abuja</t>
  </si>
  <si>
    <t>Ngozi Ibrahim</t>
  </si>
  <si>
    <t>Blessing Ojo</t>
  </si>
  <si>
    <t>Rita Uche</t>
  </si>
  <si>
    <t>Tunde Lawal</t>
  </si>
  <si>
    <t>Port-Harcourt</t>
  </si>
  <si>
    <t>Femi Yusuf</t>
  </si>
  <si>
    <t>Lagos</t>
  </si>
  <si>
    <t>Adaeze Okoro</t>
  </si>
  <si>
    <t>Peace Okoro</t>
  </si>
  <si>
    <t>Musa Uche</t>
  </si>
  <si>
    <t>Musa Ibrahim</t>
  </si>
  <si>
    <t>Rita Okoro</t>
  </si>
  <si>
    <t>Chukwuemeka Bello</t>
  </si>
  <si>
    <t>Segun Balogun</t>
  </si>
  <si>
    <t>Abuja</t>
  </si>
  <si>
    <t>Ada Abubakar</t>
  </si>
  <si>
    <t>Tunde Yusuf</t>
  </si>
  <si>
    <t>Ibrahim Sani</t>
  </si>
  <si>
    <t xml:space="preserve">Kano </t>
  </si>
  <si>
    <t>Yusuf Adeyemi</t>
  </si>
  <si>
    <t>Funke Lawal</t>
  </si>
  <si>
    <t>port harcourt</t>
  </si>
  <si>
    <t>Nnamdi Ogunleye</t>
  </si>
  <si>
    <t>Funke Adeyemi</t>
  </si>
  <si>
    <t>Suleiman Balogun</t>
  </si>
  <si>
    <t>Ibrahim Nwosu</t>
  </si>
  <si>
    <t>Tunde Nwankwo</t>
  </si>
  <si>
    <t>Yusuf Obi</t>
  </si>
  <si>
    <t>Adaeze Eze</t>
  </si>
  <si>
    <t>Ngozi Chukwu</t>
  </si>
  <si>
    <t>Yusuf Okafor</t>
  </si>
  <si>
    <t>Obinna Eze</t>
  </si>
  <si>
    <t>Bola Ojo</t>
  </si>
  <si>
    <t>Suleiman Obi</t>
  </si>
  <si>
    <t>Grace Okafor</t>
  </si>
  <si>
    <t>Nnamdi Chukwu</t>
  </si>
  <si>
    <t>Funke Ogunleye</t>
  </si>
  <si>
    <t>Rita Sani</t>
  </si>
  <si>
    <t>Bola Sani</t>
  </si>
  <si>
    <t>Obinna Musa</t>
  </si>
  <si>
    <t>Halima Lawal</t>
  </si>
  <si>
    <t>Aisha Nwankwo</t>
  </si>
  <si>
    <t>Nnamdi Obi</t>
  </si>
  <si>
    <t>Chidi Ogunleye</t>
  </si>
  <si>
    <t>Funke Okafor</t>
  </si>
  <si>
    <t>Funke Ibrahim</t>
  </si>
  <si>
    <t>Tunde Obi</t>
  </si>
  <si>
    <t>Adaeze Sani</t>
  </si>
  <si>
    <t>Bola Ogunleye</t>
  </si>
  <si>
    <t>Ada Sani</t>
  </si>
  <si>
    <t>Ngozi Eze</t>
  </si>
  <si>
    <t>Kemi Aliyu</t>
  </si>
  <si>
    <t>Amaka Eze</t>
  </si>
  <si>
    <t>Rita Abubakar</t>
  </si>
  <si>
    <t>Emeka Yusuf</t>
  </si>
  <si>
    <t>Kemi Nwosu</t>
  </si>
  <si>
    <t>Ngozi Balogun</t>
  </si>
  <si>
    <t>Halima Okoro</t>
  </si>
  <si>
    <t>Grace Sani</t>
  </si>
  <si>
    <t>Nnamdi Balogun</t>
  </si>
  <si>
    <t>Chidi Nwankwo</t>
  </si>
  <si>
    <t>Aisha Aliyu</t>
  </si>
  <si>
    <t>Emeka Chukwu</t>
  </si>
  <si>
    <t>Femi Lawal</t>
  </si>
  <si>
    <t>Amaka Balogun</t>
  </si>
  <si>
    <t>Halima Obi</t>
  </si>
  <si>
    <t>Obinna Ibrahim</t>
  </si>
  <si>
    <t>Chiamaka Ibrahim</t>
  </si>
  <si>
    <t>Ngozi Ogunleye</t>
  </si>
  <si>
    <t>Chiamaka Balogun</t>
  </si>
  <si>
    <t>Adaeze Ogunleye</t>
  </si>
  <si>
    <t>Emeka Abubakar</t>
  </si>
  <si>
    <t>Chukwuemeka Adeyemi</t>
  </si>
  <si>
    <t>Segun Ibrahim</t>
  </si>
  <si>
    <t>Chiamaka Ogunleye</t>
  </si>
  <si>
    <t>Zainab Yusuf</t>
  </si>
  <si>
    <t>Halima Ojo</t>
  </si>
  <si>
    <t>Blessing Chukwu</t>
  </si>
  <si>
    <t>Wale Lawal</t>
  </si>
  <si>
    <t>Adaeze Lawal</t>
  </si>
  <si>
    <t>Nnamdi Adeyemi</t>
  </si>
  <si>
    <t>Nnamdi Eze</t>
  </si>
  <si>
    <t>Aisha Musa</t>
  </si>
  <si>
    <t>Segun Yusuf</t>
  </si>
  <si>
    <t>Musa Balogun</t>
  </si>
  <si>
    <t>Wale Bello</t>
  </si>
  <si>
    <t>Segun Adeyemi</t>
  </si>
  <si>
    <t>Chidi Eze</t>
  </si>
  <si>
    <t>Zainab Balogun</t>
  </si>
  <si>
    <t>Kemi Adeyemi</t>
  </si>
  <si>
    <t>Blessing Balogun</t>
  </si>
  <si>
    <t>Suleiman Lawal</t>
  </si>
  <si>
    <t>Rita Adeyemi</t>
  </si>
  <si>
    <t>Ada Nwosu</t>
  </si>
  <si>
    <t>Ifeoma Abubakar</t>
  </si>
  <si>
    <t>Ada Eze</t>
  </si>
  <si>
    <t>Peace Sani</t>
  </si>
  <si>
    <t>Wale Uche</t>
  </si>
  <si>
    <t>Wale Okoro</t>
  </si>
  <si>
    <t>Adaeze Yusuf</t>
  </si>
  <si>
    <t>Ibrahim Obi</t>
  </si>
  <si>
    <t>Ngozi Bello</t>
  </si>
  <si>
    <t>Blessing Abubakar</t>
  </si>
  <si>
    <t>Emeka Bello</t>
  </si>
  <si>
    <t>Chidi Obi</t>
  </si>
  <si>
    <t>Kemi Ibrahim</t>
  </si>
  <si>
    <t>Adaeze Aliyu</t>
  </si>
  <si>
    <t>Kunle Chukwu</t>
  </si>
  <si>
    <t>Kemi Nwankwo</t>
  </si>
  <si>
    <t>Femi Chukwu</t>
  </si>
  <si>
    <t>Wale Okafor</t>
  </si>
  <si>
    <t>Emeka Aliyu</t>
  </si>
  <si>
    <t>Yusuf Uche</t>
  </si>
  <si>
    <t>Grace Nwosu</t>
  </si>
  <si>
    <t>Ada Yusuf</t>
  </si>
  <si>
    <t>Amaka Okoro</t>
  </si>
  <si>
    <t>Peace Ibrahim</t>
  </si>
  <si>
    <t>Kunle Nwankwo</t>
  </si>
  <si>
    <t>Suleiman Aliyu</t>
  </si>
  <si>
    <t>Ada Obi</t>
  </si>
  <si>
    <t>Zainab Okoro</t>
  </si>
  <si>
    <t>Bola Uche</t>
  </si>
  <si>
    <t>Chiamaka Obi</t>
  </si>
  <si>
    <t>Yusuf Nwosu</t>
  </si>
  <si>
    <t>Musa Okoro</t>
  </si>
  <si>
    <t>Ibrahim Okoro</t>
  </si>
  <si>
    <t>Tunde Chukwu</t>
  </si>
  <si>
    <t>Segun Abubakar</t>
  </si>
  <si>
    <t>Bola Okoro</t>
  </si>
  <si>
    <t>Bola Yusuf</t>
  </si>
  <si>
    <t>Kemi Abubakar</t>
  </si>
  <si>
    <t>Amaka Yusuf</t>
  </si>
  <si>
    <t>Suleiman Nwankwo</t>
  </si>
  <si>
    <t>Rita Lawal</t>
  </si>
  <si>
    <t>Funke Bello</t>
  </si>
  <si>
    <t>Rita Nwosu</t>
  </si>
  <si>
    <t>Chiamaka Lawal</t>
  </si>
  <si>
    <t>Femi Ogunleye</t>
  </si>
  <si>
    <t>Ibrahim Aliyu</t>
  </si>
  <si>
    <t>Ifeoma Balogun</t>
  </si>
  <si>
    <t>Segun Nwankwo</t>
  </si>
  <si>
    <t>Funke Yusuf</t>
  </si>
  <si>
    <t>Kunle Bello</t>
  </si>
  <si>
    <t>Chiamaka Musa</t>
  </si>
  <si>
    <t>Aisha Eze</t>
  </si>
  <si>
    <t>Femi Nwankwo</t>
  </si>
  <si>
    <t>Emeka Ibrahim</t>
  </si>
  <si>
    <t>Blessing Lawal</t>
  </si>
  <si>
    <t>Blessing Ibrahim</t>
  </si>
  <si>
    <t>Peace Aliyu</t>
  </si>
  <si>
    <t>Kemi Ojo</t>
  </si>
  <si>
    <t>Bola Aliyu</t>
  </si>
  <si>
    <t>Obinna Bello</t>
  </si>
  <si>
    <t>Kemi Ogunleye</t>
  </si>
  <si>
    <t>Nnamdi Uche</t>
  </si>
  <si>
    <t>Femi Musa</t>
  </si>
  <si>
    <t>Chidi Sani</t>
  </si>
  <si>
    <t>Grace Yusuf</t>
  </si>
  <si>
    <t>Segun Bello</t>
  </si>
  <si>
    <t>Obinna Yusuf</t>
  </si>
  <si>
    <t>Rita Aliyu</t>
  </si>
  <si>
    <t>Suleiman Okoro</t>
  </si>
  <si>
    <t>Kunle Sani</t>
  </si>
  <si>
    <t>Kunle Okoro</t>
  </si>
  <si>
    <t>Grace Lawal</t>
  </si>
  <si>
    <t>Kunle Uche</t>
  </si>
  <si>
    <t>Segun Eze</t>
  </si>
  <si>
    <t>Emeka Sani</t>
  </si>
  <si>
    <t>Ngozi Yusuf</t>
  </si>
  <si>
    <t>Blessing Nwosu</t>
  </si>
  <si>
    <t>Yusuf Abubakar</t>
  </si>
  <si>
    <t>Musa Sani</t>
  </si>
  <si>
    <t>Chukwuemeka Sani</t>
  </si>
  <si>
    <t>Bola Adeyemi</t>
  </si>
  <si>
    <t>Funke Eze</t>
  </si>
  <si>
    <t>Chukwuemeka Uche</t>
  </si>
  <si>
    <t>Peace Ogunleye</t>
  </si>
  <si>
    <t>Suleiman Yusuf</t>
  </si>
  <si>
    <t>Adaeze Ibrahim</t>
  </si>
  <si>
    <t>Ifeoma Lawal</t>
  </si>
  <si>
    <t>Chidi Aliyu</t>
  </si>
  <si>
    <t>city_clean</t>
  </si>
  <si>
    <t>Unknown</t>
  </si>
  <si>
    <t>branch_name</t>
  </si>
  <si>
    <t>Naija Mart Ikeja</t>
  </si>
  <si>
    <t>Naija Mart Wuse</t>
  </si>
  <si>
    <t>Naija Mart GRA</t>
  </si>
  <si>
    <t>Naija Mart Sabon Gari</t>
  </si>
  <si>
    <t>category</t>
  </si>
  <si>
    <t>product_name</t>
  </si>
  <si>
    <t>unit_price</t>
  </si>
  <si>
    <t>Electronics</t>
  </si>
  <si>
    <t>Samsung 43'' Smart TV</t>
  </si>
  <si>
    <t>LG 55'' Smart TV</t>
  </si>
  <si>
    <t>Sony Bluetooth Speaker</t>
  </si>
  <si>
    <t>JBL Bluetooth Speaker</t>
  </si>
  <si>
    <t>Infinix Smartphone X5</t>
  </si>
  <si>
    <t>Tecno Spark 10</t>
  </si>
  <si>
    <t>Samsung Galaxy A14</t>
  </si>
  <si>
    <t>Home Appliances</t>
  </si>
  <si>
    <t>LG Double Door Fridge</t>
  </si>
  <si>
    <t>Haier Thermocool Fridge</t>
  </si>
  <si>
    <t>Binatone Microwave</t>
  </si>
  <si>
    <t>Panasonic Microwave</t>
  </si>
  <si>
    <t>Standing Fan - Binatone</t>
  </si>
  <si>
    <t>Ceiling Fan - Ox</t>
  </si>
  <si>
    <t>Air Conditioner 1.5HP</t>
  </si>
  <si>
    <t>Electric Kettle</t>
  </si>
  <si>
    <t>Blender - Saisho</t>
  </si>
  <si>
    <t>Rice Cooker - Binatone</t>
  </si>
  <si>
    <t>Small Gadgets</t>
  </si>
  <si>
    <t>Power Bank 20000mAh</t>
  </si>
  <si>
    <t>Wireless Earbuds</t>
  </si>
  <si>
    <t>USB Rechargeable Lamp</t>
  </si>
  <si>
    <t>Extension Box</t>
  </si>
  <si>
    <t>Wall Clock</t>
  </si>
  <si>
    <t>Generators &amp; Power</t>
  </si>
  <si>
    <t>Sumec Firman Generator 2.5KVA</t>
  </si>
  <si>
    <t>Elepaq Generator 3.5KVA</t>
  </si>
  <si>
    <t>Solar Inverter 1KVA</t>
  </si>
  <si>
    <t>revenue</t>
  </si>
  <si>
    <t>Row Labels</t>
  </si>
  <si>
    <t>Grand Total</t>
  </si>
  <si>
    <t>Sum of revenue</t>
  </si>
  <si>
    <t>Average of revenue</t>
  </si>
  <si>
    <t>month</t>
  </si>
  <si>
    <t>Apr-2025</t>
  </si>
  <si>
    <t>Aug-2025</t>
  </si>
  <si>
    <t>Dec-2025</t>
  </si>
  <si>
    <t>Feb-2025</t>
  </si>
  <si>
    <t>Jan-2025</t>
  </si>
  <si>
    <t>Jul-2025</t>
  </si>
  <si>
    <t>Jun-2025</t>
  </si>
  <si>
    <t>Mar-2025</t>
  </si>
  <si>
    <t>May-2025</t>
  </si>
  <si>
    <t>Nov-2025</t>
  </si>
  <si>
    <t>Oct-2025</t>
  </si>
  <si>
    <t>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</si>
</sst>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 tint="4.9989318521683403E-2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64" fontId="18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4" formatCode="dd/mm/yy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[naija_mart_analysis.xlsx.xlsx]pivot_branch_revenue!PivotTable3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pivot_branch_revenue!$B$5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pivot_branch_revenue!$A$6:$A$10</c:f>
              <c:strCache>
                <c:ptCount val="4"/>
                <c:pt idx="0">
                  <c:v>Naija Mart GRA</c:v>
                </c:pt>
                <c:pt idx="1">
                  <c:v>Naija Mart Ikeja</c:v>
                </c:pt>
                <c:pt idx="2">
                  <c:v>Naija Mart Sabon Gari</c:v>
                </c:pt>
                <c:pt idx="3">
                  <c:v>Naija Mart Wuse</c:v>
                </c:pt>
              </c:strCache>
            </c:strRef>
          </c:cat>
          <c:val>
            <c:numRef>
              <c:f>pivot_branch_revenue!$B$6:$B$10</c:f>
              <c:numCache>
                <c:formatCode>General</c:formatCode>
                <c:ptCount val="4"/>
                <c:pt idx="0">
                  <c:v>46660910</c:v>
                </c:pt>
                <c:pt idx="1">
                  <c:v>93840715</c:v>
                </c:pt>
                <c:pt idx="2">
                  <c:v>29724470</c:v>
                </c:pt>
                <c:pt idx="3">
                  <c:v>50407805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413208"/>
        <c:axId val="470413600"/>
      </c:barChart>
      <c:catAx>
        <c:axId val="47041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413600"/>
        <c:crosses val="autoZero"/>
        <c:auto val="1"/>
        <c:lblAlgn val="ctr"/>
        <c:lblOffset val="100"/>
        <c:noMultiLvlLbl val="0"/>
      </c:catAx>
      <c:valAx>
        <c:axId val="4704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413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[naija_mart_analysis.xlsx.xlsx]pivot_category_revenue!PivotTable4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pivot_category_revenue!$B$6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pivot_category_revenue!$A$7:$A$11</c:f>
              <c:strCache>
                <c:ptCount val="4"/>
                <c:pt idx="0">
                  <c:v>Electronics</c:v>
                </c:pt>
                <c:pt idx="1">
                  <c:v>Generators &amp; Power</c:v>
                </c:pt>
                <c:pt idx="2">
                  <c:v>Home Appliances</c:v>
                </c:pt>
                <c:pt idx="3">
                  <c:v>Small Gadgets</c:v>
                </c:pt>
              </c:strCache>
            </c:strRef>
          </c:cat>
          <c:val>
            <c:numRef>
              <c:f>pivot_category_revenue!$B$7:$B$11</c:f>
              <c:numCache>
                <c:formatCode>General</c:formatCode>
                <c:ptCount val="4"/>
                <c:pt idx="0">
                  <c:v>77063700</c:v>
                </c:pt>
                <c:pt idx="1">
                  <c:v>41511750</c:v>
                </c:pt>
                <c:pt idx="2">
                  <c:v>97387150</c:v>
                </c:pt>
                <c:pt idx="3">
                  <c:v>4671300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364609648"/>
        <c:axId val="364612784"/>
      </c:barChart>
      <c:catAx>
        <c:axId val="36460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12784"/>
        <c:crosses val="autoZero"/>
        <c:auto val="1"/>
        <c:lblAlgn val="ctr"/>
        <c:lblOffset val="100"/>
        <c:noMultiLvlLbl val="0"/>
      </c:catAx>
      <c:valAx>
        <c:axId val="36461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0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[naija_mart_analysis.xlsx.xlsx]pivot_avg_order_value!PivotTable5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pivot_avg_order_value!$B$7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pivot_avg_order_value!$A$8:$A$12</c:f>
              <c:strCache>
                <c:ptCount val="4"/>
                <c:pt idx="0">
                  <c:v>Naija Mart GRA</c:v>
                </c:pt>
                <c:pt idx="1">
                  <c:v>Naija Mart Ikeja</c:v>
                </c:pt>
                <c:pt idx="2">
                  <c:v>Naija Mart Sabon Gari</c:v>
                </c:pt>
                <c:pt idx="3">
                  <c:v>Naija Mart Wuse</c:v>
                </c:pt>
              </c:strCache>
            </c:strRef>
          </c:cat>
          <c:val>
            <c:numRef>
              <c:f>pivot_avg_order_value!$B$8:$B$12</c:f>
              <c:numCache>
                <c:formatCode>General</c:formatCode>
                <c:ptCount val="4"/>
                <c:pt idx="0">
                  <c:v>173460.63197026023</c:v>
                </c:pt>
                <c:pt idx="1">
                  <c:v>156924.27257525083</c:v>
                </c:pt>
                <c:pt idx="2">
                  <c:v>154814.94791666666</c:v>
                </c:pt>
                <c:pt idx="3">
                  <c:v>144434.97134670487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4610824"/>
        <c:axId val="286046184"/>
      </c:barChart>
      <c:catAx>
        <c:axId val="36461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046184"/>
        <c:crosses val="autoZero"/>
        <c:auto val="1"/>
        <c:lblAlgn val="ctr"/>
        <c:lblOffset val="100"/>
        <c:noMultiLvlLbl val="0"/>
      </c:catAx>
      <c:valAx>
        <c:axId val="286046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10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[naija_mart_analysis.xlsx.xlsx]pivot_monthly_trend!PivotTable7</c:name>
    <c:fmtId val="0"/>
  </c:pivotSource>
  <c:chart>
    <c:autoTitleDeleted val="1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pivot_monthly_trend!$B$1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pivot_monthly_trend!$A$2:$A$14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pivot_monthly_trend!$B$2:$B$14</c:f>
              <c:numCache>
                <c:formatCode>General</c:formatCode>
                <c:ptCount val="12"/>
                <c:pt idx="0">
                  <c:v>13654760</c:v>
                </c:pt>
                <c:pt idx="1">
                  <c:v>18283590</c:v>
                </c:pt>
                <c:pt idx="2">
                  <c:v>17622095</c:v>
                </c:pt>
                <c:pt idx="3">
                  <c:v>21252425</c:v>
                </c:pt>
                <c:pt idx="4">
                  <c:v>15819920</c:v>
                </c:pt>
                <c:pt idx="5">
                  <c:v>13807625</c:v>
                </c:pt>
                <c:pt idx="6">
                  <c:v>12308670</c:v>
                </c:pt>
                <c:pt idx="7">
                  <c:v>16999595</c:v>
                </c:pt>
                <c:pt idx="8">
                  <c:v>15086885</c:v>
                </c:pt>
                <c:pt idx="9">
                  <c:v>20499015</c:v>
                </c:pt>
                <c:pt idx="10">
                  <c:v>25381815</c:v>
                </c:pt>
                <c:pt idx="11">
                  <c:v>29917505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045792"/>
        <c:axId val="286045008"/>
      </c:lineChart>
      <c:catAx>
        <c:axId val="28604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045008"/>
        <c:crosses val="autoZero"/>
        <c:auto val="1"/>
        <c:lblAlgn val="ctr"/>
        <c:lblOffset val="100"/>
        <c:noMultiLvlLbl val="0"/>
      </c:catAx>
      <c:valAx>
        <c:axId val="28604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04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0</xdr:row>
      <xdr:rowOff>0</xdr:rowOff>
    </xdr:from>
    <xdr:to>
      <xdr:col>10</xdr:col>
      <xdr:colOff>57150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1</xdr:row>
      <xdr:rowOff>42862</xdr:rowOff>
    </xdr:from>
    <xdr:to>
      <xdr:col>10</xdr:col>
      <xdr:colOff>19050</xdr:colOff>
      <xdr:row>15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2</xdr:row>
      <xdr:rowOff>23812</xdr:rowOff>
    </xdr:from>
    <xdr:to>
      <xdr:col>9</xdr:col>
      <xdr:colOff>419100</xdr:colOff>
      <xdr:row>16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0</xdr:rowOff>
    </xdr:from>
    <xdr:to>
      <xdr:col>9</xdr:col>
      <xdr:colOff>9525</xdr:colOff>
      <xdr:row>13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257.703100347222" createdVersion="5" refreshedVersion="5" minRefreshableVersion="3" recordCount="1408">
  <cacheSource type="worksheet">
    <worksheetSource ref="A1:J1409" sheet="transactions"/>
  </cacheSource>
  <cacheFields count="10">
    <cacheField name="transaction_id" numFmtId="0">
      <sharedItems/>
    </cacheField>
    <cacheField name="date" numFmtId="164">
      <sharedItems containsDate="1" containsMixedTypes="1" minDate="2025-01-01T00:00:00" maxDate="2025-12-29T00:00:00"/>
    </cacheField>
    <cacheField name="branch_id" numFmtId="0">
      <sharedItems/>
    </cacheField>
    <cacheField name="product_id" numFmtId="0">
      <sharedItems/>
    </cacheField>
    <cacheField name="customer_id" numFmtId="0">
      <sharedItems/>
    </cacheField>
    <cacheField name="quantity" numFmtId="0">
      <sharedItems containsSemiMixedTypes="0" containsString="0" containsNumber="1" containsInteger="1" minValue="1" maxValue="5"/>
    </cacheField>
    <cacheField name="discount_pct" numFmtId="0">
      <sharedItems containsSemiMixedTypes="0" containsString="0" containsNumber="1" containsInteger="1" minValue="0" maxValue="30"/>
    </cacheField>
    <cacheField name="unit_price" numFmtId="0">
      <sharedItems containsSemiMixedTypes="0" containsString="0" containsNumber="1" containsInteger="1" minValue="5200" maxValue="410000"/>
    </cacheField>
    <cacheField name="branch_name" numFmtId="0">
      <sharedItems count="4">
        <s v="Naija Mart GRA"/>
        <s v="Naija Mart Wuse"/>
        <s v="Naija Mart Ikeja"/>
        <s v="Naija Mart Sabon Gari"/>
      </sharedItems>
    </cacheField>
    <cacheField name="revenue" numFmtId="0">
      <sharedItems containsSemiMixedTypes="0" containsString="0" containsNumber="1" minValue="3639.9999999999995" maxValue="20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c" refreshedDate="46257.709646990741" createdVersion="5" refreshedVersion="5" minRefreshableVersion="3" recordCount="1408">
  <cacheSource type="worksheet">
    <worksheetSource ref="A1:K1409" sheet="transactions"/>
  </cacheSource>
  <cacheFields count="11">
    <cacheField name="transaction_id" numFmtId="0">
      <sharedItems/>
    </cacheField>
    <cacheField name="date" numFmtId="164">
      <sharedItems containsDate="1" containsMixedTypes="1" minDate="2025-01-01T00:00:00" maxDate="2025-12-29T00:00:00"/>
    </cacheField>
    <cacheField name="branch_id" numFmtId="0">
      <sharedItems/>
    </cacheField>
    <cacheField name="product_id" numFmtId="0">
      <sharedItems/>
    </cacheField>
    <cacheField name="customer_id" numFmtId="0">
      <sharedItems/>
    </cacheField>
    <cacheField name="quantity" numFmtId="0">
      <sharedItems containsSemiMixedTypes="0" containsString="0" containsNumber="1" containsInteger="1" minValue="1" maxValue="5"/>
    </cacheField>
    <cacheField name="discount_pct" numFmtId="0">
      <sharedItems containsSemiMixedTypes="0" containsString="0" containsNumber="1" containsInteger="1" minValue="0" maxValue="30"/>
    </cacheField>
    <cacheField name="unit_price" numFmtId="0">
      <sharedItems containsSemiMixedTypes="0" containsString="0" containsNumber="1" containsInteger="1" minValue="5200" maxValue="410000"/>
    </cacheField>
    <cacheField name="branch_name" numFmtId="0">
      <sharedItems count="4">
        <s v="Naija Mart GRA"/>
        <s v="Naija Mart Wuse"/>
        <s v="Naija Mart Ikeja"/>
        <s v="Naija Mart Sabon Gari"/>
      </sharedItems>
    </cacheField>
    <cacheField name="revenue" numFmtId="0">
      <sharedItems containsSemiMixedTypes="0" containsString="0" containsNumber="1" minValue="3639.9999999999995" maxValue="2050000"/>
    </cacheField>
    <cacheField name="category" numFmtId="0">
      <sharedItems count="4">
        <s v="Home Appliances"/>
        <s v="Electronics"/>
        <s v="Generators &amp; Power"/>
        <s v="Small Gadge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pc" refreshedDate="46257.83435902778" createdVersion="5" refreshedVersion="5" minRefreshableVersion="3" recordCount="1408">
  <cacheSource type="worksheet">
    <worksheetSource ref="A1:L1409" sheet="transactions"/>
  </cacheSource>
  <cacheFields count="12">
    <cacheField name="transaction_id" numFmtId="0">
      <sharedItems/>
    </cacheField>
    <cacheField name="date" numFmtId="164">
      <sharedItems containsSemiMixedTypes="0" containsNonDate="0" containsDate="1" containsString="0" minDate="2025-01-01T00:00:00" maxDate="2025-12-29T00:00:00"/>
    </cacheField>
    <cacheField name="branch_id" numFmtId="0">
      <sharedItems/>
    </cacheField>
    <cacheField name="product_id" numFmtId="0">
      <sharedItems/>
    </cacheField>
    <cacheField name="customer_id" numFmtId="0">
      <sharedItems/>
    </cacheField>
    <cacheField name="quantity" numFmtId="0">
      <sharedItems containsSemiMixedTypes="0" containsString="0" containsNumber="1" containsInteger="1" minValue="1" maxValue="5"/>
    </cacheField>
    <cacheField name="discount_pct" numFmtId="0">
      <sharedItems containsSemiMixedTypes="0" containsString="0" containsNumber="1" containsInteger="1" minValue="0" maxValue="30"/>
    </cacheField>
    <cacheField name="unit_price" numFmtId="0">
      <sharedItems containsSemiMixedTypes="0" containsString="0" containsNumber="1" containsInteger="1" minValue="5200" maxValue="410000"/>
    </cacheField>
    <cacheField name="branch_name" numFmtId="0">
      <sharedItems/>
    </cacheField>
    <cacheField name="revenue" numFmtId="0">
      <sharedItems containsSemiMixedTypes="0" containsString="0" containsNumber="1" minValue="3639.9999999999995" maxValue="2050000"/>
    </cacheField>
    <cacheField name="category" numFmtId="0">
      <sharedItems/>
    </cacheField>
    <cacheField name="month" numFmtId="0">
      <sharedItems count="12">
        <s v="Nov-2025"/>
        <s v="Feb-2025"/>
        <s v="Sep-2025"/>
        <s v="May-2025"/>
        <s v="Dec-2025"/>
        <s v="Apr-2025"/>
        <s v="Aug-2025"/>
        <s v="Mar-2025"/>
        <s v="Oct-2025"/>
        <s v="Jun-2025"/>
        <s v="Jul-2025"/>
        <s v="Jan-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8">
  <r>
    <s v="T01320"/>
    <d v="2025-11-11T00:00:00"/>
    <s v="BR003"/>
    <s v="P008"/>
    <s v="C0059"/>
    <n v="1"/>
    <n v="25"/>
    <n v="410000"/>
    <x v="0"/>
    <n v="307500"/>
  </r>
  <r>
    <s v="T00314"/>
    <d v="2025-04-02T00:00:00"/>
    <s v="BR002"/>
    <s v="P017"/>
    <s v="C0133"/>
    <n v="1"/>
    <n v="0"/>
    <n v="24000"/>
    <x v="1"/>
    <n v="24000"/>
  </r>
  <r>
    <s v="T00242"/>
    <d v="2025-11-22T00:00:00"/>
    <s v="BR001"/>
    <s v="P013"/>
    <s v="C0040"/>
    <n v="2"/>
    <n v="0"/>
    <n v="22000"/>
    <x v="2"/>
    <n v="44000"/>
  </r>
  <r>
    <s v="T00362"/>
    <d v="2025-09-27T00:00:00"/>
    <s v="BR002"/>
    <s v="P004"/>
    <s v="C0078"/>
    <n v="1"/>
    <n v="0"/>
    <n v="38000"/>
    <x v="1"/>
    <n v="38000"/>
  </r>
  <r>
    <s v="T01236"/>
    <d v="2025-04-05T00:00:00"/>
    <s v="BR001"/>
    <s v="P016"/>
    <s v="C0024"/>
    <n v="2"/>
    <n v="0"/>
    <n v="19500"/>
    <x v="2"/>
    <n v="39000"/>
  </r>
  <r>
    <s v="T01198"/>
    <d v="2025-05-02T00:00:00"/>
    <s v="BR002"/>
    <s v="P007"/>
    <s v="C0200"/>
    <n v="1"/>
    <n v="0"/>
    <n v="145000"/>
    <x v="1"/>
    <n v="145000"/>
  </r>
  <r>
    <s v="T00147"/>
    <d v="2025-05-25T00:00:00"/>
    <s v="BR002"/>
    <s v="P007"/>
    <s v="C0171"/>
    <n v="2"/>
    <n v="0"/>
    <n v="145000"/>
    <x v="1"/>
    <n v="290000"/>
  </r>
  <r>
    <s v="T00180"/>
    <d v="2025-12-13T00:00:00"/>
    <s v="BR003"/>
    <s v="P007"/>
    <s v="C0143"/>
    <n v="2"/>
    <n v="10"/>
    <n v="145000"/>
    <x v="0"/>
    <n v="261000"/>
  </r>
  <r>
    <s v="T00112"/>
    <d v="2025-12-04T00:00:00"/>
    <s v="BR003"/>
    <s v="P024"/>
    <s v="C0080"/>
    <n v="2"/>
    <n v="0"/>
    <n v="245000"/>
    <x v="0"/>
    <n v="490000"/>
  </r>
  <r>
    <s v="T01260"/>
    <d v="2025-09-16T00:00:00"/>
    <s v="BR004"/>
    <s v="P020"/>
    <s v="C0085"/>
    <n v="2"/>
    <n v="10"/>
    <n v="8500"/>
    <x v="3"/>
    <n v="15300"/>
  </r>
  <r>
    <s v="T00934"/>
    <d v="2025-12-08T00:00:00"/>
    <s v="BR002"/>
    <s v="P023"/>
    <s v="C0013"/>
    <n v="1"/>
    <n v="25"/>
    <n v="195000"/>
    <x v="1"/>
    <n v="146250"/>
  </r>
  <r>
    <s v="T01309"/>
    <d v="2025-11-12T00:00:00"/>
    <s v="BR001"/>
    <s v="P011"/>
    <s v="C0007"/>
    <n v="1"/>
    <n v="5"/>
    <n v="74000"/>
    <x v="2"/>
    <n v="70300"/>
  </r>
  <r>
    <s v="T00784"/>
    <d v="2025-12-19T00:00:00"/>
    <s v="BR001"/>
    <s v="P010"/>
    <s v="C0192"/>
    <n v="1"/>
    <n v="30"/>
    <n v="62000"/>
    <x v="2"/>
    <n v="43400"/>
  </r>
  <r>
    <s v="T01079"/>
    <d v="2025-08-03T00:00:00"/>
    <s v="BR004"/>
    <s v="P012"/>
    <s v="C0013"/>
    <n v="1"/>
    <n v="25"/>
    <n v="28000"/>
    <x v="3"/>
    <n v="21000"/>
  </r>
  <r>
    <s v="T01329"/>
    <d v="2025-08-13T00:00:00"/>
    <s v="BR002"/>
    <s v="P018"/>
    <s v="C0015"/>
    <n v="2"/>
    <n v="5"/>
    <n v="18000"/>
    <x v="1"/>
    <n v="34200"/>
  </r>
  <r>
    <s v="T00464"/>
    <d v="2025-02-17T00:00:00"/>
    <s v="BR001"/>
    <s v="P018"/>
    <s v="C0187"/>
    <n v="2"/>
    <n v="0"/>
    <n v="18000"/>
    <x v="2"/>
    <n v="36000"/>
  </r>
  <r>
    <s v="T00018"/>
    <d v="2025-10-26T00:00:00"/>
    <s v="BR003"/>
    <s v="P014"/>
    <s v="C0060"/>
    <n v="1"/>
    <n v="0"/>
    <n v="285000"/>
    <x v="0"/>
    <n v="285000"/>
  </r>
  <r>
    <s v="T00186"/>
    <d v="2025-05-12T00:00:00"/>
    <s v="BR001"/>
    <s v="P015"/>
    <s v="C0034"/>
    <n v="1"/>
    <n v="10"/>
    <n v="15000"/>
    <x v="2"/>
    <n v="13500"/>
  </r>
  <r>
    <s v="T00663"/>
    <d v="2025-10-27T00:00:00"/>
    <s v="BR002"/>
    <s v="P010"/>
    <s v="C0141"/>
    <n v="2"/>
    <n v="0"/>
    <n v="62000"/>
    <x v="1"/>
    <n v="124000"/>
  </r>
  <r>
    <s v="T01083"/>
    <d v="2025-12-12T00:00:00"/>
    <s v="BR001"/>
    <s v="P025"/>
    <s v="C0165"/>
    <n v="1"/>
    <n v="25"/>
    <n v="175000"/>
    <x v="2"/>
    <n v="131250"/>
  </r>
  <r>
    <s v="T00142"/>
    <d v="2025-10-24T00:00:00"/>
    <s v="BR004"/>
    <s v="P015"/>
    <s v="C0111"/>
    <n v="1"/>
    <n v="0"/>
    <n v="15000"/>
    <x v="3"/>
    <n v="15000"/>
  </r>
  <r>
    <s v="T01346"/>
    <d v="2025-12-19T00:00:00"/>
    <s v="BR003"/>
    <s v="P003"/>
    <s v="C0199"/>
    <n v="1"/>
    <n v="5"/>
    <n v="45000"/>
    <x v="0"/>
    <n v="42750"/>
  </r>
  <r>
    <s v="T00395"/>
    <d v="2025-12-24T00:00:00"/>
    <s v="BR004"/>
    <s v="P023"/>
    <s v="C0099"/>
    <n v="1"/>
    <n v="10"/>
    <n v="195000"/>
    <x v="3"/>
    <n v="175500"/>
  </r>
  <r>
    <s v="T00264"/>
    <d v="2025-06-18T00:00:00"/>
    <s v="BR001"/>
    <s v="P007"/>
    <s v="C0130"/>
    <n v="1"/>
    <n v="0"/>
    <n v="145000"/>
    <x v="2"/>
    <n v="145000"/>
  </r>
  <r>
    <s v="T00474"/>
    <d v="2025-11-02T00:00:00"/>
    <s v="BR001"/>
    <s v="P015"/>
    <s v="C0145"/>
    <n v="2"/>
    <n v="10"/>
    <n v="15000"/>
    <x v="2"/>
    <n v="27000"/>
  </r>
  <r>
    <s v="T01377"/>
    <d v="2025-07-14T00:00:00"/>
    <s v="BR003"/>
    <s v="P025"/>
    <s v="C0118"/>
    <n v="1"/>
    <n v="5"/>
    <n v="175000"/>
    <x v="0"/>
    <n v="166250"/>
  </r>
  <r>
    <s v="T00977"/>
    <d v="2025-11-24T00:00:00"/>
    <s v="BR001"/>
    <s v="P009"/>
    <s v="C0170"/>
    <n v="1"/>
    <n v="15"/>
    <n v="265000"/>
    <x v="2"/>
    <n v="225250"/>
  </r>
  <r>
    <s v="T00761"/>
    <d v="2025-08-20T00:00:00"/>
    <s v="BR003"/>
    <s v="P010"/>
    <s v="C0148"/>
    <n v="2"/>
    <n v="0"/>
    <n v="62000"/>
    <x v="0"/>
    <n v="124000"/>
  </r>
  <r>
    <s v="T00883"/>
    <d v="2025-12-25T00:00:00"/>
    <s v="BR001"/>
    <s v="P025"/>
    <s v="C0174"/>
    <n v="1"/>
    <n v="0"/>
    <n v="175000"/>
    <x v="2"/>
    <n v="175000"/>
  </r>
  <r>
    <s v="T00926"/>
    <d v="2025-12-27T00:00:00"/>
    <s v="BR001"/>
    <s v="P007"/>
    <s v="C0047"/>
    <n v="1"/>
    <n v="0"/>
    <n v="145000"/>
    <x v="2"/>
    <n v="145000"/>
  </r>
  <r>
    <s v="T00119"/>
    <d v="2025-12-01T00:00:00"/>
    <s v="BR001"/>
    <s v="P013"/>
    <s v="C0012"/>
    <n v="1"/>
    <n v="10"/>
    <n v="22000"/>
    <x v="2"/>
    <n v="19800"/>
  </r>
  <r>
    <s v="T01389"/>
    <d v="2025-03-05T00:00:00"/>
    <s v="BR001"/>
    <s v="P022"/>
    <s v="C0046"/>
    <n v="1"/>
    <n v="0"/>
    <n v="5200"/>
    <x v="2"/>
    <n v="5200"/>
  </r>
  <r>
    <s v="T00502"/>
    <d v="2025-06-21T00:00:00"/>
    <s v="BR002"/>
    <s v="P002"/>
    <s v="C0002"/>
    <n v="1"/>
    <n v="5"/>
    <n v="320000"/>
    <x v="1"/>
    <n v="304000"/>
  </r>
  <r>
    <s v="T00432"/>
    <d v="2025-06-11T00:00:00"/>
    <s v="BR001"/>
    <s v="P019"/>
    <s v="C0042"/>
    <n v="1"/>
    <n v="25"/>
    <n v="21000"/>
    <x v="2"/>
    <n v="15750"/>
  </r>
  <r>
    <s v="T00512"/>
    <d v="2025-06-14T00:00:00"/>
    <s v="BR002"/>
    <s v="P025"/>
    <s v="C0197"/>
    <n v="1"/>
    <n v="0"/>
    <n v="175000"/>
    <x v="1"/>
    <n v="175000"/>
  </r>
  <r>
    <s v="T00685"/>
    <d v="2025-09-21T00:00:00"/>
    <s v="BR002"/>
    <s v="P015"/>
    <s v="C0173"/>
    <n v="1"/>
    <n v="0"/>
    <n v="15000"/>
    <x v="1"/>
    <n v="15000"/>
  </r>
  <r>
    <s v="T00494"/>
    <d v="2025-10-15T00:00:00"/>
    <s v="BR001"/>
    <s v="P007"/>
    <s v="C0153"/>
    <n v="1"/>
    <n v="5"/>
    <n v="145000"/>
    <x v="2"/>
    <n v="137750"/>
  </r>
  <r>
    <s v="T00751"/>
    <d v="2025-08-03T00:00:00"/>
    <s v="BR001"/>
    <s v="P004"/>
    <s v="C0061"/>
    <n v="2"/>
    <n v="0"/>
    <n v="38000"/>
    <x v="2"/>
    <n v="76000"/>
  </r>
  <r>
    <s v="T00102"/>
    <d v="2025-01-15T00:00:00"/>
    <s v="BR001"/>
    <s v="P012"/>
    <s v="C0211"/>
    <n v="1"/>
    <n v="5"/>
    <n v="28000"/>
    <x v="2"/>
    <n v="26600"/>
  </r>
  <r>
    <s v="T01138"/>
    <d v="2025-05-18T00:00:00"/>
    <s v="BR001"/>
    <s v="P024"/>
    <s v="C0095"/>
    <n v="1"/>
    <n v="5"/>
    <n v="245000"/>
    <x v="2"/>
    <n v="232750"/>
  </r>
  <r>
    <s v="T00373"/>
    <d v="2025-11-15T00:00:00"/>
    <s v="BR001"/>
    <s v="P008"/>
    <s v="C0193"/>
    <n v="1"/>
    <n v="10"/>
    <n v="410000"/>
    <x v="2"/>
    <n v="369000"/>
  </r>
  <r>
    <s v="T00014"/>
    <d v="2025-02-26T00:00:00"/>
    <s v="BR003"/>
    <s v="P016"/>
    <s v="C0106"/>
    <n v="1"/>
    <n v="15"/>
    <n v="19500"/>
    <x v="0"/>
    <n v="16575"/>
  </r>
  <r>
    <s v="T01352"/>
    <d v="2025-09-16T00:00:00"/>
    <s v="BR004"/>
    <s v="P016"/>
    <s v="C0154"/>
    <n v="2"/>
    <n v="0"/>
    <n v="19500"/>
    <x v="3"/>
    <n v="39000"/>
  </r>
  <r>
    <s v="T01104"/>
    <d v="2025-09-07T00:00:00"/>
    <s v="BR001"/>
    <s v="P009"/>
    <s v="C0036"/>
    <n v="1"/>
    <n v="20"/>
    <n v="265000"/>
    <x v="2"/>
    <n v="212000"/>
  </r>
  <r>
    <s v="T00114"/>
    <d v="2025-11-26T00:00:00"/>
    <s v="BR003"/>
    <s v="P023"/>
    <s v="C0009"/>
    <n v="1"/>
    <n v="0"/>
    <n v="195000"/>
    <x v="0"/>
    <n v="195000"/>
  </r>
  <r>
    <s v="T01157"/>
    <d v="2025-12-12T00:00:00"/>
    <s v="BR003"/>
    <s v="P010"/>
    <s v="C0109"/>
    <n v="1"/>
    <n v="0"/>
    <n v="62000"/>
    <x v="0"/>
    <n v="62000"/>
  </r>
  <r>
    <s v="T00431"/>
    <d v="2025-11-27T00:00:00"/>
    <s v="BR003"/>
    <s v="P011"/>
    <s v="C0182"/>
    <n v="2"/>
    <n v="0"/>
    <n v="74000"/>
    <x v="0"/>
    <n v="148000"/>
  </r>
  <r>
    <s v="T00035"/>
    <d v="2025-05-10T00:00:00"/>
    <s v="BR002"/>
    <s v="P001"/>
    <s v="C0105"/>
    <n v="1"/>
    <n v="5"/>
    <n v="185000"/>
    <x v="1"/>
    <n v="175750"/>
  </r>
  <r>
    <s v="T00099"/>
    <d v="2025-12-17T00:00:00"/>
    <s v="BR004"/>
    <s v="P015"/>
    <s v="C0162"/>
    <n v="1"/>
    <n v="5"/>
    <n v="15000"/>
    <x v="3"/>
    <n v="14250"/>
  </r>
  <r>
    <s v="T01040"/>
    <d v="2025-12-20T00:00:00"/>
    <s v="BR003"/>
    <s v="P002"/>
    <s v="C0199"/>
    <n v="1"/>
    <n v="20"/>
    <n v="320000"/>
    <x v="0"/>
    <n v="256000"/>
  </r>
  <r>
    <s v="T00641"/>
    <d v="2025-12-12T00:00:00"/>
    <s v="BR002"/>
    <s v="P017"/>
    <s v="C0085"/>
    <n v="1"/>
    <n v="0"/>
    <n v="24000"/>
    <x v="1"/>
    <n v="24000"/>
  </r>
  <r>
    <s v="T00064"/>
    <d v="2025-07-15T00:00:00"/>
    <s v="BR001"/>
    <s v="P012"/>
    <s v="C0099"/>
    <n v="5"/>
    <n v="0"/>
    <n v="28000"/>
    <x v="2"/>
    <n v="140000"/>
  </r>
  <r>
    <s v="T00398"/>
    <d v="2025-03-27T00:00:00"/>
    <s v="BR002"/>
    <s v="P017"/>
    <s v="C0116"/>
    <n v="5"/>
    <n v="5"/>
    <n v="24000"/>
    <x v="1"/>
    <n v="114000"/>
  </r>
  <r>
    <s v="T01333"/>
    <d v="2025-11-10T00:00:00"/>
    <s v="BR004"/>
    <s v="P011"/>
    <s v="C0079"/>
    <n v="1"/>
    <n v="30"/>
    <n v="74000"/>
    <x v="3"/>
    <n v="51800"/>
  </r>
  <r>
    <s v="T00870"/>
    <d v="2025-11-28T00:00:00"/>
    <s v="BR002"/>
    <s v="P011"/>
    <s v="C0055"/>
    <n v="1"/>
    <n v="10"/>
    <n v="74000"/>
    <x v="1"/>
    <n v="66600"/>
  </r>
  <r>
    <s v="T00657"/>
    <d v="2025-09-13T00:00:00"/>
    <s v="BR001"/>
    <s v="P011"/>
    <s v="C0095"/>
    <n v="2"/>
    <n v="10"/>
    <n v="74000"/>
    <x v="2"/>
    <n v="133200"/>
  </r>
  <r>
    <s v="T00537"/>
    <d v="2025-10-28T00:00:00"/>
    <s v="BR001"/>
    <s v="P009"/>
    <s v="C0112"/>
    <n v="2"/>
    <n v="10"/>
    <n v="265000"/>
    <x v="2"/>
    <n v="477000"/>
  </r>
  <r>
    <s v="T01048"/>
    <d v="2025-12-20T00:00:00"/>
    <s v="BR001"/>
    <s v="P012"/>
    <s v="C0161"/>
    <n v="1"/>
    <n v="5"/>
    <n v="28000"/>
    <x v="2"/>
    <n v="26600"/>
  </r>
  <r>
    <s v="T00708"/>
    <d v="2025-01-21T00:00:00"/>
    <s v="BR004"/>
    <s v="P024"/>
    <s v="C0067"/>
    <n v="2"/>
    <n v="20"/>
    <n v="245000"/>
    <x v="3"/>
    <n v="392000"/>
  </r>
  <r>
    <s v="T00818"/>
    <d v="2025-07-05T00:00:00"/>
    <s v="BR002"/>
    <s v="P011"/>
    <s v="C0202"/>
    <n v="1"/>
    <n v="15"/>
    <n v="74000"/>
    <x v="1"/>
    <n v="62900"/>
  </r>
  <r>
    <s v="T00260"/>
    <d v="2025-01-26T00:00:00"/>
    <s v="BR001"/>
    <s v="P021"/>
    <s v="C0083"/>
    <n v="1"/>
    <n v="0"/>
    <n v="6500"/>
    <x v="2"/>
    <n v="6500"/>
  </r>
  <r>
    <s v="T00111"/>
    <d v="2025-06-16T00:00:00"/>
    <s v="BR002"/>
    <s v="P023"/>
    <s v="C0080"/>
    <n v="1"/>
    <n v="0"/>
    <n v="195000"/>
    <x v="1"/>
    <n v="195000"/>
  </r>
  <r>
    <s v="T01258"/>
    <d v="2025-03-11T00:00:00"/>
    <s v="BR002"/>
    <s v="P007"/>
    <s v="C0139"/>
    <n v="1"/>
    <n v="20"/>
    <n v="145000"/>
    <x v="1"/>
    <n v="116000"/>
  </r>
  <r>
    <s v="T00059"/>
    <d v="2025-04-25T00:00:00"/>
    <s v="BR002"/>
    <s v="P013"/>
    <s v="C0105"/>
    <n v="3"/>
    <n v="0"/>
    <n v="22000"/>
    <x v="1"/>
    <n v="66000"/>
  </r>
  <r>
    <s v="T00611"/>
    <d v="2025-03-22T00:00:00"/>
    <s v="BR001"/>
    <s v="P004"/>
    <s v="C0034"/>
    <n v="1"/>
    <n v="0"/>
    <n v="38000"/>
    <x v="2"/>
    <n v="38000"/>
  </r>
  <r>
    <s v="T00448"/>
    <d v="2025-07-05T00:00:00"/>
    <s v="BR001"/>
    <s v="P011"/>
    <s v="C0129"/>
    <n v="2"/>
    <n v="0"/>
    <n v="74000"/>
    <x v="2"/>
    <n v="148000"/>
  </r>
  <r>
    <s v="T00025"/>
    <d v="2025-06-09T00:00:00"/>
    <s v="BR004"/>
    <s v="P021"/>
    <s v="C0032"/>
    <n v="2"/>
    <n v="0"/>
    <n v="6500"/>
    <x v="3"/>
    <n v="13000"/>
  </r>
  <r>
    <s v="T00016"/>
    <d v="2025-03-19T00:00:00"/>
    <s v="BR004"/>
    <s v="P009"/>
    <s v="C0126"/>
    <n v="1"/>
    <n v="0"/>
    <n v="265000"/>
    <x v="3"/>
    <n v="265000"/>
  </r>
  <r>
    <s v="T00173"/>
    <d v="2025-01-14T00:00:00"/>
    <s v="BR004"/>
    <s v="P020"/>
    <s v="C0063"/>
    <n v="1"/>
    <n v="25"/>
    <n v="8500"/>
    <x v="3"/>
    <n v="6375"/>
  </r>
  <r>
    <s v="T00325"/>
    <d v="2025-04-26T00:00:00"/>
    <s v="BR002"/>
    <s v="P017"/>
    <s v="C0213"/>
    <n v="1"/>
    <n v="0"/>
    <n v="24000"/>
    <x v="1"/>
    <n v="24000"/>
  </r>
  <r>
    <s v="T00301"/>
    <d v="2025-05-08T00:00:00"/>
    <s v="BR004"/>
    <s v="P004"/>
    <s v="C0011"/>
    <n v="1"/>
    <n v="0"/>
    <n v="38000"/>
    <x v="3"/>
    <n v="38000"/>
  </r>
  <r>
    <s v="T00100"/>
    <d v="2025-11-20T00:00:00"/>
    <s v="BR002"/>
    <s v="P013"/>
    <s v="C0051"/>
    <n v="2"/>
    <n v="5"/>
    <n v="22000"/>
    <x v="1"/>
    <n v="41800"/>
  </r>
  <r>
    <s v="T00658"/>
    <d v="2025-04-01T00:00:00"/>
    <s v="BR003"/>
    <s v="P025"/>
    <s v="C0116"/>
    <n v="1"/>
    <n v="20"/>
    <n v="175000"/>
    <x v="0"/>
    <n v="140000"/>
  </r>
  <r>
    <s v="T00858"/>
    <d v="2025-09-15T00:00:00"/>
    <s v="BR001"/>
    <s v="P001"/>
    <s v="C0067"/>
    <n v="1"/>
    <n v="0"/>
    <n v="185000"/>
    <x v="2"/>
    <n v="185000"/>
  </r>
  <r>
    <s v="T01248"/>
    <d v="2025-11-04T00:00:00"/>
    <s v="BR003"/>
    <s v="P004"/>
    <s v="C0024"/>
    <n v="1"/>
    <n v="25"/>
    <n v="38000"/>
    <x v="0"/>
    <n v="28500"/>
  </r>
  <r>
    <s v="T01331"/>
    <d v="2025-05-24T00:00:00"/>
    <s v="BR004"/>
    <s v="P007"/>
    <s v="C0122"/>
    <n v="1"/>
    <n v="10"/>
    <n v="145000"/>
    <x v="3"/>
    <n v="130500"/>
  </r>
  <r>
    <s v="T00674"/>
    <d v="2025-07-11T00:00:00"/>
    <s v="BR004"/>
    <s v="P015"/>
    <s v="C0150"/>
    <n v="5"/>
    <n v="0"/>
    <n v="15000"/>
    <x v="3"/>
    <n v="75000"/>
  </r>
  <r>
    <s v="T01366"/>
    <d v="2025-02-13T00:00:00"/>
    <s v="BR003"/>
    <s v="P011"/>
    <s v="C0121"/>
    <n v="2"/>
    <n v="5"/>
    <n v="74000"/>
    <x v="0"/>
    <n v="140600"/>
  </r>
  <r>
    <s v="T01111"/>
    <d v="2025-04-03T00:00:00"/>
    <s v="BR004"/>
    <s v="P001"/>
    <s v="C0149"/>
    <n v="1"/>
    <n v="0"/>
    <n v="185000"/>
    <x v="3"/>
    <n v="185000"/>
  </r>
  <r>
    <s v="T01144"/>
    <d v="2025-11-24T00:00:00"/>
    <s v="BR001"/>
    <s v="P023"/>
    <s v="C0138"/>
    <n v="1"/>
    <n v="5"/>
    <n v="195000"/>
    <x v="2"/>
    <n v="185250"/>
  </r>
  <r>
    <s v="T00501"/>
    <d v="2025-02-21T00:00:00"/>
    <s v="BR003"/>
    <s v="P017"/>
    <s v="C0049"/>
    <n v="2"/>
    <n v="5"/>
    <n v="24000"/>
    <x v="0"/>
    <n v="45600"/>
  </r>
  <r>
    <s v="T01050"/>
    <d v="2025-12-21T00:00:00"/>
    <s v="BR004"/>
    <s v="P022"/>
    <s v="C0016"/>
    <n v="1"/>
    <n v="0"/>
    <n v="5200"/>
    <x v="3"/>
    <n v="5200"/>
  </r>
  <r>
    <s v="T01087"/>
    <d v="2025-03-04T00:00:00"/>
    <s v="BR003"/>
    <s v="P009"/>
    <s v="C0079"/>
    <n v="1"/>
    <n v="5"/>
    <n v="265000"/>
    <x v="0"/>
    <n v="251750"/>
  </r>
  <r>
    <s v="T00451"/>
    <d v="2025-11-19T00:00:00"/>
    <s v="BR001"/>
    <s v="P022"/>
    <s v="C0151"/>
    <n v="1"/>
    <n v="5"/>
    <n v="5200"/>
    <x v="2"/>
    <n v="4940"/>
  </r>
  <r>
    <s v="T00370"/>
    <d v="2025-12-21T00:00:00"/>
    <s v="BR003"/>
    <s v="P004"/>
    <s v="C0094"/>
    <n v="1"/>
    <n v="0"/>
    <n v="38000"/>
    <x v="0"/>
    <n v="38000"/>
  </r>
  <r>
    <s v="T00639"/>
    <d v="2025-05-22T00:00:00"/>
    <s v="BR001"/>
    <s v="P010"/>
    <s v="C0193"/>
    <n v="1"/>
    <n v="5"/>
    <n v="62000"/>
    <x v="2"/>
    <n v="58900"/>
  </r>
  <r>
    <s v="T00427"/>
    <d v="2025-02-27T00:00:00"/>
    <s v="BR001"/>
    <s v="P016"/>
    <s v="C0035"/>
    <n v="1"/>
    <n v="0"/>
    <n v="19500"/>
    <x v="2"/>
    <n v="19500"/>
  </r>
  <r>
    <s v="T01110"/>
    <d v="2025-11-23T00:00:00"/>
    <s v="BR001"/>
    <s v="P023"/>
    <s v="C0095"/>
    <n v="1"/>
    <n v="5"/>
    <n v="195000"/>
    <x v="2"/>
    <n v="185250"/>
  </r>
  <r>
    <s v="T00940"/>
    <d v="2025-11-03T00:00:00"/>
    <s v="BR001"/>
    <s v="P006"/>
    <s v="C0110"/>
    <n v="1"/>
    <n v="5"/>
    <n v="78000"/>
    <x v="2"/>
    <n v="74100"/>
  </r>
  <r>
    <s v="T01115"/>
    <d v="2025-08-11T00:00:00"/>
    <s v="BR002"/>
    <s v="P013"/>
    <s v="C0159"/>
    <n v="1"/>
    <n v="0"/>
    <n v="22000"/>
    <x v="1"/>
    <n v="22000"/>
  </r>
  <r>
    <s v="T00295"/>
    <d v="2025-10-16T00:00:00"/>
    <s v="BR002"/>
    <s v="P009"/>
    <s v="C0173"/>
    <n v="1"/>
    <n v="0"/>
    <n v="265000"/>
    <x v="1"/>
    <n v="265000"/>
  </r>
  <r>
    <s v="T00841"/>
    <d v="2025-02-22T00:00:00"/>
    <s v="BR002"/>
    <s v="P025"/>
    <s v="C0188"/>
    <n v="1"/>
    <n v="10"/>
    <n v="175000"/>
    <x v="1"/>
    <n v="157500"/>
  </r>
  <r>
    <s v="T00894"/>
    <d v="2025-03-14T00:00:00"/>
    <s v="BR001"/>
    <s v="P004"/>
    <s v="C0056"/>
    <n v="5"/>
    <n v="0"/>
    <n v="38000"/>
    <x v="2"/>
    <n v="190000"/>
  </r>
  <r>
    <s v="T00326"/>
    <d v="2025-02-18T00:00:00"/>
    <s v="BR004"/>
    <s v="P008"/>
    <s v="C0010"/>
    <n v="1"/>
    <n v="0"/>
    <n v="410000"/>
    <x v="3"/>
    <n v="410000"/>
  </r>
  <r>
    <s v="T00800"/>
    <d v="2025-09-05T00:00:00"/>
    <s v="BR002"/>
    <s v="P002"/>
    <s v="C0089"/>
    <n v="5"/>
    <n v="25"/>
    <n v="320000"/>
    <x v="1"/>
    <n v="1200000"/>
  </r>
  <r>
    <s v="T00888"/>
    <d v="2025-04-14T00:00:00"/>
    <s v="BR002"/>
    <s v="P018"/>
    <s v="C0127"/>
    <n v="1"/>
    <n v="5"/>
    <n v="18000"/>
    <x v="1"/>
    <n v="17100"/>
  </r>
  <r>
    <s v="T01016"/>
    <d v="2025-11-04T00:00:00"/>
    <s v="BR003"/>
    <s v="P024"/>
    <s v="C0041"/>
    <n v="1"/>
    <n v="20"/>
    <n v="245000"/>
    <x v="0"/>
    <n v="196000"/>
  </r>
  <r>
    <s v="T01139"/>
    <d v="2025-12-05T00:00:00"/>
    <s v="BR001"/>
    <s v="P002"/>
    <s v="C0090"/>
    <n v="2"/>
    <n v="15"/>
    <n v="320000"/>
    <x v="2"/>
    <n v="544000"/>
  </r>
  <r>
    <s v="T01022"/>
    <d v="2025-01-16T00:00:00"/>
    <s v="BR002"/>
    <s v="P013"/>
    <s v="C0108"/>
    <n v="1"/>
    <n v="5"/>
    <n v="22000"/>
    <x v="1"/>
    <n v="20900"/>
  </r>
  <r>
    <s v="T01057"/>
    <d v="2025-05-06T00:00:00"/>
    <s v="BR003"/>
    <s v="P019"/>
    <s v="C0004"/>
    <n v="2"/>
    <n v="5"/>
    <n v="21000"/>
    <x v="0"/>
    <n v="39900"/>
  </r>
  <r>
    <s v="T00919"/>
    <d v="2025-01-15T00:00:00"/>
    <s v="BR002"/>
    <s v="P022"/>
    <s v="C0149"/>
    <n v="1"/>
    <n v="0"/>
    <n v="5200"/>
    <x v="1"/>
    <n v="5200"/>
  </r>
  <r>
    <s v="T00052"/>
    <d v="2025-11-22T00:00:00"/>
    <s v="BR003"/>
    <s v="P013"/>
    <s v="C0046"/>
    <n v="1"/>
    <n v="10"/>
    <n v="22000"/>
    <x v="0"/>
    <n v="19800"/>
  </r>
  <r>
    <s v="T00276"/>
    <d v="2025-02-13T00:00:00"/>
    <s v="BR004"/>
    <s v="P011"/>
    <s v="C0051"/>
    <n v="1"/>
    <n v="20"/>
    <n v="74000"/>
    <x v="3"/>
    <n v="59200"/>
  </r>
  <r>
    <s v="T00709"/>
    <d v="2025-08-21T00:00:00"/>
    <s v="BR003"/>
    <s v="P017"/>
    <s v="C0062"/>
    <n v="1"/>
    <n v="0"/>
    <n v="24000"/>
    <x v="0"/>
    <n v="24000"/>
  </r>
  <r>
    <s v="T00799"/>
    <s v="27/09/2025"/>
    <s v="BR003"/>
    <s v="P015"/>
    <s v="C0168"/>
    <n v="1"/>
    <n v="15"/>
    <n v="15000"/>
    <x v="0"/>
    <n v="12750"/>
  </r>
  <r>
    <s v="T00416"/>
    <d v="2025-11-04T00:00:00"/>
    <s v="BR002"/>
    <s v="P007"/>
    <s v="C0204"/>
    <n v="2"/>
    <n v="5"/>
    <n v="145000"/>
    <x v="1"/>
    <n v="275500"/>
  </r>
  <r>
    <s v="T00447"/>
    <d v="2025-12-28T00:00:00"/>
    <s v="BR002"/>
    <s v="P021"/>
    <s v="C0194"/>
    <n v="1"/>
    <n v="0"/>
    <n v="6500"/>
    <x v="1"/>
    <n v="6500"/>
  </r>
  <r>
    <s v="T00542"/>
    <d v="2025-03-10T00:00:00"/>
    <s v="BR002"/>
    <s v="P007"/>
    <s v="C0015"/>
    <n v="1"/>
    <n v="10"/>
    <n v="145000"/>
    <x v="1"/>
    <n v="130500"/>
  </r>
  <r>
    <s v="T00393"/>
    <d v="2025-04-14T00:00:00"/>
    <s v="BR002"/>
    <s v="P017"/>
    <s v="C0188"/>
    <n v="1"/>
    <n v="0"/>
    <n v="24000"/>
    <x v="1"/>
    <n v="24000"/>
  </r>
  <r>
    <s v="T00535"/>
    <d v="2025-12-22T00:00:00"/>
    <s v="BR003"/>
    <s v="P003"/>
    <s v="C0045"/>
    <n v="1"/>
    <n v="0"/>
    <n v="45000"/>
    <x v="0"/>
    <n v="45000"/>
  </r>
  <r>
    <s v="T01219"/>
    <d v="2025-11-13T00:00:00"/>
    <s v="BR001"/>
    <s v="P003"/>
    <s v="C0034"/>
    <n v="3"/>
    <n v="15"/>
    <n v="45000"/>
    <x v="2"/>
    <n v="114750"/>
  </r>
  <r>
    <s v="T00971"/>
    <d v="2025-08-24T00:00:00"/>
    <s v="BR003"/>
    <s v="P003"/>
    <s v="C0162"/>
    <n v="1"/>
    <n v="0"/>
    <n v="45000"/>
    <x v="0"/>
    <n v="45000"/>
  </r>
  <r>
    <s v="T00752"/>
    <d v="2025-09-17T00:00:00"/>
    <s v="BR002"/>
    <s v="P015"/>
    <s v="C0039"/>
    <n v="2"/>
    <n v="0"/>
    <n v="15000"/>
    <x v="1"/>
    <n v="30000"/>
  </r>
  <r>
    <s v="T01159"/>
    <d v="2025-03-25T00:00:00"/>
    <s v="BR001"/>
    <s v="P017"/>
    <s v="C0132"/>
    <n v="1"/>
    <n v="5"/>
    <n v="24000"/>
    <x v="2"/>
    <n v="22800"/>
  </r>
  <r>
    <s v="T01327"/>
    <d v="2025-09-11T00:00:00"/>
    <s v="BR003"/>
    <s v="P002"/>
    <s v="C0083"/>
    <n v="1"/>
    <n v="10"/>
    <n v="320000"/>
    <x v="0"/>
    <n v="288000"/>
  </r>
  <r>
    <s v="T01204"/>
    <d v="2025-05-19T00:00:00"/>
    <s v="BR002"/>
    <s v="P004"/>
    <s v="C0186"/>
    <n v="1"/>
    <n v="0"/>
    <n v="38000"/>
    <x v="1"/>
    <n v="38000"/>
  </r>
  <r>
    <s v="T00607"/>
    <d v="2025-10-17T00:00:00"/>
    <s v="BR004"/>
    <s v="P021"/>
    <s v="C0220"/>
    <n v="1"/>
    <n v="0"/>
    <n v="6500"/>
    <x v="3"/>
    <n v="6500"/>
  </r>
  <r>
    <s v="T00187"/>
    <d v="2025-03-19T00:00:00"/>
    <s v="BR001"/>
    <s v="P013"/>
    <s v="C0055"/>
    <n v="1"/>
    <n v="0"/>
    <n v="22000"/>
    <x v="2"/>
    <n v="22000"/>
  </r>
  <r>
    <s v="T00455"/>
    <d v="2025-06-05T00:00:00"/>
    <s v="BR001"/>
    <s v="P018"/>
    <s v="C0013"/>
    <n v="1"/>
    <n v="5"/>
    <n v="18000"/>
    <x v="2"/>
    <n v="17100"/>
  </r>
  <r>
    <s v="T01202"/>
    <d v="2025-11-02T00:00:00"/>
    <s v="BR002"/>
    <s v="P015"/>
    <s v="C0129"/>
    <n v="1"/>
    <n v="10"/>
    <n v="15000"/>
    <x v="1"/>
    <n v="13500"/>
  </r>
  <r>
    <s v="T00807"/>
    <d v="2025-10-22T00:00:00"/>
    <s v="BR001"/>
    <s v="P009"/>
    <s v="C0215"/>
    <n v="1"/>
    <n v="0"/>
    <n v="265000"/>
    <x v="2"/>
    <n v="265000"/>
  </r>
  <r>
    <s v="T00211"/>
    <d v="2025-02-21T00:00:00"/>
    <s v="BR001"/>
    <s v="P008"/>
    <s v="C0153"/>
    <n v="2"/>
    <n v="0"/>
    <n v="410000"/>
    <x v="2"/>
    <n v="820000"/>
  </r>
  <r>
    <s v="T00904"/>
    <d v="2025-09-27T00:00:00"/>
    <s v="BR001"/>
    <s v="P004"/>
    <s v="C0176"/>
    <n v="2"/>
    <n v="0"/>
    <n v="38000"/>
    <x v="2"/>
    <n v="76000"/>
  </r>
  <r>
    <s v="T00281"/>
    <d v="2025-11-19T00:00:00"/>
    <s v="BR002"/>
    <s v="P025"/>
    <s v="C0055"/>
    <n v="5"/>
    <n v="5"/>
    <n v="175000"/>
    <x v="1"/>
    <n v="831250"/>
  </r>
  <r>
    <s v="T00411"/>
    <d v="2025-12-12T00:00:00"/>
    <s v="BR001"/>
    <s v="P010"/>
    <s v="C0160"/>
    <n v="2"/>
    <n v="10"/>
    <n v="62000"/>
    <x v="2"/>
    <n v="111600"/>
  </r>
  <r>
    <s v="T00021"/>
    <d v="2025-05-18T00:00:00"/>
    <s v="BR002"/>
    <s v="P005"/>
    <s v="C0036"/>
    <n v="3"/>
    <n v="10"/>
    <n v="95000"/>
    <x v="1"/>
    <n v="256500"/>
  </r>
  <r>
    <s v="T00047"/>
    <d v="2025-12-24T00:00:00"/>
    <s v="BR003"/>
    <s v="P001"/>
    <s v="C0010"/>
    <n v="2"/>
    <n v="5"/>
    <n v="185000"/>
    <x v="0"/>
    <n v="351500"/>
  </r>
  <r>
    <s v="T00463"/>
    <d v="2025-03-15T00:00:00"/>
    <s v="BR001"/>
    <s v="P023"/>
    <s v="C0074"/>
    <n v="1"/>
    <n v="0"/>
    <n v="195000"/>
    <x v="2"/>
    <n v="195000"/>
  </r>
  <r>
    <s v="T00644"/>
    <d v="2025-05-02T00:00:00"/>
    <s v="BR003"/>
    <s v="P005"/>
    <s v="C0066"/>
    <n v="1"/>
    <n v="0"/>
    <n v="95000"/>
    <x v="0"/>
    <n v="95000"/>
  </r>
  <r>
    <s v="T01348"/>
    <d v="2025-12-28T00:00:00"/>
    <s v="BR004"/>
    <s v="P001"/>
    <s v="C0210"/>
    <n v="2"/>
    <n v="15"/>
    <n v="185000"/>
    <x v="3"/>
    <n v="314500"/>
  </r>
  <r>
    <s v="T00769"/>
    <d v="2025-03-21T00:00:00"/>
    <s v="BR001"/>
    <s v="P018"/>
    <s v="C0213"/>
    <n v="2"/>
    <n v="0"/>
    <n v="18000"/>
    <x v="2"/>
    <n v="36000"/>
  </r>
  <r>
    <s v="T01027"/>
    <d v="2025-07-26T00:00:00"/>
    <s v="BR002"/>
    <s v="P010"/>
    <s v="C0055"/>
    <n v="1"/>
    <n v="5"/>
    <n v="62000"/>
    <x v="1"/>
    <n v="58900"/>
  </r>
  <r>
    <s v="T00569"/>
    <d v="2025-10-01T00:00:00"/>
    <s v="BR002"/>
    <s v="P005"/>
    <s v="C0189"/>
    <n v="1"/>
    <n v="10"/>
    <n v="95000"/>
    <x v="1"/>
    <n v="85500"/>
  </r>
  <r>
    <s v="T00877"/>
    <d v="2025-08-28T00:00:00"/>
    <s v="BR001"/>
    <s v="P005"/>
    <s v="C0110"/>
    <n v="1"/>
    <n v="25"/>
    <n v="95000"/>
    <x v="2"/>
    <n v="71250"/>
  </r>
  <r>
    <s v="T00796"/>
    <d v="2025-08-21T00:00:00"/>
    <s v="BR002"/>
    <s v="P019"/>
    <s v="C0202"/>
    <n v="2"/>
    <n v="5"/>
    <n v="21000"/>
    <x v="1"/>
    <n v="39900"/>
  </r>
  <r>
    <s v="T00956"/>
    <d v="2025-07-03T00:00:00"/>
    <s v="BR003"/>
    <s v="P012"/>
    <s v="C0182"/>
    <n v="1"/>
    <n v="5"/>
    <n v="28000"/>
    <x v="0"/>
    <n v="26600"/>
  </r>
  <r>
    <s v="T00789"/>
    <d v="2025-09-23T00:00:00"/>
    <s v="BR002"/>
    <s v="P020"/>
    <s v="C0052"/>
    <n v="1"/>
    <n v="0"/>
    <n v="8500"/>
    <x v="1"/>
    <n v="8500"/>
  </r>
  <r>
    <s v="T00622"/>
    <d v="2025-01-10T00:00:00"/>
    <s v="BR003"/>
    <s v="P025"/>
    <s v="C0176"/>
    <n v="1"/>
    <n v="5"/>
    <n v="175000"/>
    <x v="0"/>
    <n v="166250"/>
  </r>
  <r>
    <s v="T00954"/>
    <d v="2025-12-14T00:00:00"/>
    <s v="BR001"/>
    <s v="P025"/>
    <s v="C0162"/>
    <n v="1"/>
    <n v="0"/>
    <n v="175000"/>
    <x v="2"/>
    <n v="175000"/>
  </r>
  <r>
    <s v="T01283"/>
    <d v="2025-12-28T00:00:00"/>
    <s v="BR003"/>
    <s v="P002"/>
    <s v="C0105"/>
    <n v="1"/>
    <n v="0"/>
    <n v="320000"/>
    <x v="0"/>
    <n v="320000"/>
  </r>
  <r>
    <s v="T01247"/>
    <d v="2025-01-05T00:00:00"/>
    <s v="BR003"/>
    <s v="P022"/>
    <s v="C0072"/>
    <n v="2"/>
    <n v="25"/>
    <n v="5200"/>
    <x v="0"/>
    <n v="7800"/>
  </r>
  <r>
    <s v="T00129"/>
    <d v="2025-07-10T00:00:00"/>
    <s v="BR003"/>
    <s v="P025"/>
    <s v="C0174"/>
    <n v="1"/>
    <n v="0"/>
    <n v="175000"/>
    <x v="0"/>
    <n v="175000"/>
  </r>
  <r>
    <s v="T00896"/>
    <d v="2025-02-13T00:00:00"/>
    <s v="BR001"/>
    <s v="P005"/>
    <s v="C0171"/>
    <n v="1"/>
    <n v="5"/>
    <n v="95000"/>
    <x v="2"/>
    <n v="90250"/>
  </r>
  <r>
    <s v="T01081"/>
    <d v="2025-07-05T00:00:00"/>
    <s v="BR002"/>
    <s v="P002"/>
    <s v="C0186"/>
    <n v="1"/>
    <n v="0"/>
    <n v="320000"/>
    <x v="1"/>
    <n v="320000"/>
  </r>
  <r>
    <s v="T00285"/>
    <d v="2025-03-01T00:00:00"/>
    <s v="BR001"/>
    <s v="P008"/>
    <s v="C0219"/>
    <n v="2"/>
    <n v="0"/>
    <n v="410000"/>
    <x v="2"/>
    <n v="820000"/>
  </r>
  <r>
    <s v="T00345"/>
    <d v="2025-04-22T00:00:00"/>
    <s v="BR004"/>
    <s v="P003"/>
    <s v="C0047"/>
    <n v="1"/>
    <n v="15"/>
    <n v="45000"/>
    <x v="3"/>
    <n v="38250"/>
  </r>
  <r>
    <s v="T01354"/>
    <d v="2025-11-21T00:00:00"/>
    <s v="BR003"/>
    <s v="P007"/>
    <s v="C0060"/>
    <n v="1"/>
    <n v="25"/>
    <n v="145000"/>
    <x v="0"/>
    <n v="108750"/>
  </r>
  <r>
    <s v="T01268"/>
    <d v="2025-05-15T00:00:00"/>
    <s v="BR001"/>
    <s v="P012"/>
    <s v="C0069"/>
    <n v="1"/>
    <n v="5"/>
    <n v="28000"/>
    <x v="2"/>
    <n v="26600"/>
  </r>
  <r>
    <s v="T00229"/>
    <d v="2025-02-15T00:00:00"/>
    <s v="BR003"/>
    <s v="P025"/>
    <s v="C0160"/>
    <n v="1"/>
    <n v="0"/>
    <n v="175000"/>
    <x v="0"/>
    <n v="175000"/>
  </r>
  <r>
    <s v="T01343"/>
    <d v="2025-02-12T00:00:00"/>
    <s v="BR001"/>
    <s v="P009"/>
    <s v="C0078"/>
    <n v="1"/>
    <n v="5"/>
    <n v="265000"/>
    <x v="2"/>
    <n v="251750"/>
  </r>
  <r>
    <s v="T00559"/>
    <d v="2025-12-14T00:00:00"/>
    <s v="BR002"/>
    <s v="P016"/>
    <s v="C0188"/>
    <n v="2"/>
    <n v="15"/>
    <n v="19500"/>
    <x v="1"/>
    <n v="33150"/>
  </r>
  <r>
    <s v="T01199"/>
    <d v="2025-07-27T00:00:00"/>
    <s v="BR002"/>
    <s v="P014"/>
    <s v="C0075"/>
    <n v="2"/>
    <n v="10"/>
    <n v="285000"/>
    <x v="1"/>
    <n v="513000"/>
  </r>
  <r>
    <s v="T00598"/>
    <d v="2025-03-03T00:00:00"/>
    <s v="BR001"/>
    <s v="P011"/>
    <s v="C0088"/>
    <n v="2"/>
    <n v="15"/>
    <n v="74000"/>
    <x v="2"/>
    <n v="125800"/>
  </r>
  <r>
    <s v="T00991"/>
    <d v="2025-02-21T00:00:00"/>
    <s v="BR002"/>
    <s v="P025"/>
    <s v="C0086"/>
    <n v="2"/>
    <n v="5"/>
    <n v="175000"/>
    <x v="1"/>
    <n v="332500"/>
  </r>
  <r>
    <s v="T00433"/>
    <d v="2025-03-25T00:00:00"/>
    <s v="BR001"/>
    <s v="P011"/>
    <s v="C0047"/>
    <n v="2"/>
    <n v="0"/>
    <n v="74000"/>
    <x v="2"/>
    <n v="148000"/>
  </r>
  <r>
    <s v="T00340"/>
    <d v="2025-12-15T00:00:00"/>
    <s v="BR001"/>
    <s v="P017"/>
    <s v="C0025"/>
    <n v="1"/>
    <n v="0"/>
    <n v="24000"/>
    <x v="2"/>
    <n v="24000"/>
  </r>
  <r>
    <s v="T01310"/>
    <d v="2025-12-18T00:00:00"/>
    <s v="BR001"/>
    <s v="P013"/>
    <s v="C0044"/>
    <n v="2"/>
    <n v="5"/>
    <n v="22000"/>
    <x v="2"/>
    <n v="41800"/>
  </r>
  <r>
    <s v="T01184"/>
    <d v="2025-05-10T00:00:00"/>
    <s v="BR002"/>
    <s v="P025"/>
    <s v="C0113"/>
    <n v="1"/>
    <n v="0"/>
    <n v="175000"/>
    <x v="1"/>
    <n v="175000"/>
  </r>
  <r>
    <s v="T00766"/>
    <d v="2025-12-14T00:00:00"/>
    <s v="BR001"/>
    <s v="P014"/>
    <s v="C0016"/>
    <n v="1"/>
    <n v="10"/>
    <n v="285000"/>
    <x v="2"/>
    <n v="256500"/>
  </r>
  <r>
    <s v="T00165"/>
    <d v="2025-12-13T00:00:00"/>
    <s v="BR001"/>
    <s v="P007"/>
    <s v="C0161"/>
    <n v="2"/>
    <n v="10"/>
    <n v="145000"/>
    <x v="2"/>
    <n v="261000"/>
  </r>
  <r>
    <s v="T00109"/>
    <d v="2025-06-10T00:00:00"/>
    <s v="BR001"/>
    <s v="P001"/>
    <s v="C0068"/>
    <n v="3"/>
    <n v="0"/>
    <n v="185000"/>
    <x v="2"/>
    <n v="555000"/>
  </r>
  <r>
    <s v="T00208"/>
    <d v="2025-12-28T00:00:00"/>
    <s v="BR001"/>
    <s v="P007"/>
    <s v="C0040"/>
    <n v="1"/>
    <n v="10"/>
    <n v="145000"/>
    <x v="2"/>
    <n v="130500"/>
  </r>
  <r>
    <s v="T00309"/>
    <s v="21/07/2025"/>
    <s v="BR001"/>
    <s v="P018"/>
    <s v="C0034"/>
    <n v="1"/>
    <n v="10"/>
    <n v="18000"/>
    <x v="2"/>
    <n v="16200"/>
  </r>
  <r>
    <s v="T00868"/>
    <d v="2025-11-26T00:00:00"/>
    <s v="BR001"/>
    <s v="P006"/>
    <s v="C0105"/>
    <n v="1"/>
    <n v="10"/>
    <n v="78000"/>
    <x v="2"/>
    <n v="70200"/>
  </r>
  <r>
    <s v="T01122"/>
    <s v="23/12/2025"/>
    <s v="BR001"/>
    <s v="P019"/>
    <s v="C0172"/>
    <n v="1"/>
    <n v="25"/>
    <n v="21000"/>
    <x v="2"/>
    <n v="15750"/>
  </r>
  <r>
    <s v="T00688"/>
    <d v="2025-10-08T00:00:00"/>
    <s v="BR001"/>
    <s v="P001"/>
    <s v="C0044"/>
    <n v="1"/>
    <n v="0"/>
    <n v="185000"/>
    <x v="2"/>
    <n v="185000"/>
  </r>
  <r>
    <s v="T01312"/>
    <d v="2025-09-05T00:00:00"/>
    <s v="BR003"/>
    <s v="P015"/>
    <s v="C0047"/>
    <n v="2"/>
    <n v="0"/>
    <n v="15000"/>
    <x v="0"/>
    <n v="30000"/>
  </r>
  <r>
    <s v="T00573"/>
    <d v="2025-11-12T00:00:00"/>
    <s v="BR003"/>
    <s v="P018"/>
    <s v="C0045"/>
    <n v="1"/>
    <n v="5"/>
    <n v="18000"/>
    <x v="0"/>
    <n v="17100"/>
  </r>
  <r>
    <s v="T00548"/>
    <d v="2025-04-07T00:00:00"/>
    <s v="BR001"/>
    <s v="P021"/>
    <s v="C0141"/>
    <n v="1"/>
    <n v="10"/>
    <n v="6500"/>
    <x v="2"/>
    <n v="5850"/>
  </r>
  <r>
    <s v="T00284"/>
    <d v="2025-01-10T00:00:00"/>
    <s v="BR001"/>
    <s v="P001"/>
    <s v="C0086"/>
    <n v="5"/>
    <n v="0"/>
    <n v="185000"/>
    <x v="2"/>
    <n v="925000"/>
  </r>
  <r>
    <s v="T01187"/>
    <d v="2025-11-03T00:00:00"/>
    <s v="BR001"/>
    <s v="P016"/>
    <s v="C0007"/>
    <n v="1"/>
    <n v="20"/>
    <n v="19500"/>
    <x v="2"/>
    <n v="15600"/>
  </r>
  <r>
    <s v="T01349"/>
    <d v="2025-03-21T00:00:00"/>
    <s v="BR003"/>
    <s v="P007"/>
    <s v="C0116"/>
    <n v="1"/>
    <n v="0"/>
    <n v="145000"/>
    <x v="0"/>
    <n v="145000"/>
  </r>
  <r>
    <s v="T01360"/>
    <d v="2025-08-06T00:00:00"/>
    <s v="BR002"/>
    <s v="P019"/>
    <s v="C0119"/>
    <n v="2"/>
    <n v="10"/>
    <n v="21000"/>
    <x v="1"/>
    <n v="37800"/>
  </r>
  <r>
    <s v="T00355"/>
    <d v="2025-06-15T00:00:00"/>
    <s v="BR002"/>
    <s v="P004"/>
    <s v="C0100"/>
    <n v="1"/>
    <n v="0"/>
    <n v="38000"/>
    <x v="1"/>
    <n v="38000"/>
  </r>
  <r>
    <s v="T01128"/>
    <d v="2025-11-04T00:00:00"/>
    <s v="BR001"/>
    <s v="P017"/>
    <s v="C0026"/>
    <n v="1"/>
    <n v="5"/>
    <n v="24000"/>
    <x v="2"/>
    <n v="22800"/>
  </r>
  <r>
    <s v="T00128"/>
    <d v="2025-11-16T00:00:00"/>
    <s v="BR002"/>
    <s v="P008"/>
    <s v="C0009"/>
    <n v="1"/>
    <n v="15"/>
    <n v="410000"/>
    <x v="1"/>
    <n v="348500"/>
  </r>
  <r>
    <s v="T00549"/>
    <d v="2025-11-05T00:00:00"/>
    <s v="BR002"/>
    <s v="P002"/>
    <s v="C0200"/>
    <n v="5"/>
    <n v="10"/>
    <n v="320000"/>
    <x v="1"/>
    <n v="1440000"/>
  </r>
  <r>
    <s v="T00944"/>
    <d v="2025-03-01T00:00:00"/>
    <s v="BR001"/>
    <s v="P005"/>
    <s v="C0133"/>
    <n v="3"/>
    <n v="0"/>
    <n v="95000"/>
    <x v="2"/>
    <n v="285000"/>
  </r>
  <r>
    <s v="T00923"/>
    <d v="2025-01-01T00:00:00"/>
    <s v="BR001"/>
    <s v="P013"/>
    <s v="C0051"/>
    <n v="1"/>
    <n v="10"/>
    <n v="22000"/>
    <x v="2"/>
    <n v="19800"/>
  </r>
  <r>
    <s v="T01374"/>
    <d v="2025-11-04T00:00:00"/>
    <s v="BR001"/>
    <s v="P003"/>
    <s v="C0138"/>
    <n v="2"/>
    <n v="0"/>
    <n v="45000"/>
    <x v="2"/>
    <n v="90000"/>
  </r>
  <r>
    <s v="T01029"/>
    <d v="2025-12-14T00:00:00"/>
    <s v="BR001"/>
    <s v="P002"/>
    <s v="C0031"/>
    <n v="1"/>
    <n v="0"/>
    <n v="320000"/>
    <x v="2"/>
    <n v="320000"/>
  </r>
  <r>
    <s v="T01088"/>
    <d v="2025-12-01T00:00:00"/>
    <s v="BR003"/>
    <s v="P012"/>
    <s v="C0120"/>
    <n v="2"/>
    <n v="30"/>
    <n v="28000"/>
    <x v="0"/>
    <n v="39200"/>
  </r>
  <r>
    <s v="T00254"/>
    <d v="2025-10-15T00:00:00"/>
    <s v="BR001"/>
    <s v="P012"/>
    <s v="C0193"/>
    <n v="1"/>
    <n v="0"/>
    <n v="28000"/>
    <x v="2"/>
    <n v="28000"/>
  </r>
  <r>
    <s v="T00867"/>
    <d v="2025-06-07T00:00:00"/>
    <s v="BR002"/>
    <s v="P015"/>
    <s v="C0197"/>
    <n v="5"/>
    <n v="5"/>
    <n v="15000"/>
    <x v="1"/>
    <n v="71250"/>
  </r>
  <r>
    <s v="T00171"/>
    <d v="2025-01-28T00:00:00"/>
    <s v="BR002"/>
    <s v="P011"/>
    <s v="C0192"/>
    <n v="3"/>
    <n v="0"/>
    <n v="74000"/>
    <x v="1"/>
    <n v="222000"/>
  </r>
  <r>
    <s v="T00061"/>
    <d v="2025-03-06T00:00:00"/>
    <s v="BR004"/>
    <s v="P013"/>
    <s v="C0213"/>
    <n v="1"/>
    <n v="5"/>
    <n v="22000"/>
    <x v="3"/>
    <n v="20900"/>
  </r>
  <r>
    <s v="T01034"/>
    <d v="2025-01-11T00:00:00"/>
    <s v="BR002"/>
    <s v="P009"/>
    <s v="C0023"/>
    <n v="1"/>
    <n v="15"/>
    <n v="265000"/>
    <x v="1"/>
    <n v="225250"/>
  </r>
  <r>
    <s v="T00706"/>
    <d v="2025-08-22T00:00:00"/>
    <s v="BR001"/>
    <s v="P008"/>
    <s v="C0136"/>
    <n v="3"/>
    <n v="20"/>
    <n v="410000"/>
    <x v="2"/>
    <n v="984000"/>
  </r>
  <r>
    <s v="T00846"/>
    <d v="2025-04-10T00:00:00"/>
    <s v="BR001"/>
    <s v="P009"/>
    <s v="C0032"/>
    <n v="1"/>
    <n v="0"/>
    <n v="265000"/>
    <x v="2"/>
    <n v="265000"/>
  </r>
  <r>
    <s v="T00413"/>
    <d v="2025-12-12T00:00:00"/>
    <s v="BR003"/>
    <s v="P005"/>
    <s v="C0053"/>
    <n v="1"/>
    <n v="0"/>
    <n v="95000"/>
    <x v="0"/>
    <n v="95000"/>
  </r>
  <r>
    <s v="T00190"/>
    <d v="2025-12-28T00:00:00"/>
    <s v="BR002"/>
    <s v="P022"/>
    <s v="C0011"/>
    <n v="2"/>
    <n v="15"/>
    <n v="5200"/>
    <x v="1"/>
    <n v="8840"/>
  </r>
  <r>
    <s v="T00408"/>
    <s v="28/12/2025"/>
    <s v="BR001"/>
    <s v="P006"/>
    <s v="C0178"/>
    <n v="1"/>
    <n v="5"/>
    <n v="78000"/>
    <x v="2"/>
    <n v="74100"/>
  </r>
  <r>
    <s v="T00415"/>
    <d v="2025-12-09T00:00:00"/>
    <s v="BR002"/>
    <s v="P018"/>
    <s v="C0147"/>
    <n v="1"/>
    <n v="10"/>
    <n v="18000"/>
    <x v="1"/>
    <n v="16200"/>
  </r>
  <r>
    <s v="T00250"/>
    <d v="2025-08-08T00:00:00"/>
    <s v="BR001"/>
    <s v="P014"/>
    <s v="C0166"/>
    <n v="1"/>
    <n v="0"/>
    <n v="285000"/>
    <x v="2"/>
    <n v="285000"/>
  </r>
  <r>
    <s v="T00485"/>
    <d v="2025-12-05T00:00:00"/>
    <s v="BR002"/>
    <s v="P005"/>
    <s v="C0038"/>
    <n v="1"/>
    <n v="10"/>
    <n v="95000"/>
    <x v="1"/>
    <n v="85500"/>
  </r>
  <r>
    <s v="T00368"/>
    <d v="2025-11-18T00:00:00"/>
    <s v="BR002"/>
    <s v="P019"/>
    <s v="C0083"/>
    <n v="1"/>
    <n v="10"/>
    <n v="21000"/>
    <x v="1"/>
    <n v="18900"/>
  </r>
  <r>
    <s v="T00331"/>
    <d v="2025-04-27T00:00:00"/>
    <s v="BR003"/>
    <s v="P008"/>
    <s v="C0192"/>
    <n v="2"/>
    <n v="0"/>
    <n v="410000"/>
    <x v="0"/>
    <n v="820000"/>
  </r>
  <r>
    <s v="T00390"/>
    <d v="2025-12-12T00:00:00"/>
    <s v="BR002"/>
    <s v="P011"/>
    <s v="C0199"/>
    <n v="1"/>
    <n v="10"/>
    <n v="74000"/>
    <x v="1"/>
    <n v="66600"/>
  </r>
  <r>
    <s v="T00618"/>
    <d v="2025-05-20T00:00:00"/>
    <s v="BR004"/>
    <s v="P010"/>
    <s v="C0167"/>
    <n v="2"/>
    <n v="0"/>
    <n v="62000"/>
    <x v="3"/>
    <n v="124000"/>
  </r>
  <r>
    <s v="T00263"/>
    <d v="2025-03-22T00:00:00"/>
    <s v="BR001"/>
    <s v="P001"/>
    <s v="C0034"/>
    <n v="2"/>
    <n v="0"/>
    <n v="185000"/>
    <x v="2"/>
    <n v="370000"/>
  </r>
  <r>
    <s v="T00378"/>
    <d v="2025-01-05T00:00:00"/>
    <s v="BR002"/>
    <s v="P008"/>
    <s v="C0106"/>
    <n v="1"/>
    <n v="0"/>
    <n v="410000"/>
    <x v="1"/>
    <n v="410000"/>
  </r>
  <r>
    <s v="T00958"/>
    <d v="2025-02-12T00:00:00"/>
    <s v="BR002"/>
    <s v="P003"/>
    <s v="C0081"/>
    <n v="1"/>
    <n v="15"/>
    <n v="45000"/>
    <x v="1"/>
    <n v="38250"/>
  </r>
  <r>
    <s v="T01363"/>
    <d v="2025-05-20T00:00:00"/>
    <s v="BR003"/>
    <s v="P025"/>
    <s v="C0055"/>
    <n v="1"/>
    <n v="15"/>
    <n v="175000"/>
    <x v="0"/>
    <n v="148750"/>
  </r>
  <r>
    <s v="T01318"/>
    <d v="2025-04-05T00:00:00"/>
    <s v="BR001"/>
    <s v="P022"/>
    <s v="C0092"/>
    <n v="1"/>
    <n v="20"/>
    <n v="5200"/>
    <x v="2"/>
    <n v="4160"/>
  </r>
  <r>
    <s v="T00733"/>
    <d v="2025-11-20T00:00:00"/>
    <s v="BR001"/>
    <s v="P007"/>
    <s v="C0016"/>
    <n v="2"/>
    <n v="10"/>
    <n v="145000"/>
    <x v="2"/>
    <n v="261000"/>
  </r>
  <r>
    <s v="T00028"/>
    <d v="2025-12-06T00:00:00"/>
    <s v="BR001"/>
    <s v="P008"/>
    <s v="C0095"/>
    <n v="1"/>
    <n v="5"/>
    <n v="410000"/>
    <x v="2"/>
    <n v="389500"/>
  </r>
  <r>
    <s v="T00619"/>
    <d v="2025-04-02T00:00:00"/>
    <s v="BR002"/>
    <s v="P008"/>
    <s v="C0208"/>
    <n v="1"/>
    <n v="25"/>
    <n v="410000"/>
    <x v="1"/>
    <n v="307500"/>
  </r>
  <r>
    <s v="T00651"/>
    <d v="2025-06-14T00:00:00"/>
    <s v="BR004"/>
    <s v="P014"/>
    <s v="C0019"/>
    <n v="2"/>
    <n v="5"/>
    <n v="285000"/>
    <x v="3"/>
    <n v="541500"/>
  </r>
  <r>
    <s v="T00763"/>
    <d v="2025-10-12T00:00:00"/>
    <s v="BR001"/>
    <s v="P008"/>
    <s v="C0106"/>
    <n v="1"/>
    <n v="0"/>
    <n v="410000"/>
    <x v="2"/>
    <n v="410000"/>
  </r>
  <r>
    <s v="T00409"/>
    <d v="2025-03-04T00:00:00"/>
    <s v="BR004"/>
    <s v="P008"/>
    <s v="C0196"/>
    <n v="3"/>
    <n v="0"/>
    <n v="410000"/>
    <x v="3"/>
    <n v="1230000"/>
  </r>
  <r>
    <s v="T00253"/>
    <d v="2025-05-08T00:00:00"/>
    <s v="BR001"/>
    <s v="P014"/>
    <s v="C0083"/>
    <n v="1"/>
    <n v="0"/>
    <n v="285000"/>
    <x v="2"/>
    <n v="285000"/>
  </r>
  <r>
    <s v="T00044"/>
    <d v="2025-08-20T00:00:00"/>
    <s v="BR003"/>
    <s v="P008"/>
    <s v="C0020"/>
    <n v="1"/>
    <n v="0"/>
    <n v="410000"/>
    <x v="0"/>
    <n v="410000"/>
  </r>
  <r>
    <s v="T00864"/>
    <d v="2025-08-14T00:00:00"/>
    <s v="BR003"/>
    <s v="P021"/>
    <s v="C0120"/>
    <n v="1"/>
    <n v="10"/>
    <n v="6500"/>
    <x v="0"/>
    <n v="5850"/>
  </r>
  <r>
    <s v="T01252"/>
    <d v="2025-11-20T00:00:00"/>
    <s v="BR002"/>
    <s v="P003"/>
    <s v="C0123"/>
    <n v="3"/>
    <n v="10"/>
    <n v="45000"/>
    <x v="1"/>
    <n v="121500"/>
  </r>
  <r>
    <s v="T00713"/>
    <d v="2025-01-11T00:00:00"/>
    <s v="BR004"/>
    <s v="P007"/>
    <s v="C0051"/>
    <n v="2"/>
    <n v="5"/>
    <n v="145000"/>
    <x v="3"/>
    <n v="275500"/>
  </r>
  <r>
    <s v="T01368"/>
    <d v="2025-10-27T00:00:00"/>
    <s v="BR002"/>
    <s v="P004"/>
    <s v="C0094"/>
    <n v="2"/>
    <n v="0"/>
    <n v="38000"/>
    <x v="1"/>
    <n v="76000"/>
  </r>
  <r>
    <s v="T00596"/>
    <d v="2025-02-02T00:00:00"/>
    <s v="BR004"/>
    <s v="P023"/>
    <s v="C0178"/>
    <n v="1"/>
    <n v="0"/>
    <n v="195000"/>
    <x v="3"/>
    <n v="195000"/>
  </r>
  <r>
    <s v="T00152"/>
    <d v="2025-12-26T00:00:00"/>
    <s v="BR001"/>
    <s v="P012"/>
    <s v="C0140"/>
    <n v="1"/>
    <n v="10"/>
    <n v="28000"/>
    <x v="2"/>
    <n v="25200"/>
  </r>
  <r>
    <s v="T01125"/>
    <d v="2025-04-12T00:00:00"/>
    <s v="BR002"/>
    <s v="P010"/>
    <s v="C0083"/>
    <n v="1"/>
    <n v="0"/>
    <n v="62000"/>
    <x v="1"/>
    <n v="62000"/>
  </r>
  <r>
    <s v="T00575"/>
    <d v="2025-01-19T00:00:00"/>
    <s v="BR003"/>
    <s v="P001"/>
    <s v="C0103"/>
    <n v="1"/>
    <n v="5"/>
    <n v="185000"/>
    <x v="0"/>
    <n v="175750"/>
  </r>
  <r>
    <s v="T00446"/>
    <d v="2025-09-22T00:00:00"/>
    <s v="BR001"/>
    <s v="P019"/>
    <s v="C0074"/>
    <n v="1"/>
    <n v="0"/>
    <n v="21000"/>
    <x v="2"/>
    <n v="21000"/>
  </r>
  <r>
    <s v="T00649"/>
    <d v="2025-08-11T00:00:00"/>
    <s v="BR003"/>
    <s v="P004"/>
    <s v="C0132"/>
    <n v="1"/>
    <n v="0"/>
    <n v="38000"/>
    <x v="0"/>
    <n v="38000"/>
  </r>
  <r>
    <s v="T01325"/>
    <d v="2025-10-11T00:00:00"/>
    <s v="BR003"/>
    <s v="P022"/>
    <s v="C0036"/>
    <n v="1"/>
    <n v="0"/>
    <n v="5200"/>
    <x v="0"/>
    <n v="5200"/>
  </r>
  <r>
    <s v="T00327"/>
    <d v="2025-03-12T00:00:00"/>
    <s v="BR001"/>
    <s v="P009"/>
    <s v="C0166"/>
    <n v="1"/>
    <n v="0"/>
    <n v="265000"/>
    <x v="2"/>
    <n v="265000"/>
  </r>
  <r>
    <s v="T00319"/>
    <d v="2025-08-11T00:00:00"/>
    <s v="BR001"/>
    <s v="P014"/>
    <s v="C0151"/>
    <n v="3"/>
    <n v="10"/>
    <n v="285000"/>
    <x v="2"/>
    <n v="769500"/>
  </r>
  <r>
    <s v="T00875"/>
    <d v="2025-02-04T00:00:00"/>
    <s v="BR001"/>
    <s v="P013"/>
    <s v="C0110"/>
    <n v="2"/>
    <n v="5"/>
    <n v="22000"/>
    <x v="2"/>
    <n v="41800"/>
  </r>
  <r>
    <s v="T01277"/>
    <d v="2025-06-27T00:00:00"/>
    <s v="BR002"/>
    <s v="P002"/>
    <s v="C0206"/>
    <n v="1"/>
    <n v="0"/>
    <n v="320000"/>
    <x v="1"/>
    <n v="320000"/>
  </r>
  <r>
    <s v="T00153"/>
    <d v="2025-01-09T00:00:00"/>
    <s v="BR001"/>
    <s v="P010"/>
    <s v="C0217"/>
    <n v="1"/>
    <n v="0"/>
    <n v="62000"/>
    <x v="2"/>
    <n v="62000"/>
  </r>
  <r>
    <s v="T00195"/>
    <d v="2025-12-24T00:00:00"/>
    <s v="BR002"/>
    <s v="P018"/>
    <s v="C0213"/>
    <n v="1"/>
    <n v="0"/>
    <n v="18000"/>
    <x v="1"/>
    <n v="18000"/>
  </r>
  <r>
    <s v="T00952"/>
    <d v="2025-11-20T00:00:00"/>
    <s v="BR002"/>
    <s v="P012"/>
    <s v="C0071"/>
    <n v="2"/>
    <n v="20"/>
    <n v="28000"/>
    <x v="1"/>
    <n v="44800"/>
  </r>
  <r>
    <s v="T00493"/>
    <d v="2025-03-10T00:00:00"/>
    <s v="BR001"/>
    <s v="P002"/>
    <s v="C0207"/>
    <n v="1"/>
    <n v="20"/>
    <n v="320000"/>
    <x v="2"/>
    <n v="256000"/>
  </r>
  <r>
    <s v="T00743"/>
    <d v="2025-08-11T00:00:00"/>
    <s v="BR003"/>
    <s v="P012"/>
    <s v="C0158"/>
    <n v="1"/>
    <n v="0"/>
    <n v="28000"/>
    <x v="0"/>
    <n v="28000"/>
  </r>
  <r>
    <s v="T01304"/>
    <d v="2025-01-22T00:00:00"/>
    <s v="BR002"/>
    <s v="P020"/>
    <s v="C0108"/>
    <n v="1"/>
    <n v="0"/>
    <n v="8500"/>
    <x v="1"/>
    <n v="8500"/>
  </r>
  <r>
    <s v="T00217"/>
    <d v="2025-10-02T00:00:00"/>
    <s v="BR001"/>
    <s v="P012"/>
    <s v="C0172"/>
    <n v="1"/>
    <n v="0"/>
    <n v="28000"/>
    <x v="2"/>
    <n v="28000"/>
  </r>
  <r>
    <s v="T01357"/>
    <d v="2025-07-02T00:00:00"/>
    <s v="BR001"/>
    <s v="P002"/>
    <s v="C0007"/>
    <n v="1"/>
    <n v="0"/>
    <n v="320000"/>
    <x v="2"/>
    <n v="320000"/>
  </r>
  <r>
    <s v="T00652"/>
    <d v="2025-10-19T00:00:00"/>
    <s v="BR004"/>
    <s v="P006"/>
    <s v="C0044"/>
    <n v="2"/>
    <n v="0"/>
    <n v="78000"/>
    <x v="3"/>
    <n v="156000"/>
  </r>
  <r>
    <s v="T00069"/>
    <d v="2025-08-03T00:00:00"/>
    <s v="BR003"/>
    <s v="P008"/>
    <s v="C0193"/>
    <n v="1"/>
    <n v="5"/>
    <n v="410000"/>
    <x v="0"/>
    <n v="389500"/>
  </r>
  <r>
    <s v="T00364"/>
    <d v="2025-12-04T00:00:00"/>
    <s v="BR001"/>
    <s v="P017"/>
    <s v="C0011"/>
    <n v="1"/>
    <n v="10"/>
    <n v="24000"/>
    <x v="2"/>
    <n v="21600"/>
  </r>
  <r>
    <s v="T00737"/>
    <d v="2025-09-26T00:00:00"/>
    <s v="BR001"/>
    <s v="P019"/>
    <s v="C0179"/>
    <n v="2"/>
    <n v="20"/>
    <n v="21000"/>
    <x v="2"/>
    <n v="33600"/>
  </r>
  <r>
    <s v="T00638"/>
    <d v="2025-09-27T00:00:00"/>
    <s v="BR003"/>
    <s v="P003"/>
    <s v="C0111"/>
    <n v="1"/>
    <n v="0"/>
    <n v="45000"/>
    <x v="0"/>
    <n v="45000"/>
  </r>
  <r>
    <s v="T01197"/>
    <d v="2025-01-19T00:00:00"/>
    <s v="BR002"/>
    <s v="P024"/>
    <s v="C0045"/>
    <n v="5"/>
    <n v="10"/>
    <n v="245000"/>
    <x v="1"/>
    <n v="1102500"/>
  </r>
  <r>
    <s v="T01262"/>
    <d v="2025-05-15T00:00:00"/>
    <s v="BR004"/>
    <s v="P005"/>
    <s v="C0141"/>
    <n v="2"/>
    <n v="0"/>
    <n v="95000"/>
    <x v="3"/>
    <n v="190000"/>
  </r>
  <r>
    <s v="T00010"/>
    <d v="2025-10-03T00:00:00"/>
    <s v="BR002"/>
    <s v="P001"/>
    <s v="C0057"/>
    <n v="2"/>
    <n v="10"/>
    <n v="185000"/>
    <x v="1"/>
    <n v="333000"/>
  </r>
  <r>
    <s v="T01170"/>
    <d v="2025-12-05T00:00:00"/>
    <s v="BR001"/>
    <s v="P008"/>
    <s v="C0105"/>
    <n v="1"/>
    <n v="5"/>
    <n v="410000"/>
    <x v="2"/>
    <n v="389500"/>
  </r>
  <r>
    <s v="T00531"/>
    <d v="2025-11-02T00:00:00"/>
    <s v="BR003"/>
    <s v="P013"/>
    <s v="C0183"/>
    <n v="1"/>
    <n v="15"/>
    <n v="22000"/>
    <x v="0"/>
    <n v="18700"/>
  </r>
  <r>
    <s v="T00371"/>
    <d v="2025-03-21T00:00:00"/>
    <s v="BR002"/>
    <s v="P003"/>
    <s v="C0035"/>
    <n v="2"/>
    <n v="0"/>
    <n v="45000"/>
    <x v="1"/>
    <n v="90000"/>
  </r>
  <r>
    <s v="T01168"/>
    <d v="2025-12-02T00:00:00"/>
    <s v="BR001"/>
    <s v="P005"/>
    <s v="C0169"/>
    <n v="1"/>
    <n v="0"/>
    <n v="95000"/>
    <x v="2"/>
    <n v="95000"/>
  </r>
  <r>
    <s v="T01075"/>
    <d v="2025-03-12T00:00:00"/>
    <s v="BR001"/>
    <s v="P019"/>
    <s v="C0146"/>
    <n v="5"/>
    <n v="0"/>
    <n v="21000"/>
    <x v="2"/>
    <n v="105000"/>
  </r>
  <r>
    <s v="T00749"/>
    <d v="2025-12-26T00:00:00"/>
    <s v="BR003"/>
    <s v="P004"/>
    <s v="C0156"/>
    <n v="1"/>
    <n v="10"/>
    <n v="38000"/>
    <x v="0"/>
    <n v="34200"/>
  </r>
  <r>
    <s v="T00286"/>
    <d v="2025-12-27T00:00:00"/>
    <s v="BR001"/>
    <s v="P020"/>
    <s v="C0153"/>
    <n v="3"/>
    <n v="15"/>
    <n v="8500"/>
    <x v="2"/>
    <n v="21675"/>
  </r>
  <r>
    <s v="T00241"/>
    <d v="2025-12-14T00:00:00"/>
    <s v="BR002"/>
    <s v="P010"/>
    <s v="C0103"/>
    <n v="1"/>
    <n v="10"/>
    <n v="62000"/>
    <x v="1"/>
    <n v="55800"/>
  </r>
  <r>
    <s v="T00200"/>
    <d v="2025-02-11T00:00:00"/>
    <s v="BR004"/>
    <s v="P004"/>
    <s v="C0045"/>
    <n v="1"/>
    <n v="0"/>
    <n v="38000"/>
    <x v="3"/>
    <n v="38000"/>
  </r>
  <r>
    <s v="T00684"/>
    <d v="2025-04-27T00:00:00"/>
    <s v="BR001"/>
    <s v="P001"/>
    <s v="C0127"/>
    <n v="3"/>
    <n v="0"/>
    <n v="185000"/>
    <x v="2"/>
    <n v="555000"/>
  </r>
  <r>
    <s v="T00591"/>
    <d v="2025-07-25T00:00:00"/>
    <s v="BR003"/>
    <s v="P004"/>
    <s v="C0079"/>
    <n v="1"/>
    <n v="0"/>
    <n v="38000"/>
    <x v="0"/>
    <n v="38000"/>
  </r>
  <r>
    <s v="T00205"/>
    <d v="2025-01-03T00:00:00"/>
    <s v="BR002"/>
    <s v="P001"/>
    <s v="C0025"/>
    <n v="3"/>
    <n v="0"/>
    <n v="185000"/>
    <x v="1"/>
    <n v="555000"/>
  </r>
  <r>
    <s v="T01152"/>
    <d v="2025-01-21T00:00:00"/>
    <s v="BR004"/>
    <s v="P019"/>
    <s v="C0123"/>
    <n v="2"/>
    <n v="10"/>
    <n v="21000"/>
    <x v="3"/>
    <n v="37800"/>
  </r>
  <r>
    <s v="T00188"/>
    <d v="2025-02-11T00:00:00"/>
    <s v="BR001"/>
    <s v="P016"/>
    <s v="C0071"/>
    <n v="1"/>
    <n v="0"/>
    <n v="19500"/>
    <x v="2"/>
    <n v="19500"/>
  </r>
  <r>
    <s v="T00886"/>
    <d v="2025-12-17T00:00:00"/>
    <s v="BR001"/>
    <s v="P006"/>
    <s v="C0051"/>
    <n v="2"/>
    <n v="0"/>
    <n v="78000"/>
    <x v="2"/>
    <n v="156000"/>
  </r>
  <r>
    <s v="T00397"/>
    <d v="2025-11-21T00:00:00"/>
    <s v="BR004"/>
    <s v="P005"/>
    <s v="C0119"/>
    <n v="1"/>
    <n v="0"/>
    <n v="95000"/>
    <x v="3"/>
    <n v="95000"/>
  </r>
  <r>
    <s v="T00927"/>
    <d v="2025-06-18T00:00:00"/>
    <s v="BR002"/>
    <s v="P017"/>
    <s v="C0112"/>
    <n v="2"/>
    <n v="5"/>
    <n v="24000"/>
    <x v="1"/>
    <n v="45600"/>
  </r>
  <r>
    <s v="T00526"/>
    <d v="2025-09-04T00:00:00"/>
    <s v="BR003"/>
    <s v="P004"/>
    <s v="C0052"/>
    <n v="1"/>
    <n v="15"/>
    <n v="38000"/>
    <x v="0"/>
    <n v="32300"/>
  </r>
  <r>
    <s v="T01330"/>
    <d v="2025-09-20T00:00:00"/>
    <s v="BR001"/>
    <s v="P014"/>
    <s v="C0200"/>
    <n v="1"/>
    <n v="0"/>
    <n v="285000"/>
    <x v="2"/>
    <n v="285000"/>
  </r>
  <r>
    <s v="T01124"/>
    <d v="2025-03-26T00:00:00"/>
    <s v="BR001"/>
    <s v="P008"/>
    <s v="C0079"/>
    <n v="1"/>
    <n v="0"/>
    <n v="410000"/>
    <x v="2"/>
    <n v="410000"/>
  </r>
  <r>
    <s v="T01295"/>
    <d v="2025-09-10T00:00:00"/>
    <s v="BR001"/>
    <s v="P007"/>
    <s v="C0035"/>
    <n v="1"/>
    <n v="20"/>
    <n v="145000"/>
    <x v="2"/>
    <n v="116000"/>
  </r>
  <r>
    <s v="T01365"/>
    <d v="2025-06-27T00:00:00"/>
    <s v="BR003"/>
    <s v="P024"/>
    <s v="C0086"/>
    <n v="1"/>
    <n v="5"/>
    <n v="245000"/>
    <x v="0"/>
    <n v="232750"/>
  </r>
  <r>
    <s v="T00351"/>
    <d v="2025-08-26T00:00:00"/>
    <s v="BR002"/>
    <s v="P012"/>
    <s v="C0021"/>
    <n v="1"/>
    <n v="20"/>
    <n v="28000"/>
    <x v="1"/>
    <n v="22400"/>
  </r>
  <r>
    <s v="T00110"/>
    <d v="2025-12-15T00:00:00"/>
    <s v="BR003"/>
    <s v="P024"/>
    <s v="C0112"/>
    <n v="1"/>
    <n v="15"/>
    <n v="245000"/>
    <x v="0"/>
    <n v="208250"/>
  </r>
  <r>
    <s v="T01222"/>
    <d v="2025-05-06T00:00:00"/>
    <s v="BR002"/>
    <s v="P008"/>
    <s v="C0173"/>
    <n v="1"/>
    <n v="0"/>
    <n v="410000"/>
    <x v="1"/>
    <n v="410000"/>
  </r>
  <r>
    <s v="T00123"/>
    <d v="2025-09-15T00:00:00"/>
    <s v="BR002"/>
    <s v="P013"/>
    <s v="C0089"/>
    <n v="1"/>
    <n v="0"/>
    <n v="22000"/>
    <x v="1"/>
    <n v="22000"/>
  </r>
  <r>
    <s v="T00694"/>
    <d v="2025-08-25T00:00:00"/>
    <s v="BR002"/>
    <s v="P008"/>
    <s v="C0158"/>
    <n v="1"/>
    <n v="0"/>
    <n v="410000"/>
    <x v="1"/>
    <n v="410000"/>
  </r>
  <r>
    <s v="T00582"/>
    <d v="2025-12-24T00:00:00"/>
    <s v="BR003"/>
    <s v="P018"/>
    <s v="C0184"/>
    <n v="1"/>
    <n v="20"/>
    <n v="18000"/>
    <x v="0"/>
    <n v="14400"/>
  </r>
  <r>
    <s v="T00384"/>
    <d v="2025-10-04T00:00:00"/>
    <s v="BR001"/>
    <s v="P019"/>
    <s v="C0051"/>
    <n v="2"/>
    <n v="5"/>
    <n v="21000"/>
    <x v="2"/>
    <n v="39900"/>
  </r>
  <r>
    <s v="T00821"/>
    <d v="2025-03-17T00:00:00"/>
    <s v="BR001"/>
    <s v="P012"/>
    <s v="C0106"/>
    <n v="1"/>
    <n v="0"/>
    <n v="28000"/>
    <x v="2"/>
    <n v="28000"/>
  </r>
  <r>
    <s v="T01286"/>
    <d v="2025-02-12T00:00:00"/>
    <s v="BR003"/>
    <s v="P008"/>
    <s v="C0099"/>
    <n v="1"/>
    <n v="0"/>
    <n v="410000"/>
    <x v="0"/>
    <n v="410000"/>
  </r>
  <r>
    <s v="T00519"/>
    <d v="2025-09-12T00:00:00"/>
    <s v="BR001"/>
    <s v="P019"/>
    <s v="C0114"/>
    <n v="2"/>
    <n v="10"/>
    <n v="21000"/>
    <x v="2"/>
    <n v="37800"/>
  </r>
  <r>
    <s v="T01011"/>
    <d v="2025-12-28T00:00:00"/>
    <s v="BR004"/>
    <s v="P009"/>
    <s v="C0097"/>
    <n v="1"/>
    <n v="0"/>
    <n v="265000"/>
    <x v="3"/>
    <n v="265000"/>
  </r>
  <r>
    <s v="T00565"/>
    <d v="2025-11-01T00:00:00"/>
    <s v="BR003"/>
    <s v="P017"/>
    <s v="C0174"/>
    <n v="2"/>
    <n v="20"/>
    <n v="24000"/>
    <x v="0"/>
    <n v="38400"/>
  </r>
  <r>
    <s v="T01289"/>
    <d v="2025-05-02T00:00:00"/>
    <s v="BR001"/>
    <s v="P013"/>
    <s v="C0151"/>
    <n v="1"/>
    <n v="0"/>
    <n v="22000"/>
    <x v="2"/>
    <n v="22000"/>
  </r>
  <r>
    <s v="T01194"/>
    <d v="2025-03-20T00:00:00"/>
    <s v="BR003"/>
    <s v="P007"/>
    <s v="C0156"/>
    <n v="2"/>
    <n v="0"/>
    <n v="145000"/>
    <x v="0"/>
    <n v="290000"/>
  </r>
  <r>
    <s v="T00068"/>
    <d v="2025-11-27T00:00:00"/>
    <s v="BR001"/>
    <s v="P010"/>
    <s v="C0219"/>
    <n v="1"/>
    <n v="5"/>
    <n v="62000"/>
    <x v="2"/>
    <n v="58900"/>
  </r>
  <r>
    <s v="T00699"/>
    <d v="2025-12-21T00:00:00"/>
    <s v="BR003"/>
    <s v="P021"/>
    <s v="C0031"/>
    <n v="1"/>
    <n v="5"/>
    <n v="6500"/>
    <x v="0"/>
    <n v="6175"/>
  </r>
  <r>
    <s v="T00352"/>
    <d v="2025-08-13T00:00:00"/>
    <s v="BR001"/>
    <s v="P022"/>
    <s v="C0066"/>
    <n v="2"/>
    <n v="5"/>
    <n v="5200"/>
    <x v="2"/>
    <n v="9880"/>
  </r>
  <r>
    <s v="T00705"/>
    <d v="2025-07-15T00:00:00"/>
    <s v="BR001"/>
    <s v="P003"/>
    <s v="C0203"/>
    <n v="1"/>
    <n v="5"/>
    <n v="45000"/>
    <x v="2"/>
    <n v="42750"/>
  </r>
  <r>
    <s v="T00782"/>
    <d v="2025-11-05T00:00:00"/>
    <s v="BR002"/>
    <s v="P024"/>
    <s v="C0197"/>
    <n v="1"/>
    <n v="5"/>
    <n v="245000"/>
    <x v="1"/>
    <n v="232750"/>
  </r>
  <r>
    <s v="T00599"/>
    <d v="2025-11-09T00:00:00"/>
    <s v="BR002"/>
    <s v="P006"/>
    <s v="C0195"/>
    <n v="3"/>
    <n v="5"/>
    <n v="78000"/>
    <x v="1"/>
    <n v="222300"/>
  </r>
  <r>
    <s v="T01218"/>
    <d v="2025-11-26T00:00:00"/>
    <s v="BR002"/>
    <s v="P022"/>
    <s v="C0063"/>
    <n v="1"/>
    <n v="10"/>
    <n v="5200"/>
    <x v="1"/>
    <n v="4680"/>
  </r>
  <r>
    <s v="T00922"/>
    <d v="2025-07-03T00:00:00"/>
    <s v="BR001"/>
    <s v="P015"/>
    <s v="C0163"/>
    <n v="1"/>
    <n v="0"/>
    <n v="15000"/>
    <x v="2"/>
    <n v="15000"/>
  </r>
  <r>
    <s v="T01136"/>
    <d v="2025-01-15T00:00:00"/>
    <s v="BR001"/>
    <s v="P005"/>
    <s v="C0027"/>
    <n v="1"/>
    <n v="15"/>
    <n v="95000"/>
    <x v="2"/>
    <n v="80750"/>
  </r>
  <r>
    <s v="T01273"/>
    <d v="2025-07-02T00:00:00"/>
    <s v="BR002"/>
    <s v="P009"/>
    <s v="C0169"/>
    <n v="1"/>
    <n v="0"/>
    <n v="265000"/>
    <x v="1"/>
    <n v="265000"/>
  </r>
  <r>
    <s v="T00612"/>
    <d v="2025-07-22T00:00:00"/>
    <s v="BR003"/>
    <s v="P023"/>
    <s v="C0115"/>
    <n v="2"/>
    <n v="0"/>
    <n v="195000"/>
    <x v="0"/>
    <n v="390000"/>
  </r>
  <r>
    <s v="T00347"/>
    <d v="2025-10-28T00:00:00"/>
    <s v="BR003"/>
    <s v="P024"/>
    <s v="C0207"/>
    <n v="1"/>
    <n v="10"/>
    <n v="245000"/>
    <x v="0"/>
    <n v="220500"/>
  </r>
  <r>
    <s v="T00756"/>
    <d v="2025-01-23T00:00:00"/>
    <s v="BR002"/>
    <s v="P019"/>
    <s v="C0035"/>
    <n v="2"/>
    <n v="0"/>
    <n v="21000"/>
    <x v="1"/>
    <n v="42000"/>
  </r>
  <r>
    <s v="T00697"/>
    <d v="2025-10-06T00:00:00"/>
    <s v="BR001"/>
    <s v="P012"/>
    <s v="C0015"/>
    <n v="5"/>
    <n v="15"/>
    <n v="28000"/>
    <x v="2"/>
    <n v="119000"/>
  </r>
  <r>
    <s v="T01203"/>
    <d v="2025-09-25T00:00:00"/>
    <s v="BR002"/>
    <s v="P022"/>
    <s v="C0140"/>
    <n v="2"/>
    <n v="0"/>
    <n v="5200"/>
    <x v="1"/>
    <n v="10400"/>
  </r>
  <r>
    <s v="T01114"/>
    <d v="2025-07-28T00:00:00"/>
    <s v="BR003"/>
    <s v="P022"/>
    <s v="C0117"/>
    <n v="1"/>
    <n v="0"/>
    <n v="5200"/>
    <x v="0"/>
    <n v="5200"/>
  </r>
  <r>
    <s v="T00126"/>
    <d v="2025-09-27T00:00:00"/>
    <s v="BR003"/>
    <s v="P011"/>
    <s v="C0114"/>
    <n v="1"/>
    <n v="5"/>
    <n v="74000"/>
    <x v="0"/>
    <n v="70300"/>
  </r>
  <r>
    <s v="T00840"/>
    <d v="2025-08-12T00:00:00"/>
    <s v="BR001"/>
    <s v="P011"/>
    <s v="C0079"/>
    <n v="1"/>
    <n v="0"/>
    <n v="74000"/>
    <x v="2"/>
    <n v="74000"/>
  </r>
  <r>
    <s v="T00636"/>
    <d v="2025-11-08T00:00:00"/>
    <s v="BR003"/>
    <s v="P009"/>
    <s v="C0052"/>
    <n v="2"/>
    <n v="15"/>
    <n v="265000"/>
    <x v="0"/>
    <n v="450500"/>
  </r>
  <r>
    <s v="T00716"/>
    <d v="2025-01-03T00:00:00"/>
    <s v="BR003"/>
    <s v="P010"/>
    <s v="C0054"/>
    <n v="1"/>
    <n v="20"/>
    <n v="62000"/>
    <x v="0"/>
    <n v="49600"/>
  </r>
  <r>
    <s v="T01211"/>
    <d v="2025-04-21T00:00:00"/>
    <s v="BR001"/>
    <s v="P002"/>
    <s v="C0018"/>
    <n v="1"/>
    <n v="10"/>
    <n v="320000"/>
    <x v="2"/>
    <n v="288000"/>
  </r>
  <r>
    <s v="T00290"/>
    <d v="2025-06-28T00:00:00"/>
    <s v="BR001"/>
    <s v="P022"/>
    <s v="C0154"/>
    <n v="1"/>
    <n v="0"/>
    <n v="5200"/>
    <x v="2"/>
    <n v="5200"/>
  </r>
  <r>
    <s v="T00963"/>
    <d v="2025-02-01T00:00:00"/>
    <s v="BR001"/>
    <s v="P021"/>
    <s v="C0111"/>
    <n v="1"/>
    <n v="0"/>
    <n v="6500"/>
    <x v="2"/>
    <n v="6500"/>
  </r>
  <r>
    <s v="T00745"/>
    <d v="2025-01-17T00:00:00"/>
    <s v="BR001"/>
    <s v="P008"/>
    <s v="C0165"/>
    <n v="1"/>
    <n v="5"/>
    <n v="410000"/>
    <x v="2"/>
    <n v="389500"/>
  </r>
  <r>
    <s v="T00736"/>
    <d v="2025-11-19T00:00:00"/>
    <s v="BR001"/>
    <s v="P005"/>
    <s v="C0095"/>
    <n v="1"/>
    <n v="0"/>
    <n v="95000"/>
    <x v="2"/>
    <n v="95000"/>
  </r>
  <r>
    <s v="T00054"/>
    <d v="2025-03-01T00:00:00"/>
    <s v="BR001"/>
    <s v="P024"/>
    <s v="C0196"/>
    <n v="1"/>
    <n v="10"/>
    <n v="245000"/>
    <x v="2"/>
    <n v="220500"/>
  </r>
  <r>
    <s v="T00936"/>
    <d v="2025-06-08T00:00:00"/>
    <s v="BR003"/>
    <s v="P024"/>
    <s v="C0001"/>
    <n v="1"/>
    <n v="10"/>
    <n v="245000"/>
    <x v="0"/>
    <n v="220500"/>
  </r>
  <r>
    <s v="T00703"/>
    <d v="2025-04-25T00:00:00"/>
    <s v="BR003"/>
    <s v="P005"/>
    <s v="C0160"/>
    <n v="2"/>
    <n v="0"/>
    <n v="95000"/>
    <x v="0"/>
    <n v="190000"/>
  </r>
  <r>
    <s v="T00041"/>
    <d v="2025-03-16T00:00:00"/>
    <s v="BR003"/>
    <s v="P021"/>
    <s v="C0067"/>
    <n v="2"/>
    <n v="5"/>
    <n v="6500"/>
    <x v="0"/>
    <n v="12350"/>
  </r>
  <r>
    <s v="T00620"/>
    <d v="2025-06-01T00:00:00"/>
    <s v="BR002"/>
    <s v="P009"/>
    <s v="C0175"/>
    <n v="1"/>
    <n v="15"/>
    <n v="265000"/>
    <x v="1"/>
    <n v="225250"/>
  </r>
  <r>
    <s v="T00913"/>
    <d v="2025-02-16T00:00:00"/>
    <s v="BR001"/>
    <s v="P020"/>
    <s v="C0122"/>
    <n v="5"/>
    <n v="0"/>
    <n v="8500"/>
    <x v="2"/>
    <n v="42500"/>
  </r>
  <r>
    <s v="T00475"/>
    <d v="2025-12-28T00:00:00"/>
    <s v="BR002"/>
    <s v="P020"/>
    <s v="C0150"/>
    <n v="1"/>
    <n v="15"/>
    <n v="8500"/>
    <x v="1"/>
    <n v="7225"/>
  </r>
  <r>
    <s v="T01196"/>
    <d v="2025-06-27T00:00:00"/>
    <s v="BR003"/>
    <s v="P019"/>
    <s v="C0063"/>
    <n v="2"/>
    <n v="10"/>
    <n v="21000"/>
    <x v="0"/>
    <n v="37800"/>
  </r>
  <r>
    <s v="T00084"/>
    <d v="2025-11-27T00:00:00"/>
    <s v="BR002"/>
    <s v="P007"/>
    <s v="C0183"/>
    <n v="1"/>
    <n v="15"/>
    <n v="145000"/>
    <x v="1"/>
    <n v="123250"/>
  </r>
  <r>
    <s v="T00116"/>
    <d v="2025-04-06T00:00:00"/>
    <s v="BR002"/>
    <s v="P001"/>
    <s v="C0171"/>
    <n v="1"/>
    <n v="0"/>
    <n v="185000"/>
    <x v="1"/>
    <n v="185000"/>
  </r>
  <r>
    <s v="T01086"/>
    <d v="2025-05-08T00:00:00"/>
    <s v="BR001"/>
    <s v="P003"/>
    <s v="C0163"/>
    <n v="1"/>
    <n v="0"/>
    <n v="45000"/>
    <x v="2"/>
    <n v="45000"/>
  </r>
  <r>
    <s v="T00329"/>
    <d v="2025-03-17T00:00:00"/>
    <s v="BR002"/>
    <s v="P015"/>
    <s v="C0183"/>
    <n v="1"/>
    <n v="0"/>
    <n v="15000"/>
    <x v="1"/>
    <n v="15000"/>
  </r>
  <r>
    <s v="T00678"/>
    <d v="2025-11-21T00:00:00"/>
    <s v="BR002"/>
    <s v="P017"/>
    <s v="C0117"/>
    <n v="1"/>
    <n v="10"/>
    <n v="24000"/>
    <x v="1"/>
    <n v="21600"/>
  </r>
  <r>
    <s v="T00588"/>
    <d v="2025-05-12T00:00:00"/>
    <s v="BR001"/>
    <s v="P014"/>
    <s v="C0006"/>
    <n v="2"/>
    <n v="0"/>
    <n v="285000"/>
    <x v="2"/>
    <n v="570000"/>
  </r>
  <r>
    <s v="T00547"/>
    <d v="2025-09-17T00:00:00"/>
    <s v="BR004"/>
    <s v="P022"/>
    <s v="C0073"/>
    <n v="2"/>
    <n v="0"/>
    <n v="5200"/>
    <x v="3"/>
    <n v="10400"/>
  </r>
  <r>
    <s v="T01173"/>
    <d v="2025-07-08T00:00:00"/>
    <s v="BR002"/>
    <s v="P003"/>
    <s v="C0054"/>
    <n v="1"/>
    <n v="10"/>
    <n v="45000"/>
    <x v="1"/>
    <n v="40500"/>
  </r>
  <r>
    <s v="T00504"/>
    <d v="2025-04-18T00:00:00"/>
    <s v="BR003"/>
    <s v="P004"/>
    <s v="C0104"/>
    <n v="1"/>
    <n v="0"/>
    <n v="38000"/>
    <x v="0"/>
    <n v="38000"/>
  </r>
  <r>
    <s v="T01296"/>
    <d v="2025-09-03T00:00:00"/>
    <s v="BR001"/>
    <s v="P023"/>
    <s v="C0148"/>
    <n v="1"/>
    <n v="0"/>
    <n v="195000"/>
    <x v="2"/>
    <n v="195000"/>
  </r>
  <r>
    <s v="T01151"/>
    <d v="2025-12-05T00:00:00"/>
    <s v="BR001"/>
    <s v="P002"/>
    <s v="C0022"/>
    <n v="2"/>
    <n v="15"/>
    <n v="320000"/>
    <x v="2"/>
    <n v="544000"/>
  </r>
  <r>
    <s v="T00097"/>
    <d v="2025-11-14T00:00:00"/>
    <s v="BR002"/>
    <s v="P008"/>
    <s v="C0058"/>
    <n v="1"/>
    <n v="0"/>
    <n v="410000"/>
    <x v="1"/>
    <n v="410000"/>
  </r>
  <r>
    <s v="T00410"/>
    <d v="2025-09-22T00:00:00"/>
    <s v="BR001"/>
    <s v="P021"/>
    <s v="C0201"/>
    <n v="1"/>
    <n v="0"/>
    <n v="6500"/>
    <x v="2"/>
    <n v="6500"/>
  </r>
  <r>
    <s v="T01282"/>
    <d v="2025-09-01T00:00:00"/>
    <s v="BR003"/>
    <s v="P017"/>
    <s v="C0142"/>
    <n v="1"/>
    <n v="10"/>
    <n v="24000"/>
    <x v="0"/>
    <n v="21600"/>
  </r>
  <r>
    <s v="T01385"/>
    <d v="2025-12-16T00:00:00"/>
    <s v="BR003"/>
    <s v="P009"/>
    <s v="C0090"/>
    <n v="1"/>
    <n v="15"/>
    <n v="265000"/>
    <x v="0"/>
    <n v="225250"/>
  </r>
  <r>
    <s v="T00049"/>
    <d v="2025-04-09T00:00:00"/>
    <s v="BR001"/>
    <s v="P025"/>
    <s v="C0126"/>
    <n v="1"/>
    <n v="20"/>
    <n v="175000"/>
    <x v="2"/>
    <n v="140000"/>
  </r>
  <r>
    <s v="T00682"/>
    <d v="2025-11-12T00:00:00"/>
    <s v="BR001"/>
    <s v="P006"/>
    <s v="C0154"/>
    <n v="1"/>
    <n v="5"/>
    <n v="78000"/>
    <x v="2"/>
    <n v="74100"/>
  </r>
  <r>
    <s v="T01049"/>
    <d v="2025-08-09T00:00:00"/>
    <s v="BR001"/>
    <s v="P012"/>
    <s v="C0040"/>
    <n v="1"/>
    <n v="10"/>
    <n v="28000"/>
    <x v="2"/>
    <n v="25200"/>
  </r>
  <r>
    <s v="T00154"/>
    <s v="27/11/2025"/>
    <s v="BR004"/>
    <s v="P009"/>
    <s v="C0120"/>
    <n v="1"/>
    <n v="0"/>
    <n v="265000"/>
    <x v="3"/>
    <n v="265000"/>
  </r>
  <r>
    <s v="T00238"/>
    <d v="2025-02-14T00:00:00"/>
    <s v="BR001"/>
    <s v="P001"/>
    <s v="C0071"/>
    <n v="1"/>
    <n v="0"/>
    <n v="185000"/>
    <x v="2"/>
    <n v="185000"/>
  </r>
  <r>
    <s v="T00055"/>
    <d v="2025-04-25T00:00:00"/>
    <s v="BR004"/>
    <s v="P004"/>
    <s v="C0160"/>
    <n v="1"/>
    <n v="0"/>
    <n v="38000"/>
    <x v="3"/>
    <n v="38000"/>
  </r>
  <r>
    <s v="T00124"/>
    <d v="2025-09-04T00:00:00"/>
    <s v="BR001"/>
    <s v="P024"/>
    <s v="C0098"/>
    <n v="1"/>
    <n v="0"/>
    <n v="245000"/>
    <x v="2"/>
    <n v="245000"/>
  </r>
  <r>
    <s v="T00135"/>
    <d v="2025-03-15T00:00:00"/>
    <s v="BR004"/>
    <s v="P002"/>
    <s v="C0094"/>
    <n v="2"/>
    <n v="0"/>
    <n v="320000"/>
    <x v="3"/>
    <n v="640000"/>
  </r>
  <r>
    <s v="T00269"/>
    <d v="2025-03-10T00:00:00"/>
    <s v="BR001"/>
    <s v="P010"/>
    <s v="C0045"/>
    <n v="2"/>
    <n v="10"/>
    <n v="62000"/>
    <x v="2"/>
    <n v="111600"/>
  </r>
  <r>
    <s v="T00098"/>
    <d v="2025-06-07T00:00:00"/>
    <s v="BR002"/>
    <s v="P008"/>
    <s v="C0025"/>
    <n v="1"/>
    <n v="0"/>
    <n v="410000"/>
    <x v="1"/>
    <n v="410000"/>
  </r>
  <r>
    <s v="T00221"/>
    <d v="2025-12-10T00:00:00"/>
    <s v="BR004"/>
    <s v="P021"/>
    <s v="C0151"/>
    <n v="2"/>
    <n v="5"/>
    <n v="6500"/>
    <x v="3"/>
    <n v="12350"/>
  </r>
  <r>
    <s v="T00042"/>
    <d v="2025-02-15T00:00:00"/>
    <s v="BR001"/>
    <s v="P007"/>
    <s v="C0006"/>
    <n v="1"/>
    <n v="0"/>
    <n v="145000"/>
    <x v="2"/>
    <n v="145000"/>
  </r>
  <r>
    <s v="T00881"/>
    <d v="2025-02-10T00:00:00"/>
    <s v="BR001"/>
    <s v="P012"/>
    <s v="C0183"/>
    <n v="1"/>
    <n v="0"/>
    <n v="28000"/>
    <x v="2"/>
    <n v="28000"/>
  </r>
  <r>
    <s v="T00417"/>
    <d v="2025-12-03T00:00:00"/>
    <s v="BR001"/>
    <s v="P013"/>
    <s v="C0099"/>
    <n v="1"/>
    <n v="10"/>
    <n v="22000"/>
    <x v="2"/>
    <n v="19800"/>
  </r>
  <r>
    <s v="T00759"/>
    <d v="2025-09-17T00:00:00"/>
    <s v="BR001"/>
    <s v="P025"/>
    <s v="C0063"/>
    <n v="1"/>
    <n v="0"/>
    <n v="175000"/>
    <x v="2"/>
    <n v="175000"/>
  </r>
  <r>
    <s v="T01257"/>
    <d v="2025-03-24T00:00:00"/>
    <s v="BR001"/>
    <s v="P001"/>
    <s v="C0137"/>
    <n v="2"/>
    <n v="5"/>
    <n v="185000"/>
    <x v="2"/>
    <n v="351500"/>
  </r>
  <r>
    <s v="T00829"/>
    <d v="2025-05-05T00:00:00"/>
    <s v="BR001"/>
    <s v="P005"/>
    <s v="C0004"/>
    <n v="1"/>
    <n v="20"/>
    <n v="95000"/>
    <x v="2"/>
    <n v="76000"/>
  </r>
  <r>
    <s v="T00534"/>
    <d v="2025-10-11T00:00:00"/>
    <s v="BR002"/>
    <s v="P022"/>
    <s v="C0140"/>
    <n v="1"/>
    <n v="15"/>
    <n v="5200"/>
    <x v="1"/>
    <n v="4420"/>
  </r>
  <r>
    <s v="T00013"/>
    <d v="2025-03-26T00:00:00"/>
    <s v="BR001"/>
    <s v="P018"/>
    <s v="C0180"/>
    <n v="1"/>
    <n v="20"/>
    <n v="18000"/>
    <x v="2"/>
    <n v="14400"/>
  </r>
  <r>
    <s v="T00643"/>
    <d v="2025-12-28T00:00:00"/>
    <s v="BR001"/>
    <s v="P007"/>
    <s v="C0009"/>
    <n v="1"/>
    <n v="10"/>
    <n v="145000"/>
    <x v="2"/>
    <n v="130500"/>
  </r>
  <r>
    <s v="T00499"/>
    <d v="2025-04-04T00:00:00"/>
    <s v="BR002"/>
    <s v="P007"/>
    <s v="C0165"/>
    <n v="1"/>
    <n v="0"/>
    <n v="145000"/>
    <x v="1"/>
    <n v="145000"/>
  </r>
  <r>
    <s v="T00973"/>
    <d v="2025-10-26T00:00:00"/>
    <s v="BR001"/>
    <s v="P025"/>
    <s v="C0215"/>
    <n v="2"/>
    <n v="0"/>
    <n v="175000"/>
    <x v="2"/>
    <n v="350000"/>
  </r>
  <r>
    <s v="T00669"/>
    <d v="2025-01-17T00:00:00"/>
    <s v="BR001"/>
    <s v="P018"/>
    <s v="C0220"/>
    <n v="1"/>
    <n v="0"/>
    <n v="18000"/>
    <x v="2"/>
    <n v="18000"/>
  </r>
  <r>
    <s v="T00518"/>
    <d v="2025-02-09T00:00:00"/>
    <s v="BR003"/>
    <s v="P009"/>
    <s v="C0216"/>
    <n v="1"/>
    <n v="5"/>
    <n v="265000"/>
    <x v="0"/>
    <n v="251750"/>
  </r>
  <r>
    <s v="T01347"/>
    <d v="2025-11-26T00:00:00"/>
    <s v="BR002"/>
    <s v="P010"/>
    <s v="C0156"/>
    <n v="1"/>
    <n v="10"/>
    <n v="62000"/>
    <x v="1"/>
    <n v="55800"/>
  </r>
  <r>
    <s v="T00566"/>
    <d v="2025-08-22T00:00:00"/>
    <s v="BR001"/>
    <s v="P011"/>
    <s v="C0169"/>
    <n v="1"/>
    <n v="0"/>
    <n v="74000"/>
    <x v="2"/>
    <n v="74000"/>
  </r>
  <r>
    <s v="T00803"/>
    <d v="2025-08-22T00:00:00"/>
    <s v="BR002"/>
    <s v="P012"/>
    <s v="C0184"/>
    <n v="1"/>
    <n v="0"/>
    <n v="28000"/>
    <x v="1"/>
    <n v="28000"/>
  </r>
  <r>
    <s v="T00880"/>
    <d v="2025-06-04T00:00:00"/>
    <s v="BR001"/>
    <s v="P004"/>
    <s v="C0116"/>
    <n v="1"/>
    <n v="10"/>
    <n v="38000"/>
    <x v="2"/>
    <n v="34200"/>
  </r>
  <r>
    <s v="T00650"/>
    <d v="2025-02-19T00:00:00"/>
    <s v="BR001"/>
    <s v="P006"/>
    <s v="C0192"/>
    <n v="1"/>
    <n v="0"/>
    <n v="78000"/>
    <x v="2"/>
    <n v="78000"/>
  </r>
  <r>
    <s v="T01324"/>
    <d v="2025-12-17T00:00:00"/>
    <s v="BR001"/>
    <s v="P018"/>
    <s v="C0012"/>
    <n v="1"/>
    <n v="0"/>
    <n v="18000"/>
    <x v="2"/>
    <n v="18000"/>
  </r>
  <r>
    <s v="T01099"/>
    <d v="2025-06-07T00:00:00"/>
    <s v="BR001"/>
    <s v="P015"/>
    <s v="C0066"/>
    <n v="1"/>
    <n v="0"/>
    <n v="15000"/>
    <x v="2"/>
    <n v="15000"/>
  </r>
  <r>
    <s v="T00508"/>
    <d v="2025-08-14T00:00:00"/>
    <s v="BR003"/>
    <s v="P020"/>
    <s v="C0030"/>
    <n v="1"/>
    <n v="0"/>
    <n v="8500"/>
    <x v="0"/>
    <n v="8500"/>
  </r>
  <r>
    <s v="T00735"/>
    <d v="2025-12-13T00:00:00"/>
    <s v="BR003"/>
    <s v="P025"/>
    <s v="C0125"/>
    <n v="2"/>
    <n v="20"/>
    <n v="175000"/>
    <x v="0"/>
    <n v="280000"/>
  </r>
  <r>
    <s v="T00994"/>
    <d v="2025-11-03T00:00:00"/>
    <s v="BR004"/>
    <s v="P003"/>
    <s v="C0007"/>
    <n v="1"/>
    <n v="30"/>
    <n v="45000"/>
    <x v="3"/>
    <n v="31499.999999999996"/>
  </r>
  <r>
    <s v="T00386"/>
    <d v="2025-09-18T00:00:00"/>
    <s v="BR002"/>
    <s v="P017"/>
    <s v="C0211"/>
    <n v="1"/>
    <n v="5"/>
    <n v="24000"/>
    <x v="1"/>
    <n v="22800"/>
  </r>
  <r>
    <s v="T00859"/>
    <d v="2025-08-25T00:00:00"/>
    <s v="BR003"/>
    <s v="P006"/>
    <s v="C0148"/>
    <n v="1"/>
    <n v="0"/>
    <n v="78000"/>
    <x v="0"/>
    <n v="78000"/>
  </r>
  <r>
    <s v="T00337"/>
    <d v="2025-06-28T00:00:00"/>
    <s v="BR001"/>
    <s v="P013"/>
    <s v="C0108"/>
    <n v="1"/>
    <n v="0"/>
    <n v="22000"/>
    <x v="2"/>
    <n v="22000"/>
  </r>
  <r>
    <s v="T00233"/>
    <d v="2025-07-02T00:00:00"/>
    <s v="BR004"/>
    <s v="P025"/>
    <s v="C0017"/>
    <n v="1"/>
    <n v="0"/>
    <n v="175000"/>
    <x v="3"/>
    <n v="175000"/>
  </r>
  <r>
    <s v="T00490"/>
    <d v="2025-09-13T00:00:00"/>
    <s v="BR001"/>
    <s v="P020"/>
    <s v="C0167"/>
    <n v="1"/>
    <n v="0"/>
    <n v="8500"/>
    <x v="2"/>
    <n v="8500"/>
  </r>
  <r>
    <s v="T00468"/>
    <d v="2025-09-28T00:00:00"/>
    <s v="BR003"/>
    <s v="P008"/>
    <s v="C0007"/>
    <n v="2"/>
    <n v="0"/>
    <n v="410000"/>
    <x v="0"/>
    <n v="820000"/>
  </r>
  <r>
    <s v="T00604"/>
    <d v="2025-01-09T00:00:00"/>
    <s v="BR001"/>
    <s v="P016"/>
    <s v="C0119"/>
    <n v="1"/>
    <n v="15"/>
    <n v="19500"/>
    <x v="2"/>
    <n v="16575"/>
  </r>
  <r>
    <s v="T00653"/>
    <d v="2025-01-13T00:00:00"/>
    <s v="BR001"/>
    <s v="P025"/>
    <s v="C0132"/>
    <n v="1"/>
    <n v="0"/>
    <n v="175000"/>
    <x v="2"/>
    <n v="175000"/>
  </r>
  <r>
    <s v="T00298"/>
    <d v="2025-04-20T00:00:00"/>
    <s v="BR002"/>
    <s v="P021"/>
    <s v="C0158"/>
    <n v="1"/>
    <n v="0"/>
    <n v="6500"/>
    <x v="1"/>
    <n v="6500"/>
  </r>
  <r>
    <s v="T01223"/>
    <d v="2025-01-15T00:00:00"/>
    <s v="BR001"/>
    <s v="P025"/>
    <s v="C0140"/>
    <n v="1"/>
    <n v="5"/>
    <n v="175000"/>
    <x v="2"/>
    <n v="166250"/>
  </r>
  <r>
    <s v="T00985"/>
    <d v="2025-06-12T00:00:00"/>
    <s v="BR001"/>
    <s v="P025"/>
    <s v="C0041"/>
    <n v="1"/>
    <n v="0"/>
    <n v="175000"/>
    <x v="2"/>
    <n v="175000"/>
  </r>
  <r>
    <s v="T00603"/>
    <d v="2025-11-15T00:00:00"/>
    <s v="BR002"/>
    <s v="P012"/>
    <s v="C0051"/>
    <n v="1"/>
    <n v="15"/>
    <n v="28000"/>
    <x v="1"/>
    <n v="23800"/>
  </r>
  <r>
    <s v="T00206"/>
    <d v="2025-10-28T00:00:00"/>
    <s v="BR001"/>
    <s v="P009"/>
    <s v="C0138"/>
    <n v="2"/>
    <n v="0"/>
    <n v="265000"/>
    <x v="2"/>
    <n v="530000"/>
  </r>
  <r>
    <s v="T01107"/>
    <d v="2025-01-28T00:00:00"/>
    <s v="BR004"/>
    <s v="P025"/>
    <s v="C0051"/>
    <n v="1"/>
    <n v="5"/>
    <n v="175000"/>
    <x v="3"/>
    <n v="166250"/>
  </r>
  <r>
    <s v="T00458"/>
    <d v="2025-11-04T00:00:00"/>
    <s v="BR002"/>
    <s v="P001"/>
    <s v="C0066"/>
    <n v="1"/>
    <n v="10"/>
    <n v="185000"/>
    <x v="1"/>
    <n v="166500"/>
  </r>
  <r>
    <s v="T00469"/>
    <d v="2025-05-22T00:00:00"/>
    <s v="BR001"/>
    <s v="P012"/>
    <s v="C0054"/>
    <n v="2"/>
    <n v="0"/>
    <n v="28000"/>
    <x v="2"/>
    <n v="56000"/>
  </r>
  <r>
    <s v="T00738"/>
    <d v="2025-05-24T00:00:00"/>
    <s v="BR001"/>
    <s v="P010"/>
    <s v="C0142"/>
    <n v="1"/>
    <n v="15"/>
    <n v="62000"/>
    <x v="2"/>
    <n v="52700"/>
  </r>
  <r>
    <s v="T00975"/>
    <d v="2025-01-12T00:00:00"/>
    <s v="BR001"/>
    <s v="P001"/>
    <s v="C0009"/>
    <n v="1"/>
    <n v="10"/>
    <n v="185000"/>
    <x v="2"/>
    <n v="166500"/>
  </r>
  <r>
    <s v="T01179"/>
    <d v="2025-09-07T00:00:00"/>
    <s v="BR004"/>
    <s v="P001"/>
    <s v="C0074"/>
    <n v="2"/>
    <n v="15"/>
    <n v="185000"/>
    <x v="3"/>
    <n v="314500"/>
  </r>
  <r>
    <s v="T00661"/>
    <d v="2025-12-26T00:00:00"/>
    <s v="BR002"/>
    <s v="P019"/>
    <s v="C0006"/>
    <n v="1"/>
    <n v="25"/>
    <n v="21000"/>
    <x v="1"/>
    <n v="15750"/>
  </r>
  <r>
    <s v="T01267"/>
    <d v="2025-04-17T00:00:00"/>
    <s v="BR002"/>
    <s v="P011"/>
    <s v="C0123"/>
    <n v="1"/>
    <n v="0"/>
    <n v="74000"/>
    <x v="1"/>
    <n v="74000"/>
  </r>
  <r>
    <s v="T01328"/>
    <d v="2025-01-06T00:00:00"/>
    <s v="BR002"/>
    <s v="P013"/>
    <s v="C0017"/>
    <n v="2"/>
    <n v="0"/>
    <n v="22000"/>
    <x v="1"/>
    <n v="44000"/>
  </r>
  <r>
    <s v="T00557"/>
    <d v="2025-12-19T00:00:00"/>
    <s v="BR001"/>
    <s v="P002"/>
    <s v="C0144"/>
    <n v="1"/>
    <n v="5"/>
    <n v="320000"/>
    <x v="2"/>
    <n v="304000"/>
  </r>
  <r>
    <s v="T00771"/>
    <d v="2025-02-03T00:00:00"/>
    <s v="BR002"/>
    <s v="P017"/>
    <s v="C0112"/>
    <n v="1"/>
    <n v="0"/>
    <n v="24000"/>
    <x v="1"/>
    <n v="24000"/>
  </r>
  <r>
    <s v="T01399"/>
    <d v="2025-06-18T00:00:00"/>
    <s v="BR004"/>
    <s v="P016"/>
    <s v="C0155"/>
    <n v="1"/>
    <n v="0"/>
    <n v="19500"/>
    <x v="3"/>
    <n v="19500"/>
  </r>
  <r>
    <s v="T01243"/>
    <d v="2025-12-08T00:00:00"/>
    <s v="BR001"/>
    <s v="P002"/>
    <s v="C0055"/>
    <n v="1"/>
    <n v="15"/>
    <n v="320000"/>
    <x v="2"/>
    <n v="272000"/>
  </r>
  <r>
    <s v="T00656"/>
    <d v="2025-12-10T00:00:00"/>
    <s v="BR001"/>
    <s v="P022"/>
    <s v="C0022"/>
    <n v="1"/>
    <n v="5"/>
    <n v="5200"/>
    <x v="2"/>
    <n v="4940"/>
  </r>
  <r>
    <s v="T01280"/>
    <d v="2025-11-16T00:00:00"/>
    <s v="BR003"/>
    <s v="P021"/>
    <s v="C0183"/>
    <n v="1"/>
    <n v="30"/>
    <n v="6500"/>
    <x v="0"/>
    <n v="4550"/>
  </r>
  <r>
    <s v="T00586"/>
    <d v="2025-01-11T00:00:00"/>
    <s v="BR002"/>
    <s v="P019"/>
    <s v="C0106"/>
    <n v="1"/>
    <n v="15"/>
    <n v="21000"/>
    <x v="1"/>
    <n v="17850"/>
  </r>
  <r>
    <s v="T00158"/>
    <d v="2025-01-16T00:00:00"/>
    <s v="BR004"/>
    <s v="P014"/>
    <s v="C0077"/>
    <n v="2"/>
    <n v="0"/>
    <n v="285000"/>
    <x v="3"/>
    <n v="570000"/>
  </r>
  <r>
    <s v="T00666"/>
    <d v="2025-11-14T00:00:00"/>
    <s v="BR001"/>
    <s v="P013"/>
    <s v="C0131"/>
    <n v="2"/>
    <n v="15"/>
    <n v="22000"/>
    <x v="2"/>
    <n v="37400"/>
  </r>
  <r>
    <s v="T01212"/>
    <d v="2025-07-18T00:00:00"/>
    <s v="BR001"/>
    <s v="P025"/>
    <s v="C0040"/>
    <n v="1"/>
    <n v="5"/>
    <n v="175000"/>
    <x v="2"/>
    <n v="166250"/>
  </r>
  <r>
    <s v="T00141"/>
    <d v="2025-07-17T00:00:00"/>
    <s v="BR001"/>
    <s v="P023"/>
    <s v="C0032"/>
    <n v="1"/>
    <n v="5"/>
    <n v="195000"/>
    <x v="2"/>
    <n v="185250"/>
  </r>
  <r>
    <s v="T00161"/>
    <d v="2025-11-18T00:00:00"/>
    <s v="BR004"/>
    <s v="P003"/>
    <s v="C0141"/>
    <n v="1"/>
    <n v="20"/>
    <n v="45000"/>
    <x v="3"/>
    <n v="36000"/>
  </r>
  <r>
    <s v="T00306"/>
    <d v="2025-11-22T00:00:00"/>
    <s v="BR001"/>
    <s v="P009"/>
    <s v="C0118"/>
    <n v="1"/>
    <n v="25"/>
    <n v="265000"/>
    <x v="2"/>
    <n v="198750"/>
  </r>
  <r>
    <s v="T01038"/>
    <d v="2025-12-22T00:00:00"/>
    <s v="BR004"/>
    <s v="P022"/>
    <s v="C0058"/>
    <n v="2"/>
    <n v="30"/>
    <n v="5200"/>
    <x v="3"/>
    <n v="7279.9999999999991"/>
  </r>
  <r>
    <s v="T01294"/>
    <d v="2025-12-12T00:00:00"/>
    <s v="BR002"/>
    <s v="P005"/>
    <s v="C0036"/>
    <n v="1"/>
    <n v="10"/>
    <n v="95000"/>
    <x v="1"/>
    <n v="85500"/>
  </r>
  <r>
    <s v="T01376"/>
    <d v="2025-05-11T00:00:00"/>
    <s v="BR002"/>
    <s v="P016"/>
    <s v="C0006"/>
    <n v="1"/>
    <n v="0"/>
    <n v="19500"/>
    <x v="1"/>
    <n v="19500"/>
  </r>
  <r>
    <s v="T00396"/>
    <d v="2025-11-05T00:00:00"/>
    <s v="BR001"/>
    <s v="P006"/>
    <s v="C0071"/>
    <n v="1"/>
    <n v="5"/>
    <n v="78000"/>
    <x v="2"/>
    <n v="74100"/>
  </r>
  <r>
    <s v="T00505"/>
    <d v="2025-11-24T00:00:00"/>
    <s v="BR003"/>
    <s v="P002"/>
    <s v="C0108"/>
    <n v="1"/>
    <n v="0"/>
    <n v="320000"/>
    <x v="0"/>
    <n v="320000"/>
  </r>
  <r>
    <s v="T00400"/>
    <d v="2025-06-20T00:00:00"/>
    <s v="BR001"/>
    <s v="P012"/>
    <s v="C0079"/>
    <n v="1"/>
    <n v="5"/>
    <n v="28000"/>
    <x v="2"/>
    <n v="26600"/>
  </r>
  <r>
    <s v="T00879"/>
    <d v="2025-08-28T00:00:00"/>
    <s v="BR004"/>
    <s v="P019"/>
    <s v="C0089"/>
    <n v="1"/>
    <n v="0"/>
    <n v="21000"/>
    <x v="3"/>
    <n v="21000"/>
  </r>
  <r>
    <s v="T01201"/>
    <d v="2025-03-03T00:00:00"/>
    <s v="BR003"/>
    <s v="P014"/>
    <s v="C0212"/>
    <n v="1"/>
    <n v="0"/>
    <n v="285000"/>
    <x v="0"/>
    <n v="285000"/>
  </r>
  <r>
    <s v="T00903"/>
    <d v="2025-02-04T00:00:00"/>
    <s v="BR001"/>
    <s v="P024"/>
    <s v="C0077"/>
    <n v="5"/>
    <n v="0"/>
    <n v="245000"/>
    <x v="2"/>
    <n v="1225000"/>
  </r>
  <r>
    <s v="T00901"/>
    <d v="2025-12-12T00:00:00"/>
    <s v="BR001"/>
    <s v="P004"/>
    <s v="C0087"/>
    <n v="5"/>
    <n v="5"/>
    <n v="38000"/>
    <x v="2"/>
    <n v="180500"/>
  </r>
  <r>
    <s v="T00225"/>
    <d v="2025-12-25T00:00:00"/>
    <s v="BR001"/>
    <s v="P004"/>
    <s v="C0003"/>
    <n v="1"/>
    <n v="10"/>
    <n v="38000"/>
    <x v="2"/>
    <n v="34200"/>
  </r>
  <r>
    <s v="T00982"/>
    <d v="2025-11-25T00:00:00"/>
    <s v="BR002"/>
    <s v="P023"/>
    <s v="C0030"/>
    <n v="1"/>
    <n v="15"/>
    <n v="195000"/>
    <x v="1"/>
    <n v="165750"/>
  </r>
  <r>
    <s v="T01174"/>
    <d v="2025-01-12T00:00:00"/>
    <s v="BR004"/>
    <s v="P009"/>
    <s v="C0211"/>
    <n v="1"/>
    <n v="25"/>
    <n v="265000"/>
    <x v="3"/>
    <n v="198750"/>
  </r>
  <r>
    <s v="T00356"/>
    <d v="2025-03-12T00:00:00"/>
    <s v="BR001"/>
    <s v="P015"/>
    <s v="C0001"/>
    <n v="1"/>
    <n v="0"/>
    <n v="15000"/>
    <x v="2"/>
    <n v="15000"/>
  </r>
  <r>
    <s v="T01146"/>
    <d v="2025-08-25T00:00:00"/>
    <s v="BR002"/>
    <s v="P004"/>
    <s v="C0085"/>
    <n v="1"/>
    <n v="15"/>
    <n v="38000"/>
    <x v="1"/>
    <n v="32300"/>
  </r>
  <r>
    <s v="T00472"/>
    <d v="2025-03-21T00:00:00"/>
    <s v="BR001"/>
    <s v="P007"/>
    <s v="C0220"/>
    <n v="1"/>
    <n v="5"/>
    <n v="145000"/>
    <x v="2"/>
    <n v="137750"/>
  </r>
  <r>
    <s v="T00964"/>
    <d v="2025-08-13T00:00:00"/>
    <s v="BR003"/>
    <s v="P023"/>
    <s v="C0003"/>
    <n v="1"/>
    <n v="0"/>
    <n v="195000"/>
    <x v="0"/>
    <n v="195000"/>
  </r>
  <r>
    <s v="T00863"/>
    <d v="2025-11-17T00:00:00"/>
    <s v="BR002"/>
    <s v="P011"/>
    <s v="C0099"/>
    <n v="1"/>
    <n v="10"/>
    <n v="74000"/>
    <x v="1"/>
    <n v="66600"/>
  </r>
  <r>
    <s v="T00852"/>
    <d v="2025-12-18T00:00:00"/>
    <s v="BR002"/>
    <s v="P005"/>
    <s v="C0131"/>
    <n v="1"/>
    <n v="0"/>
    <n v="95000"/>
    <x v="1"/>
    <n v="95000"/>
  </r>
  <r>
    <s v="T00955"/>
    <d v="2025-12-22T00:00:00"/>
    <s v="BR001"/>
    <s v="P024"/>
    <s v="C0149"/>
    <n v="1"/>
    <n v="20"/>
    <n v="245000"/>
    <x v="2"/>
    <n v="196000"/>
  </r>
  <r>
    <s v="T01008"/>
    <d v="2025-10-07T00:00:00"/>
    <s v="BR001"/>
    <s v="P002"/>
    <s v="C0189"/>
    <n v="5"/>
    <n v="0"/>
    <n v="320000"/>
    <x v="2"/>
    <n v="1600000"/>
  </r>
  <r>
    <s v="T00027"/>
    <d v="2025-12-03T00:00:00"/>
    <s v="BR001"/>
    <s v="P015"/>
    <s v="C0066"/>
    <n v="1"/>
    <n v="20"/>
    <n v="15000"/>
    <x v="2"/>
    <n v="12000"/>
  </r>
  <r>
    <s v="T01043"/>
    <d v="2025-05-15T00:00:00"/>
    <s v="BR001"/>
    <s v="P004"/>
    <s v="C0188"/>
    <n v="2"/>
    <n v="20"/>
    <n v="38000"/>
    <x v="2"/>
    <n v="60800"/>
  </r>
  <r>
    <s v="T00359"/>
    <d v="2025-09-22T00:00:00"/>
    <s v="BR003"/>
    <s v="P006"/>
    <s v="C0082"/>
    <n v="2"/>
    <n v="0"/>
    <n v="78000"/>
    <x v="0"/>
    <n v="156000"/>
  </r>
  <r>
    <s v="T00279"/>
    <d v="2025-12-04T00:00:00"/>
    <s v="BR002"/>
    <s v="P020"/>
    <s v="C0183"/>
    <n v="1"/>
    <n v="5"/>
    <n v="8500"/>
    <x v="1"/>
    <n v="8075"/>
  </r>
  <r>
    <s v="T00572"/>
    <d v="2025-06-11T00:00:00"/>
    <s v="BR001"/>
    <s v="P012"/>
    <s v="C0217"/>
    <n v="1"/>
    <n v="0"/>
    <n v="28000"/>
    <x v="2"/>
    <n v="28000"/>
  </r>
  <r>
    <s v="T01298"/>
    <d v="2025-04-15T00:00:00"/>
    <s v="BR002"/>
    <s v="P009"/>
    <s v="C0078"/>
    <n v="1"/>
    <n v="0"/>
    <n v="265000"/>
    <x v="1"/>
    <n v="265000"/>
  </r>
  <r>
    <s v="T00004"/>
    <d v="2025-11-08T00:00:00"/>
    <s v="BR003"/>
    <s v="P017"/>
    <s v="C0092"/>
    <n v="1"/>
    <n v="5"/>
    <n v="24000"/>
    <x v="0"/>
    <n v="22800"/>
  </r>
  <r>
    <s v="T00024"/>
    <d v="2025-06-05T00:00:00"/>
    <s v="BR003"/>
    <s v="P002"/>
    <s v="C0119"/>
    <n v="2"/>
    <n v="20"/>
    <n v="320000"/>
    <x v="0"/>
    <n v="512000"/>
  </r>
  <r>
    <s v="T01228"/>
    <d v="2025-10-11T00:00:00"/>
    <s v="BR002"/>
    <s v="P001"/>
    <s v="C0207"/>
    <n v="1"/>
    <n v="0"/>
    <n v="185000"/>
    <x v="1"/>
    <n v="185000"/>
  </r>
  <r>
    <s v="T00489"/>
    <d v="2025-02-11T00:00:00"/>
    <s v="BR004"/>
    <s v="P023"/>
    <s v="C0195"/>
    <n v="2"/>
    <n v="15"/>
    <n v="195000"/>
    <x v="3"/>
    <n v="331500"/>
  </r>
  <r>
    <s v="T00348"/>
    <d v="2025-11-26T00:00:00"/>
    <s v="BR002"/>
    <s v="P013"/>
    <s v="C0141"/>
    <n v="1"/>
    <n v="25"/>
    <n v="22000"/>
    <x v="1"/>
    <n v="16500"/>
  </r>
  <r>
    <s v="T01164"/>
    <d v="2025-09-05T00:00:00"/>
    <s v="BR002"/>
    <s v="P018"/>
    <s v="C0118"/>
    <n v="1"/>
    <n v="0"/>
    <n v="18000"/>
    <x v="1"/>
    <n v="18000"/>
  </r>
  <r>
    <s v="T01018"/>
    <d v="2025-06-24T00:00:00"/>
    <s v="BR001"/>
    <s v="P018"/>
    <s v="C0065"/>
    <n v="3"/>
    <n v="15"/>
    <n v="18000"/>
    <x v="2"/>
    <n v="45900"/>
  </r>
  <r>
    <s v="T01014"/>
    <d v="2025-06-11T00:00:00"/>
    <s v="BR001"/>
    <s v="P012"/>
    <s v="C0218"/>
    <n v="1"/>
    <n v="0"/>
    <n v="28000"/>
    <x v="2"/>
    <n v="28000"/>
  </r>
  <r>
    <s v="T00908"/>
    <d v="2025-08-05T00:00:00"/>
    <s v="BR004"/>
    <s v="P010"/>
    <s v="C0057"/>
    <n v="1"/>
    <n v="0"/>
    <n v="62000"/>
    <x v="3"/>
    <n v="62000"/>
  </r>
  <r>
    <s v="T01119"/>
    <d v="2025-07-10T00:00:00"/>
    <s v="BR001"/>
    <s v="P014"/>
    <s v="C0217"/>
    <n v="1"/>
    <n v="0"/>
    <n v="285000"/>
    <x v="2"/>
    <n v="285000"/>
  </r>
  <r>
    <s v="T00594"/>
    <d v="2025-11-02T00:00:00"/>
    <s v="BR002"/>
    <s v="P007"/>
    <s v="C0103"/>
    <n v="1"/>
    <n v="5"/>
    <n v="145000"/>
    <x v="1"/>
    <n v="137750"/>
  </r>
  <r>
    <s v="T01265"/>
    <d v="2025-03-01T00:00:00"/>
    <s v="BR003"/>
    <s v="P002"/>
    <s v="C0044"/>
    <n v="1"/>
    <n v="5"/>
    <n v="320000"/>
    <x v="0"/>
    <n v="304000"/>
  </r>
  <r>
    <s v="T00380"/>
    <d v="2025-06-02T00:00:00"/>
    <s v="BR001"/>
    <s v="P007"/>
    <s v="C0013"/>
    <n v="1"/>
    <n v="0"/>
    <n v="145000"/>
    <x v="2"/>
    <n v="145000"/>
  </r>
  <r>
    <s v="T00783"/>
    <d v="2025-01-03T00:00:00"/>
    <s v="BR002"/>
    <s v="P015"/>
    <s v="C0075"/>
    <n v="1"/>
    <n v="0"/>
    <n v="15000"/>
    <x v="1"/>
    <n v="15000"/>
  </r>
  <r>
    <s v="T00375"/>
    <d v="2025-04-21T00:00:00"/>
    <s v="BR001"/>
    <s v="P010"/>
    <s v="C0167"/>
    <n v="1"/>
    <n v="10"/>
    <n v="62000"/>
    <x v="2"/>
    <n v="55800"/>
  </r>
  <r>
    <s v="T01216"/>
    <d v="2025-11-16T00:00:00"/>
    <s v="BR002"/>
    <s v="P009"/>
    <s v="C0008"/>
    <n v="1"/>
    <n v="10"/>
    <n v="265000"/>
    <x v="1"/>
    <n v="238500"/>
  </r>
  <r>
    <s v="T00574"/>
    <d v="2025-11-06T00:00:00"/>
    <s v="BR001"/>
    <s v="P011"/>
    <s v="C0181"/>
    <n v="1"/>
    <n v="0"/>
    <n v="74000"/>
    <x v="2"/>
    <n v="74000"/>
  </r>
  <r>
    <s v="T00810"/>
    <d v="2025-11-01T00:00:00"/>
    <s v="BR001"/>
    <s v="P019"/>
    <s v="C0177"/>
    <n v="1"/>
    <n v="5"/>
    <n v="21000"/>
    <x v="2"/>
    <n v="19950"/>
  </r>
  <r>
    <s v="T00452"/>
    <d v="2025-08-01T00:00:00"/>
    <s v="BR002"/>
    <s v="P016"/>
    <s v="C0141"/>
    <n v="1"/>
    <n v="0"/>
    <n v="19500"/>
    <x v="1"/>
    <n v="19500"/>
  </r>
  <r>
    <s v="T00479"/>
    <d v="2025-12-16T00:00:00"/>
    <s v="BR003"/>
    <s v="P002"/>
    <s v="C0079"/>
    <n v="1"/>
    <n v="10"/>
    <n v="320000"/>
    <x v="0"/>
    <n v="288000"/>
  </r>
  <r>
    <s v="T00232"/>
    <d v="2025-07-01T00:00:00"/>
    <s v="BR002"/>
    <s v="P018"/>
    <s v="C0026"/>
    <n v="1"/>
    <n v="0"/>
    <n v="18000"/>
    <x v="1"/>
    <n v="18000"/>
  </r>
  <r>
    <s v="T00148"/>
    <d v="2025-08-26T00:00:00"/>
    <s v="BR004"/>
    <s v="P002"/>
    <s v="C0106"/>
    <n v="2"/>
    <n v="0"/>
    <n v="320000"/>
    <x v="3"/>
    <n v="640000"/>
  </r>
  <r>
    <s v="T01009"/>
    <d v="2025-06-10T00:00:00"/>
    <s v="BR001"/>
    <s v="P018"/>
    <s v="C0026"/>
    <n v="2"/>
    <n v="0"/>
    <n v="18000"/>
    <x v="2"/>
    <n v="36000"/>
  </r>
  <r>
    <s v="T00168"/>
    <d v="2025-05-08T00:00:00"/>
    <s v="BR004"/>
    <s v="P008"/>
    <s v="C0110"/>
    <n v="1"/>
    <n v="0"/>
    <n v="410000"/>
    <x v="3"/>
    <n v="410000"/>
  </r>
  <r>
    <s v="T00073"/>
    <d v="2025-02-11T00:00:00"/>
    <s v="BR002"/>
    <s v="P011"/>
    <s v="C0220"/>
    <n v="1"/>
    <n v="5"/>
    <n v="74000"/>
    <x v="1"/>
    <n v="70300"/>
  </r>
  <r>
    <s v="T00071"/>
    <d v="2025-07-12T00:00:00"/>
    <s v="BR002"/>
    <s v="P020"/>
    <s v="C0092"/>
    <n v="1"/>
    <n v="15"/>
    <n v="8500"/>
    <x v="1"/>
    <n v="7225"/>
  </r>
  <r>
    <s v="T00595"/>
    <d v="2025-12-06T00:00:00"/>
    <s v="BR003"/>
    <s v="P011"/>
    <s v="C0050"/>
    <n v="1"/>
    <n v="20"/>
    <n v="74000"/>
    <x v="0"/>
    <n v="59200"/>
  </r>
  <r>
    <s v="T01189"/>
    <d v="2025-03-06T00:00:00"/>
    <s v="BR004"/>
    <s v="P023"/>
    <s v="C0122"/>
    <n v="2"/>
    <n v="0"/>
    <n v="195000"/>
    <x v="3"/>
    <n v="390000"/>
  </r>
  <r>
    <s v="T00172"/>
    <d v="2025-06-25T00:00:00"/>
    <s v="BR004"/>
    <s v="P014"/>
    <s v="C0003"/>
    <n v="1"/>
    <n v="0"/>
    <n v="285000"/>
    <x v="3"/>
    <n v="285000"/>
  </r>
  <r>
    <s v="T00131"/>
    <d v="2025-12-23T00:00:00"/>
    <s v="BR002"/>
    <s v="P003"/>
    <s v="C0097"/>
    <n v="1"/>
    <n v="5"/>
    <n v="45000"/>
    <x v="1"/>
    <n v="42750"/>
  </r>
  <r>
    <s v="T00169"/>
    <d v="2025-06-19T00:00:00"/>
    <s v="BR004"/>
    <s v="P006"/>
    <s v="C0010"/>
    <n v="3"/>
    <n v="5"/>
    <n v="78000"/>
    <x v="3"/>
    <n v="222300"/>
  </r>
  <r>
    <s v="T00265"/>
    <d v="2025-05-06T00:00:00"/>
    <s v="BR004"/>
    <s v="P003"/>
    <s v="C0044"/>
    <n v="1"/>
    <n v="10"/>
    <n v="45000"/>
    <x v="3"/>
    <n v="40500"/>
  </r>
  <r>
    <s v="T00514"/>
    <d v="2025-01-11T00:00:00"/>
    <s v="BR003"/>
    <s v="P002"/>
    <s v="C0052"/>
    <n v="1"/>
    <n v="5"/>
    <n v="320000"/>
    <x v="0"/>
    <n v="304000"/>
  </r>
  <r>
    <s v="T01290"/>
    <d v="2025-02-13T00:00:00"/>
    <s v="BR002"/>
    <s v="P022"/>
    <s v="C0172"/>
    <n v="1"/>
    <n v="0"/>
    <n v="5200"/>
    <x v="1"/>
    <n v="5200"/>
  </r>
  <r>
    <s v="T00948"/>
    <d v="2025-01-23T00:00:00"/>
    <s v="BR004"/>
    <s v="P011"/>
    <s v="C0047"/>
    <n v="2"/>
    <n v="5"/>
    <n v="74000"/>
    <x v="3"/>
    <n v="140600"/>
  </r>
  <r>
    <s v="T00273"/>
    <d v="2025-01-15T00:00:00"/>
    <s v="BR001"/>
    <s v="P008"/>
    <s v="C0093"/>
    <n v="2"/>
    <n v="5"/>
    <n v="410000"/>
    <x v="2"/>
    <n v="779000"/>
  </r>
  <r>
    <s v="T01195"/>
    <d v="2025-09-11T00:00:00"/>
    <s v="BR003"/>
    <s v="P012"/>
    <s v="C0059"/>
    <n v="2"/>
    <n v="0"/>
    <n v="28000"/>
    <x v="0"/>
    <n v="56000"/>
  </r>
  <r>
    <s v="T00421"/>
    <d v="2025-11-01T00:00:00"/>
    <s v="BR002"/>
    <s v="P001"/>
    <s v="C0016"/>
    <n v="1"/>
    <n v="0"/>
    <n v="185000"/>
    <x v="1"/>
    <n v="185000"/>
  </r>
  <r>
    <s v="T00511"/>
    <d v="2025-11-15T00:00:00"/>
    <s v="BR002"/>
    <s v="P007"/>
    <s v="C0002"/>
    <n v="2"/>
    <n v="30"/>
    <n v="145000"/>
    <x v="1"/>
    <n v="203000"/>
  </r>
  <r>
    <s v="T01063"/>
    <d v="2025-06-02T00:00:00"/>
    <s v="BR001"/>
    <s v="P023"/>
    <s v="C0016"/>
    <n v="1"/>
    <n v="5"/>
    <n v="195000"/>
    <x v="2"/>
    <n v="185250"/>
  </r>
  <r>
    <s v="T00921"/>
    <d v="2025-09-01T00:00:00"/>
    <s v="BR002"/>
    <s v="P021"/>
    <s v="C0172"/>
    <n v="1"/>
    <n v="5"/>
    <n v="6500"/>
    <x v="1"/>
    <n v="6175"/>
  </r>
  <r>
    <s v="T01117"/>
    <d v="2025-11-23T00:00:00"/>
    <s v="BR002"/>
    <s v="P001"/>
    <s v="C0132"/>
    <n v="1"/>
    <n v="5"/>
    <n v="185000"/>
    <x v="1"/>
    <n v="175750"/>
  </r>
  <r>
    <s v="T00043"/>
    <d v="2025-01-03T00:00:00"/>
    <s v="BR003"/>
    <s v="P023"/>
    <s v="C0028"/>
    <n v="1"/>
    <n v="0"/>
    <n v="195000"/>
    <x v="0"/>
    <n v="195000"/>
  </r>
  <r>
    <s v="T00057"/>
    <d v="2025-07-19T00:00:00"/>
    <s v="BR001"/>
    <s v="P023"/>
    <s v="C0029"/>
    <n v="1"/>
    <n v="15"/>
    <n v="195000"/>
    <x v="2"/>
    <n v="165750"/>
  </r>
  <r>
    <s v="T01246"/>
    <d v="2025-04-08T00:00:00"/>
    <s v="BR001"/>
    <s v="P023"/>
    <s v="C0151"/>
    <n v="2"/>
    <n v="5"/>
    <n v="195000"/>
    <x v="2"/>
    <n v="370500"/>
  </r>
  <r>
    <s v="T00621"/>
    <d v="2025-05-07T00:00:00"/>
    <s v="BR004"/>
    <s v="P018"/>
    <s v="C0189"/>
    <n v="3"/>
    <n v="5"/>
    <n v="18000"/>
    <x v="3"/>
    <n v="51300"/>
  </r>
  <r>
    <s v="T00133"/>
    <d v="2025-12-27T00:00:00"/>
    <s v="BR002"/>
    <s v="P012"/>
    <s v="C0052"/>
    <n v="1"/>
    <n v="20"/>
    <n v="28000"/>
    <x v="1"/>
    <n v="22400"/>
  </r>
  <r>
    <s v="T01166"/>
    <s v="17/01/2025"/>
    <s v="BR002"/>
    <s v="P014"/>
    <s v="C0069"/>
    <n v="1"/>
    <n v="20"/>
    <n v="285000"/>
    <x v="1"/>
    <n v="228000"/>
  </r>
  <r>
    <s v="T01106"/>
    <d v="2025-06-05T00:00:00"/>
    <s v="BR001"/>
    <s v="P010"/>
    <s v="C0036"/>
    <n v="2"/>
    <n v="0"/>
    <n v="62000"/>
    <x v="2"/>
    <n v="124000"/>
  </r>
  <r>
    <s v="T00039"/>
    <d v="2025-01-17T00:00:00"/>
    <s v="BR001"/>
    <s v="P001"/>
    <s v="C0021"/>
    <n v="1"/>
    <n v="15"/>
    <n v="185000"/>
    <x v="2"/>
    <n v="157250"/>
  </r>
  <r>
    <s v="T00307"/>
    <d v="2025-12-25T00:00:00"/>
    <s v="BR001"/>
    <s v="P023"/>
    <s v="C0029"/>
    <n v="1"/>
    <n v="20"/>
    <n v="195000"/>
    <x v="2"/>
    <n v="156000"/>
  </r>
  <r>
    <s v="T00507"/>
    <d v="2025-01-08T00:00:00"/>
    <s v="BR004"/>
    <s v="P004"/>
    <s v="C0196"/>
    <n v="1"/>
    <n v="10"/>
    <n v="38000"/>
    <x v="3"/>
    <n v="34200"/>
  </r>
  <r>
    <s v="T00778"/>
    <d v="2025-03-28T00:00:00"/>
    <s v="BR001"/>
    <s v="P025"/>
    <s v="C0032"/>
    <n v="1"/>
    <n v="15"/>
    <n v="175000"/>
    <x v="2"/>
    <n v="148750"/>
  </r>
  <r>
    <s v="T00548"/>
    <d v="2025-04-07T00:00:00"/>
    <s v="BR001"/>
    <s v="P021"/>
    <s v="C0141"/>
    <n v="1"/>
    <n v="10"/>
    <n v="6500"/>
    <x v="2"/>
    <n v="5850"/>
  </r>
  <r>
    <s v="T00271"/>
    <d v="2025-12-14T00:00:00"/>
    <s v="BR003"/>
    <s v="P020"/>
    <s v="C0116"/>
    <n v="1"/>
    <n v="10"/>
    <n v="8500"/>
    <x v="0"/>
    <n v="7650"/>
  </r>
  <r>
    <s v="T00409"/>
    <d v="2025-03-04T00:00:00"/>
    <s v="BR004"/>
    <s v="P008"/>
    <s v="C0196"/>
    <n v="3"/>
    <n v="0"/>
    <n v="410000"/>
    <x v="3"/>
    <n v="1230000"/>
  </r>
  <r>
    <s v="T01076"/>
    <d v="2025-01-12T00:00:00"/>
    <s v="BR002"/>
    <s v="P012"/>
    <s v="C0079"/>
    <n v="1"/>
    <n v="0"/>
    <n v="28000"/>
    <x v="1"/>
    <n v="28000"/>
  </r>
  <r>
    <s v="T01241"/>
    <d v="2025-03-04T00:00:00"/>
    <s v="BR001"/>
    <s v="P020"/>
    <s v="C0161"/>
    <n v="2"/>
    <n v="0"/>
    <n v="8500"/>
    <x v="2"/>
    <n v="17000"/>
  </r>
  <r>
    <s v="T00167"/>
    <d v="2025-07-23T00:00:00"/>
    <s v="BR003"/>
    <s v="P015"/>
    <s v="C0065"/>
    <n v="1"/>
    <n v="0"/>
    <n v="15000"/>
    <x v="0"/>
    <n v="15000"/>
  </r>
  <r>
    <s v="T00721"/>
    <d v="2025-01-09T00:00:00"/>
    <s v="BR001"/>
    <s v="P025"/>
    <s v="C0080"/>
    <n v="1"/>
    <n v="15"/>
    <n v="175000"/>
    <x v="2"/>
    <n v="148750"/>
  </r>
  <r>
    <s v="T00072"/>
    <d v="2025-12-14T00:00:00"/>
    <s v="BR004"/>
    <s v="P025"/>
    <s v="C0056"/>
    <n v="1"/>
    <n v="5"/>
    <n v="175000"/>
    <x v="3"/>
    <n v="166250"/>
  </r>
  <r>
    <s v="T00562"/>
    <d v="2025-04-20T00:00:00"/>
    <s v="BR004"/>
    <s v="P005"/>
    <s v="C0201"/>
    <n v="2"/>
    <n v="5"/>
    <n v="95000"/>
    <x v="3"/>
    <n v="180500"/>
  </r>
  <r>
    <s v="T00957"/>
    <d v="2025-07-17T00:00:00"/>
    <s v="BR001"/>
    <s v="P022"/>
    <s v="C0086"/>
    <n v="1"/>
    <n v="5"/>
    <n v="5200"/>
    <x v="2"/>
    <n v="4940"/>
  </r>
  <r>
    <s v="T00983"/>
    <d v="2025-08-05T00:00:00"/>
    <s v="BR002"/>
    <s v="P021"/>
    <s v="C0044"/>
    <n v="1"/>
    <n v="10"/>
    <n v="6500"/>
    <x v="1"/>
    <n v="5850"/>
  </r>
  <r>
    <s v="T00541"/>
    <d v="2025-11-24T00:00:00"/>
    <s v="BR001"/>
    <s v="P003"/>
    <s v="C0092"/>
    <n v="2"/>
    <n v="20"/>
    <n v="45000"/>
    <x v="2"/>
    <n v="72000"/>
  </r>
  <r>
    <s v="T01140"/>
    <d v="2025-02-03T00:00:00"/>
    <s v="BR004"/>
    <s v="P017"/>
    <s v="C0154"/>
    <n v="1"/>
    <n v="0"/>
    <n v="24000"/>
    <x v="3"/>
    <n v="24000"/>
  </r>
  <r>
    <s v="T01326"/>
    <d v="2025-07-20T00:00:00"/>
    <s v="BR004"/>
    <s v="P011"/>
    <s v="C0135"/>
    <n v="1"/>
    <n v="0"/>
    <n v="74000"/>
    <x v="3"/>
    <n v="74000"/>
  </r>
  <r>
    <s v="T00631"/>
    <d v="2025-04-24T00:00:00"/>
    <s v="BR001"/>
    <s v="P004"/>
    <s v="C0002"/>
    <n v="1"/>
    <n v="0"/>
    <n v="38000"/>
    <x v="2"/>
    <n v="38000"/>
  </r>
  <r>
    <s v="T00610"/>
    <d v="2025-11-04T00:00:00"/>
    <s v="BR004"/>
    <s v="P016"/>
    <s v="C0196"/>
    <n v="1"/>
    <n v="5"/>
    <n v="19500"/>
    <x v="3"/>
    <n v="18525"/>
  </r>
  <r>
    <s v="T00849"/>
    <d v="2025-09-26T00:00:00"/>
    <s v="BR001"/>
    <s v="P020"/>
    <s v="C0198"/>
    <n v="1"/>
    <n v="0"/>
    <n v="8500"/>
    <x v="2"/>
    <n v="8500"/>
  </r>
  <r>
    <s v="T00675"/>
    <d v="2025-02-08T00:00:00"/>
    <s v="BR001"/>
    <s v="P010"/>
    <s v="C0069"/>
    <n v="1"/>
    <n v="5"/>
    <n v="62000"/>
    <x v="2"/>
    <n v="58900"/>
  </r>
  <r>
    <s v="T00317"/>
    <d v="2025-11-05T00:00:00"/>
    <s v="BR001"/>
    <s v="P025"/>
    <s v="C0071"/>
    <n v="2"/>
    <n v="0"/>
    <n v="175000"/>
    <x v="2"/>
    <n v="350000"/>
  </r>
  <r>
    <s v="T00873"/>
    <d v="2025-12-16T00:00:00"/>
    <s v="BR001"/>
    <s v="P014"/>
    <s v="C0072"/>
    <n v="1"/>
    <n v="25"/>
    <n v="285000"/>
    <x v="2"/>
    <n v="213750"/>
  </r>
  <r>
    <s v="T01207"/>
    <d v="2025-03-14T00:00:00"/>
    <s v="BR001"/>
    <s v="P017"/>
    <s v="C0072"/>
    <n v="1"/>
    <n v="5"/>
    <n v="24000"/>
    <x v="2"/>
    <n v="22800"/>
  </r>
  <r>
    <s v="T00005"/>
    <d v="2025-05-23T00:00:00"/>
    <s v="BR001"/>
    <s v="P020"/>
    <s v="C0136"/>
    <n v="2"/>
    <n v="0"/>
    <n v="8500"/>
    <x v="2"/>
    <n v="17000"/>
  </r>
  <r>
    <s v="T00563"/>
    <d v="2025-11-20T00:00:00"/>
    <s v="BR002"/>
    <s v="P017"/>
    <s v="C0200"/>
    <n v="1"/>
    <n v="20"/>
    <n v="24000"/>
    <x v="1"/>
    <n v="19200"/>
  </r>
  <r>
    <s v="T00798"/>
    <d v="2025-07-11T00:00:00"/>
    <s v="BR001"/>
    <s v="P008"/>
    <s v="C0063"/>
    <n v="1"/>
    <n v="5"/>
    <n v="410000"/>
    <x v="2"/>
    <n v="389500"/>
  </r>
  <r>
    <s v="T00757"/>
    <d v="2025-08-15T00:00:00"/>
    <s v="BR004"/>
    <s v="P024"/>
    <s v="C0180"/>
    <n v="2"/>
    <n v="0"/>
    <n v="245000"/>
    <x v="3"/>
    <n v="490000"/>
  </r>
  <r>
    <s v="T01064"/>
    <d v="2025-04-05T00:00:00"/>
    <s v="BR001"/>
    <s v="P021"/>
    <s v="C0143"/>
    <n v="1"/>
    <n v="5"/>
    <n v="6500"/>
    <x v="2"/>
    <n v="6175"/>
  </r>
  <r>
    <s v="T01232"/>
    <d v="2025-12-11T00:00:00"/>
    <s v="BR002"/>
    <s v="P012"/>
    <s v="C0165"/>
    <n v="1"/>
    <n v="20"/>
    <n v="28000"/>
    <x v="1"/>
    <n v="22400"/>
  </r>
  <r>
    <s v="T00899"/>
    <d v="2025-04-08T00:00:00"/>
    <s v="BR003"/>
    <s v="P022"/>
    <s v="C0207"/>
    <n v="2"/>
    <n v="15"/>
    <n v="5200"/>
    <x v="0"/>
    <n v="8840"/>
  </r>
  <r>
    <s v="T00698"/>
    <d v="2025-10-25T00:00:00"/>
    <s v="BR001"/>
    <s v="P007"/>
    <s v="C0153"/>
    <n v="1"/>
    <n v="0"/>
    <n v="145000"/>
    <x v="2"/>
    <n v="145000"/>
  </r>
  <r>
    <s v="T00532"/>
    <d v="2025-10-18T00:00:00"/>
    <s v="BR002"/>
    <s v="P022"/>
    <s v="C0157"/>
    <n v="2"/>
    <n v="0"/>
    <n v="5200"/>
    <x v="1"/>
    <n v="10400"/>
  </r>
  <r>
    <s v="T01098"/>
    <d v="2025-05-15T00:00:00"/>
    <s v="BR001"/>
    <s v="P008"/>
    <s v="C0100"/>
    <n v="2"/>
    <n v="0"/>
    <n v="410000"/>
    <x v="2"/>
    <n v="820000"/>
  </r>
  <r>
    <s v="T01245"/>
    <d v="2025-03-15T00:00:00"/>
    <s v="BR001"/>
    <s v="P004"/>
    <s v="C0146"/>
    <n v="1"/>
    <n v="0"/>
    <n v="38000"/>
    <x v="2"/>
    <n v="38000"/>
  </r>
  <r>
    <s v="T01161"/>
    <d v="2025-10-19T00:00:00"/>
    <s v="BR001"/>
    <s v="P015"/>
    <s v="C0078"/>
    <n v="3"/>
    <n v="0"/>
    <n v="15000"/>
    <x v="2"/>
    <n v="45000"/>
  </r>
  <r>
    <s v="T00453"/>
    <d v="2025-12-06T00:00:00"/>
    <s v="BR002"/>
    <s v="P016"/>
    <s v="C0043"/>
    <n v="1"/>
    <n v="5"/>
    <n v="19500"/>
    <x v="1"/>
    <n v="18525"/>
  </r>
  <r>
    <s v="T00095"/>
    <d v="2025-12-22T00:00:00"/>
    <s v="BR001"/>
    <s v="P023"/>
    <s v="C0022"/>
    <n v="2"/>
    <n v="10"/>
    <n v="195000"/>
    <x v="2"/>
    <n v="351000"/>
  </r>
  <r>
    <s v="T00096"/>
    <d v="2025-08-15T00:00:00"/>
    <s v="BR003"/>
    <s v="P009"/>
    <s v="C0067"/>
    <n v="1"/>
    <n v="25"/>
    <n v="265000"/>
    <x v="0"/>
    <n v="198750"/>
  </r>
  <r>
    <s v="T00928"/>
    <d v="2025-11-24T00:00:00"/>
    <s v="BR001"/>
    <s v="P018"/>
    <s v="C0097"/>
    <n v="1"/>
    <n v="10"/>
    <n v="18000"/>
    <x v="2"/>
    <n v="16200"/>
  </r>
  <r>
    <s v="T00882"/>
    <d v="2025-09-03T00:00:00"/>
    <s v="BR001"/>
    <s v="P018"/>
    <s v="C0096"/>
    <n v="1"/>
    <n v="10"/>
    <n v="18000"/>
    <x v="2"/>
    <n v="16200"/>
  </r>
  <r>
    <s v="T00062"/>
    <d v="2025-12-16T00:00:00"/>
    <s v="BR003"/>
    <s v="P001"/>
    <s v="C0156"/>
    <n v="1"/>
    <n v="10"/>
    <n v="185000"/>
    <x v="0"/>
    <n v="166500"/>
  </r>
  <r>
    <s v="T01264"/>
    <d v="2025-12-10T00:00:00"/>
    <s v="BR001"/>
    <s v="P009"/>
    <s v="C0039"/>
    <n v="5"/>
    <n v="5"/>
    <n v="265000"/>
    <x v="2"/>
    <n v="1258750"/>
  </r>
  <r>
    <s v="T01392"/>
    <d v="2025-12-11T00:00:00"/>
    <s v="BR001"/>
    <s v="P009"/>
    <s v="C0122"/>
    <n v="2"/>
    <n v="10"/>
    <n v="265000"/>
    <x v="2"/>
    <n v="477000"/>
  </r>
  <r>
    <s v="T00889"/>
    <d v="2025-07-03T00:00:00"/>
    <s v="BR004"/>
    <s v="P019"/>
    <s v="C0172"/>
    <n v="1"/>
    <n v="10"/>
    <n v="21000"/>
    <x v="3"/>
    <n v="18900"/>
  </r>
  <r>
    <s v="T00245"/>
    <d v="2025-10-03T00:00:00"/>
    <s v="BR002"/>
    <s v="P016"/>
    <s v="C0008"/>
    <n v="2"/>
    <n v="15"/>
    <n v="19500"/>
    <x v="1"/>
    <n v="33150"/>
  </r>
  <r>
    <s v="T00026"/>
    <d v="2025-11-27T00:00:00"/>
    <s v="BR001"/>
    <s v="P014"/>
    <s v="C0202"/>
    <n v="2"/>
    <n v="5"/>
    <n v="285000"/>
    <x v="2"/>
    <n v="541500"/>
  </r>
  <r>
    <s v="T00223"/>
    <d v="2025-07-14T00:00:00"/>
    <s v="BR002"/>
    <s v="P017"/>
    <s v="C0117"/>
    <n v="1"/>
    <n v="0"/>
    <n v="24000"/>
    <x v="1"/>
    <n v="24000"/>
  </r>
  <r>
    <s v="T01361"/>
    <d v="2025-09-17T00:00:00"/>
    <s v="BR003"/>
    <s v="P024"/>
    <s v="C0043"/>
    <n v="1"/>
    <n v="0"/>
    <n v="245000"/>
    <x v="0"/>
    <n v="245000"/>
  </r>
  <r>
    <s v="T00106"/>
    <d v="2025-01-09T00:00:00"/>
    <s v="BR003"/>
    <s v="P014"/>
    <s v="C0040"/>
    <n v="1"/>
    <n v="0"/>
    <n v="285000"/>
    <x v="0"/>
    <n v="285000"/>
  </r>
  <r>
    <s v="T00659"/>
    <d v="2025-04-11T00:00:00"/>
    <s v="BR002"/>
    <s v="P011"/>
    <s v="C0086"/>
    <n v="1"/>
    <n v="10"/>
    <n v="74000"/>
    <x v="1"/>
    <n v="66600"/>
  </r>
  <r>
    <s v="T00510"/>
    <d v="2025-08-27T00:00:00"/>
    <s v="BR001"/>
    <s v="P015"/>
    <s v="C0140"/>
    <n v="1"/>
    <n v="0"/>
    <n v="15000"/>
    <x v="2"/>
    <n v="15000"/>
  </r>
  <r>
    <s v="T00132"/>
    <d v="2025-04-14T00:00:00"/>
    <s v="BR001"/>
    <s v="P025"/>
    <s v="C0139"/>
    <n v="1"/>
    <n v="0"/>
    <n v="175000"/>
    <x v="2"/>
    <n v="175000"/>
  </r>
  <r>
    <s v="T00900"/>
    <d v="2025-12-13T00:00:00"/>
    <s v="BR001"/>
    <s v="P009"/>
    <s v="C0114"/>
    <n v="2"/>
    <n v="5"/>
    <n v="265000"/>
    <x v="2"/>
    <n v="503500"/>
  </r>
  <r>
    <s v="T01239"/>
    <d v="2025-09-17T00:00:00"/>
    <s v="BR001"/>
    <s v="P021"/>
    <s v="C0198"/>
    <n v="2"/>
    <n v="0"/>
    <n v="6500"/>
    <x v="2"/>
    <n v="13000"/>
  </r>
  <r>
    <s v="T00509"/>
    <d v="2025-07-11T00:00:00"/>
    <s v="BR004"/>
    <s v="P002"/>
    <s v="C0072"/>
    <n v="1"/>
    <n v="20"/>
    <n v="320000"/>
    <x v="3"/>
    <n v="256000"/>
  </r>
  <r>
    <s v="T01129"/>
    <d v="2025-05-26T00:00:00"/>
    <s v="BR004"/>
    <s v="P018"/>
    <s v="C0189"/>
    <n v="1"/>
    <n v="0"/>
    <n v="18000"/>
    <x v="3"/>
    <n v="18000"/>
  </r>
  <r>
    <s v="T00076"/>
    <d v="2025-03-28T00:00:00"/>
    <s v="BR004"/>
    <s v="P019"/>
    <s v="C0165"/>
    <n v="2"/>
    <n v="0"/>
    <n v="21000"/>
    <x v="3"/>
    <n v="42000"/>
  </r>
  <r>
    <s v="T00037"/>
    <d v="2025-06-13T00:00:00"/>
    <s v="BR001"/>
    <s v="P003"/>
    <s v="C0112"/>
    <n v="2"/>
    <n v="0"/>
    <n v="45000"/>
    <x v="2"/>
    <n v="90000"/>
  </r>
  <r>
    <s v="T01238"/>
    <d v="2025-08-12T00:00:00"/>
    <s v="BR004"/>
    <s v="P023"/>
    <s v="C0016"/>
    <n v="1"/>
    <n v="0"/>
    <n v="195000"/>
    <x v="3"/>
    <n v="195000"/>
  </r>
  <r>
    <s v="T00058"/>
    <d v="2025-05-02T00:00:00"/>
    <s v="BR001"/>
    <s v="P012"/>
    <s v="C0102"/>
    <n v="2"/>
    <n v="0"/>
    <n v="28000"/>
    <x v="2"/>
    <n v="56000"/>
  </r>
  <r>
    <s v="T00197"/>
    <d v="2025-12-28T00:00:00"/>
    <s v="BR003"/>
    <s v="P010"/>
    <s v="C0033"/>
    <n v="1"/>
    <n v="10"/>
    <n v="62000"/>
    <x v="0"/>
    <n v="55800"/>
  </r>
  <r>
    <s v="T01372"/>
    <d v="2025-06-19T00:00:00"/>
    <s v="BR001"/>
    <s v="P017"/>
    <s v="C0106"/>
    <n v="1"/>
    <n v="10"/>
    <n v="24000"/>
    <x v="2"/>
    <n v="21600"/>
  </r>
  <r>
    <s v="T01301"/>
    <d v="2025-07-09T00:00:00"/>
    <s v="BR002"/>
    <s v="P021"/>
    <s v="C0105"/>
    <n v="1"/>
    <n v="15"/>
    <n v="6500"/>
    <x v="1"/>
    <n v="5525"/>
  </r>
  <r>
    <s v="T00587"/>
    <d v="2025-10-06T00:00:00"/>
    <s v="BR002"/>
    <s v="P022"/>
    <s v="C0166"/>
    <n v="1"/>
    <n v="0"/>
    <n v="5200"/>
    <x v="1"/>
    <n v="5200"/>
  </r>
  <r>
    <s v="T00478"/>
    <d v="2025-02-04T00:00:00"/>
    <s v="BR001"/>
    <s v="P023"/>
    <s v="C0206"/>
    <n v="1"/>
    <n v="15"/>
    <n v="195000"/>
    <x v="2"/>
    <n v="165750"/>
  </r>
  <r>
    <s v="T00087"/>
    <d v="2025-03-11T00:00:00"/>
    <s v="BR001"/>
    <s v="P012"/>
    <s v="C0065"/>
    <n v="1"/>
    <n v="15"/>
    <n v="28000"/>
    <x v="2"/>
    <n v="23800"/>
  </r>
  <r>
    <s v="T00335"/>
    <d v="2025-09-10T00:00:00"/>
    <s v="BR002"/>
    <s v="P017"/>
    <s v="C0036"/>
    <n v="1"/>
    <n v="0"/>
    <n v="24000"/>
    <x v="1"/>
    <n v="24000"/>
  </r>
  <r>
    <s v="T01118"/>
    <d v="2025-11-18T00:00:00"/>
    <s v="BR001"/>
    <s v="P019"/>
    <s v="C0107"/>
    <n v="1"/>
    <n v="0"/>
    <n v="21000"/>
    <x v="2"/>
    <n v="21000"/>
  </r>
  <r>
    <s v="T00719"/>
    <d v="2025-04-10T00:00:00"/>
    <s v="BR001"/>
    <s v="P001"/>
    <s v="C0202"/>
    <n v="1"/>
    <n v="0"/>
    <n v="185000"/>
    <x v="2"/>
    <n v="185000"/>
  </r>
  <r>
    <s v="T00790"/>
    <d v="2025-09-22T00:00:00"/>
    <s v="BR001"/>
    <s v="P024"/>
    <s v="C0201"/>
    <n v="2"/>
    <n v="0"/>
    <n v="245000"/>
    <x v="2"/>
    <n v="490000"/>
  </r>
  <r>
    <s v="T01090"/>
    <d v="2025-11-16T00:00:00"/>
    <s v="BR001"/>
    <s v="P005"/>
    <s v="C0190"/>
    <n v="1"/>
    <n v="10"/>
    <n v="95000"/>
    <x v="2"/>
    <n v="85500"/>
  </r>
  <r>
    <s v="T01095"/>
    <d v="2025-01-25T00:00:00"/>
    <s v="BR001"/>
    <s v="P019"/>
    <s v="C0197"/>
    <n v="1"/>
    <n v="0"/>
    <n v="21000"/>
    <x v="2"/>
    <n v="21000"/>
  </r>
  <r>
    <s v="T00539"/>
    <d v="2025-12-25T00:00:00"/>
    <s v="BR004"/>
    <s v="P010"/>
    <s v="C0012"/>
    <n v="1"/>
    <n v="5"/>
    <n v="62000"/>
    <x v="3"/>
    <n v="58900"/>
  </r>
  <r>
    <s v="T00673"/>
    <d v="2025-06-24T00:00:00"/>
    <s v="BR002"/>
    <s v="P017"/>
    <s v="C0182"/>
    <n v="1"/>
    <n v="5"/>
    <n v="24000"/>
    <x v="1"/>
    <n v="22800"/>
  </r>
  <r>
    <s v="T00419"/>
    <d v="2025-12-21T00:00:00"/>
    <s v="BR003"/>
    <s v="P003"/>
    <s v="C0134"/>
    <n v="1"/>
    <n v="10"/>
    <n v="45000"/>
    <x v="0"/>
    <n v="40500"/>
  </r>
  <r>
    <s v="T00831"/>
    <d v="2025-12-13T00:00:00"/>
    <s v="BR001"/>
    <s v="P017"/>
    <s v="C0036"/>
    <n v="1"/>
    <n v="0"/>
    <n v="24000"/>
    <x v="2"/>
    <n v="24000"/>
  </r>
  <r>
    <s v="T01314"/>
    <d v="2025-06-17T00:00:00"/>
    <s v="BR001"/>
    <s v="P011"/>
    <s v="C0142"/>
    <n v="3"/>
    <n v="0"/>
    <n v="74000"/>
    <x v="2"/>
    <n v="222000"/>
  </r>
  <r>
    <s v="T00993"/>
    <d v="2025-11-26T00:00:00"/>
    <s v="BR002"/>
    <s v="P016"/>
    <s v="C0128"/>
    <n v="1"/>
    <n v="0"/>
    <n v="19500"/>
    <x v="1"/>
    <n v="19500"/>
  </r>
  <r>
    <s v="T00718"/>
    <d v="2025-11-15T00:00:00"/>
    <s v="BR001"/>
    <s v="P018"/>
    <s v="C0148"/>
    <n v="1"/>
    <n v="20"/>
    <n v="18000"/>
    <x v="2"/>
    <n v="14400"/>
  </r>
  <r>
    <s v="T01191"/>
    <d v="2025-11-19T00:00:00"/>
    <s v="BR002"/>
    <s v="P010"/>
    <s v="C0112"/>
    <n v="2"/>
    <n v="0"/>
    <n v="62000"/>
    <x v="1"/>
    <n v="124000"/>
  </r>
  <r>
    <s v="T01024"/>
    <d v="2025-10-16T00:00:00"/>
    <s v="BR001"/>
    <s v="P002"/>
    <s v="C0164"/>
    <n v="2"/>
    <n v="0"/>
    <n v="320000"/>
    <x v="2"/>
    <n v="640000"/>
  </r>
  <r>
    <s v="T00768"/>
    <d v="2025-11-02T00:00:00"/>
    <s v="BR001"/>
    <s v="P006"/>
    <s v="C0143"/>
    <n v="1"/>
    <n v="10"/>
    <n v="78000"/>
    <x v="2"/>
    <n v="70200"/>
  </r>
  <r>
    <s v="T01302"/>
    <d v="2025-10-27T00:00:00"/>
    <s v="BR004"/>
    <s v="P016"/>
    <s v="C0057"/>
    <n v="5"/>
    <n v="5"/>
    <n v="19500"/>
    <x v="3"/>
    <n v="92625"/>
  </r>
  <r>
    <s v="T01032"/>
    <d v="2025-07-18T00:00:00"/>
    <s v="BR003"/>
    <s v="P014"/>
    <s v="C0150"/>
    <n v="1"/>
    <n v="0"/>
    <n v="285000"/>
    <x v="0"/>
    <n v="285000"/>
  </r>
  <r>
    <s v="T01028"/>
    <d v="2025-11-03T00:00:00"/>
    <s v="BR004"/>
    <s v="P012"/>
    <s v="C0041"/>
    <n v="1"/>
    <n v="20"/>
    <n v="28000"/>
    <x v="3"/>
    <n v="22400"/>
  </r>
  <r>
    <s v="T01135"/>
    <d v="2025-12-19T00:00:00"/>
    <s v="BR001"/>
    <s v="P005"/>
    <s v="C0199"/>
    <n v="2"/>
    <n v="15"/>
    <n v="95000"/>
    <x v="2"/>
    <n v="161500"/>
  </r>
  <r>
    <s v="T01103"/>
    <d v="2025-03-16T00:00:00"/>
    <s v="BR004"/>
    <s v="P022"/>
    <s v="C0220"/>
    <n v="2"/>
    <n v="15"/>
    <n v="5200"/>
    <x v="3"/>
    <n v="8840"/>
  </r>
  <r>
    <s v="T00009"/>
    <d v="2025-02-15T00:00:00"/>
    <s v="BR004"/>
    <s v="P008"/>
    <s v="C0089"/>
    <n v="1"/>
    <n v="0"/>
    <n v="410000"/>
    <x v="3"/>
    <n v="410000"/>
  </r>
  <r>
    <s v="T00811"/>
    <d v="2025-05-10T00:00:00"/>
    <s v="BR003"/>
    <s v="P011"/>
    <s v="C0189"/>
    <n v="1"/>
    <n v="0"/>
    <n v="74000"/>
    <x v="0"/>
    <n v="74000"/>
  </r>
  <r>
    <s v="T01269"/>
    <d v="2025-02-08T00:00:00"/>
    <s v="BR001"/>
    <s v="P015"/>
    <s v="C0151"/>
    <n v="1"/>
    <n v="0"/>
    <n v="15000"/>
    <x v="2"/>
    <n v="15000"/>
  </r>
  <r>
    <s v="T00700"/>
    <d v="2025-03-15T00:00:00"/>
    <s v="BR001"/>
    <s v="P025"/>
    <s v="C0202"/>
    <n v="1"/>
    <n v="5"/>
    <n v="175000"/>
    <x v="2"/>
    <n v="166250"/>
  </r>
  <r>
    <s v="T00884"/>
    <d v="2025-01-09T00:00:00"/>
    <s v="BR003"/>
    <s v="P015"/>
    <s v="C0067"/>
    <n v="1"/>
    <n v="0"/>
    <n v="15000"/>
    <x v="0"/>
    <n v="15000"/>
  </r>
  <r>
    <s v="T01062"/>
    <d v="2025-06-15T00:00:00"/>
    <s v="BR001"/>
    <s v="P017"/>
    <s v="C0075"/>
    <n v="1"/>
    <n v="0"/>
    <n v="24000"/>
    <x v="2"/>
    <n v="24000"/>
  </r>
  <r>
    <s v="T00075"/>
    <d v="2025-09-04T00:00:00"/>
    <s v="BR001"/>
    <s v="P022"/>
    <s v="C0004"/>
    <n v="1"/>
    <n v="15"/>
    <n v="5200"/>
    <x v="2"/>
    <n v="4420"/>
  </r>
  <r>
    <s v="T00748"/>
    <d v="2025-11-15T00:00:00"/>
    <s v="BR001"/>
    <s v="P023"/>
    <s v="C0171"/>
    <n v="3"/>
    <n v="0"/>
    <n v="195000"/>
    <x v="2"/>
    <n v="585000"/>
  </r>
  <r>
    <s v="T00523"/>
    <d v="2025-12-03T00:00:00"/>
    <s v="BR004"/>
    <s v="P014"/>
    <s v="C0215"/>
    <n v="2"/>
    <n v="0"/>
    <n v="285000"/>
    <x v="3"/>
    <n v="570000"/>
  </r>
  <r>
    <s v="T00336"/>
    <d v="2025-06-24T00:00:00"/>
    <s v="BR003"/>
    <s v="P011"/>
    <s v="C0109"/>
    <n v="2"/>
    <n v="0"/>
    <n v="74000"/>
    <x v="0"/>
    <n v="148000"/>
  </r>
  <r>
    <s v="T00570"/>
    <d v="2025-12-06T00:00:00"/>
    <s v="BR004"/>
    <s v="P001"/>
    <s v="C0124"/>
    <n v="1"/>
    <n v="5"/>
    <n v="185000"/>
    <x v="3"/>
    <n v="175750"/>
  </r>
  <r>
    <s v="T00089"/>
    <d v="2025-04-11T00:00:00"/>
    <s v="BR003"/>
    <s v="P010"/>
    <s v="C0097"/>
    <n v="3"/>
    <n v="5"/>
    <n v="62000"/>
    <x v="0"/>
    <n v="176700"/>
  </r>
  <r>
    <s v="T01153"/>
    <d v="2025-02-03T00:00:00"/>
    <s v="BR001"/>
    <s v="P002"/>
    <s v="C0047"/>
    <n v="1"/>
    <n v="0"/>
    <n v="320000"/>
    <x v="2"/>
    <n v="320000"/>
  </r>
  <r>
    <s v="T00218"/>
    <d v="2025-11-20T00:00:00"/>
    <s v="BR002"/>
    <s v="P015"/>
    <s v="C0161"/>
    <n v="2"/>
    <n v="0"/>
    <n v="15000"/>
    <x v="1"/>
    <n v="30000"/>
  </r>
  <r>
    <s v="T01055"/>
    <d v="2025-11-17T00:00:00"/>
    <s v="BR002"/>
    <s v="P022"/>
    <s v="C0163"/>
    <n v="1"/>
    <n v="30"/>
    <n v="5200"/>
    <x v="1"/>
    <n v="3639.9999999999995"/>
  </r>
  <r>
    <s v="T00174"/>
    <d v="2025-10-02T00:00:00"/>
    <s v="BR002"/>
    <s v="P013"/>
    <s v="C0085"/>
    <n v="1"/>
    <n v="0"/>
    <n v="22000"/>
    <x v="1"/>
    <n v="22000"/>
  </r>
  <r>
    <s v="T00937"/>
    <d v="2025-05-14T00:00:00"/>
    <s v="BR004"/>
    <s v="P007"/>
    <s v="C0180"/>
    <n v="1"/>
    <n v="10"/>
    <n v="145000"/>
    <x v="3"/>
    <n v="130500"/>
  </r>
  <r>
    <s v="T00916"/>
    <d v="2025-07-05T00:00:00"/>
    <s v="BR004"/>
    <s v="P018"/>
    <s v="C0201"/>
    <n v="3"/>
    <n v="10"/>
    <n v="18000"/>
    <x v="3"/>
    <n v="48600"/>
  </r>
  <r>
    <s v="T00320"/>
    <d v="2025-03-24T00:00:00"/>
    <s v="BR001"/>
    <s v="P007"/>
    <s v="C0138"/>
    <n v="1"/>
    <n v="10"/>
    <n v="145000"/>
    <x v="2"/>
    <n v="130500"/>
  </r>
  <r>
    <s v="T01224"/>
    <d v="2025-06-14T00:00:00"/>
    <s v="BR001"/>
    <s v="P002"/>
    <s v="C0091"/>
    <n v="1"/>
    <n v="0"/>
    <n v="320000"/>
    <x v="2"/>
    <n v="320000"/>
  </r>
  <r>
    <s v="T00701"/>
    <d v="2025-09-25T00:00:00"/>
    <s v="BR003"/>
    <s v="P005"/>
    <s v="C0132"/>
    <n v="1"/>
    <n v="0"/>
    <n v="95000"/>
    <x v="0"/>
    <n v="95000"/>
  </r>
  <r>
    <s v="T00267"/>
    <d v="2025-01-12T00:00:00"/>
    <s v="BR001"/>
    <s v="P009"/>
    <s v="C0158"/>
    <n v="2"/>
    <n v="10"/>
    <n v="265000"/>
    <x v="2"/>
    <n v="477000"/>
  </r>
  <r>
    <s v="T00007"/>
    <s v="23/06/2025"/>
    <s v="BR002"/>
    <s v="P010"/>
    <s v="C0214"/>
    <n v="2"/>
    <n v="0"/>
    <n v="62000"/>
    <x v="1"/>
    <n v="124000"/>
  </r>
  <r>
    <s v="T00139"/>
    <d v="2025-08-07T00:00:00"/>
    <s v="BR001"/>
    <s v="P005"/>
    <s v="C0199"/>
    <n v="2"/>
    <n v="15"/>
    <n v="95000"/>
    <x v="2"/>
    <n v="161500"/>
  </r>
  <r>
    <s v="T00164"/>
    <d v="2025-12-18T00:00:00"/>
    <s v="BR003"/>
    <s v="P010"/>
    <s v="C0068"/>
    <n v="1"/>
    <n v="30"/>
    <n v="62000"/>
    <x v="0"/>
    <n v="43400"/>
  </r>
  <r>
    <s v="T01315"/>
    <d v="2025-12-13T00:00:00"/>
    <s v="BR001"/>
    <s v="P017"/>
    <s v="C0011"/>
    <n v="5"/>
    <n v="15"/>
    <n v="24000"/>
    <x v="2"/>
    <n v="102000"/>
  </r>
  <r>
    <s v="T01319"/>
    <d v="2025-05-23T00:00:00"/>
    <s v="BR003"/>
    <s v="P009"/>
    <s v="C0186"/>
    <n v="1"/>
    <n v="10"/>
    <n v="265000"/>
    <x v="0"/>
    <n v="238500"/>
  </r>
  <r>
    <s v="T01026"/>
    <d v="2025-09-09T00:00:00"/>
    <s v="BR001"/>
    <s v="P001"/>
    <s v="C0065"/>
    <n v="2"/>
    <n v="25"/>
    <n v="185000"/>
    <x v="2"/>
    <n v="277500"/>
  </r>
  <r>
    <s v="T01017"/>
    <d v="2025-12-14T00:00:00"/>
    <s v="BR003"/>
    <s v="P017"/>
    <s v="C0111"/>
    <n v="1"/>
    <n v="10"/>
    <n v="24000"/>
    <x v="0"/>
    <n v="21600"/>
  </r>
  <r>
    <s v="T00524"/>
    <d v="2025-06-03T00:00:00"/>
    <s v="BR002"/>
    <s v="P025"/>
    <s v="C0131"/>
    <n v="1"/>
    <n v="10"/>
    <n v="175000"/>
    <x v="1"/>
    <n v="157500"/>
  </r>
  <r>
    <s v="T00774"/>
    <d v="2025-01-18T00:00:00"/>
    <s v="BR004"/>
    <s v="P019"/>
    <s v="C0114"/>
    <n v="2"/>
    <n v="0"/>
    <n v="21000"/>
    <x v="3"/>
    <n v="42000"/>
  </r>
  <r>
    <s v="T01089"/>
    <d v="2025-03-06T00:00:00"/>
    <s v="BR002"/>
    <s v="P004"/>
    <s v="C0218"/>
    <n v="1"/>
    <n v="0"/>
    <n v="38000"/>
    <x v="1"/>
    <n v="38000"/>
  </r>
  <r>
    <s v="T00579"/>
    <d v="2025-09-24T00:00:00"/>
    <s v="BR003"/>
    <s v="P006"/>
    <s v="C0023"/>
    <n v="1"/>
    <n v="0"/>
    <n v="78000"/>
    <x v="0"/>
    <n v="78000"/>
  </r>
  <r>
    <s v="T00672"/>
    <d v="2025-07-10T00:00:00"/>
    <s v="BR003"/>
    <s v="P009"/>
    <s v="C0178"/>
    <n v="1"/>
    <n v="5"/>
    <n v="265000"/>
    <x v="0"/>
    <n v="251750"/>
  </r>
  <r>
    <s v="T00020"/>
    <d v="2025-08-04T00:00:00"/>
    <s v="BR003"/>
    <s v="P006"/>
    <s v="C0114"/>
    <n v="1"/>
    <n v="0"/>
    <n v="78000"/>
    <x v="0"/>
    <n v="78000"/>
  </r>
  <r>
    <s v="T01190"/>
    <d v="2025-04-19T00:00:00"/>
    <s v="BR001"/>
    <s v="P022"/>
    <s v="C0159"/>
    <n v="2"/>
    <n v="0"/>
    <n v="5200"/>
    <x v="2"/>
    <n v="10400"/>
  </r>
  <r>
    <s v="T00670"/>
    <d v="2025-12-03T00:00:00"/>
    <s v="BR002"/>
    <s v="P014"/>
    <s v="C0026"/>
    <n v="1"/>
    <n v="25"/>
    <n v="285000"/>
    <x v="1"/>
    <n v="213750"/>
  </r>
  <r>
    <s v="T00680"/>
    <d v="2025-09-07T00:00:00"/>
    <s v="BR002"/>
    <s v="P006"/>
    <s v="C0057"/>
    <n v="2"/>
    <n v="5"/>
    <n v="78000"/>
    <x v="1"/>
    <n v="148200"/>
  </r>
  <r>
    <s v="T00714"/>
    <d v="2025-02-05T00:00:00"/>
    <s v="BR003"/>
    <s v="P004"/>
    <s v="C0038"/>
    <n v="1"/>
    <n v="0"/>
    <n v="38000"/>
    <x v="0"/>
    <n v="38000"/>
  </r>
  <r>
    <s v="T00138"/>
    <d v="2025-02-13T00:00:00"/>
    <s v="BR004"/>
    <s v="P009"/>
    <s v="C0088"/>
    <n v="1"/>
    <n v="0"/>
    <n v="265000"/>
    <x v="3"/>
    <n v="265000"/>
  </r>
  <r>
    <s v="T00558"/>
    <d v="2025-03-26T00:00:00"/>
    <s v="BR003"/>
    <s v="P010"/>
    <s v="C0064"/>
    <n v="1"/>
    <n v="0"/>
    <n v="62000"/>
    <x v="0"/>
    <n v="62000"/>
  </r>
  <r>
    <s v="T01150"/>
    <d v="2025-05-03T00:00:00"/>
    <s v="BR004"/>
    <s v="P005"/>
    <s v="C0128"/>
    <n v="2"/>
    <n v="25"/>
    <n v="95000"/>
    <x v="3"/>
    <n v="142500"/>
  </r>
  <r>
    <s v="T00634"/>
    <d v="2025-12-05T00:00:00"/>
    <s v="BR003"/>
    <s v="P011"/>
    <s v="C0098"/>
    <n v="1"/>
    <n v="5"/>
    <n v="74000"/>
    <x v="0"/>
    <n v="70300"/>
  </r>
  <r>
    <s v="T00753"/>
    <d v="2025-12-21T00:00:00"/>
    <s v="BR001"/>
    <s v="P003"/>
    <s v="C0164"/>
    <n v="1"/>
    <n v="0"/>
    <n v="45000"/>
    <x v="2"/>
    <n v="45000"/>
  </r>
  <r>
    <s v="T01023"/>
    <d v="2025-05-23T00:00:00"/>
    <s v="BR002"/>
    <s v="P016"/>
    <s v="C0185"/>
    <n v="1"/>
    <n v="0"/>
    <n v="19500"/>
    <x v="1"/>
    <n v="19500"/>
  </r>
  <r>
    <s v="T00369"/>
    <d v="2025-12-20T00:00:00"/>
    <s v="BR004"/>
    <s v="P024"/>
    <s v="C0054"/>
    <n v="1"/>
    <n v="0"/>
    <n v="245000"/>
    <x v="3"/>
    <n v="245000"/>
  </r>
  <r>
    <s v="T01323"/>
    <d v="2025-01-20T00:00:00"/>
    <s v="BR001"/>
    <s v="P015"/>
    <s v="C0157"/>
    <n v="1"/>
    <n v="0"/>
    <n v="15000"/>
    <x v="2"/>
    <n v="15000"/>
  </r>
  <r>
    <s v="T00732"/>
    <d v="2025-11-28T00:00:00"/>
    <s v="BR004"/>
    <s v="P017"/>
    <s v="C0011"/>
    <n v="1"/>
    <n v="20"/>
    <n v="24000"/>
    <x v="3"/>
    <n v="19200"/>
  </r>
  <r>
    <s v="T00328"/>
    <d v="2025-02-17T00:00:00"/>
    <s v="BR003"/>
    <s v="P017"/>
    <s v="C0066"/>
    <n v="1"/>
    <n v="0"/>
    <n v="24000"/>
    <x v="0"/>
    <n v="24000"/>
  </r>
  <r>
    <s v="T00318"/>
    <d v="2025-04-10T00:00:00"/>
    <s v="BR002"/>
    <s v="P015"/>
    <s v="C0026"/>
    <n v="1"/>
    <n v="0"/>
    <n v="15000"/>
    <x v="1"/>
    <n v="15000"/>
  </r>
  <r>
    <s v="T01071"/>
    <d v="2025-12-02T00:00:00"/>
    <s v="BR003"/>
    <s v="P003"/>
    <s v="C0159"/>
    <n v="2"/>
    <n v="10"/>
    <n v="45000"/>
    <x v="0"/>
    <n v="81000"/>
  </r>
  <r>
    <s v="T01039"/>
    <d v="2025-11-10T00:00:00"/>
    <s v="BR001"/>
    <s v="P019"/>
    <s v="C0027"/>
    <n v="1"/>
    <n v="5"/>
    <n v="21000"/>
    <x v="2"/>
    <n v="19950"/>
  </r>
  <r>
    <s v="T00529"/>
    <d v="2025-12-12T00:00:00"/>
    <s v="BR001"/>
    <s v="P012"/>
    <s v="C0143"/>
    <n v="5"/>
    <n v="15"/>
    <n v="28000"/>
    <x v="2"/>
    <n v="119000"/>
  </r>
  <r>
    <s v="T00527"/>
    <d v="2025-09-24T00:00:00"/>
    <s v="BR002"/>
    <s v="P008"/>
    <s v="C0171"/>
    <n v="2"/>
    <n v="5"/>
    <n v="410000"/>
    <x v="1"/>
    <n v="779000"/>
  </r>
  <r>
    <s v="T00088"/>
    <d v="2025-07-09T00:00:00"/>
    <s v="BR001"/>
    <s v="P011"/>
    <s v="C0031"/>
    <n v="2"/>
    <n v="0"/>
    <n v="74000"/>
    <x v="2"/>
    <n v="148000"/>
  </r>
  <r>
    <s v="T00480"/>
    <d v="2025-12-15T00:00:00"/>
    <s v="BR003"/>
    <s v="P017"/>
    <s v="C0207"/>
    <n v="1"/>
    <n v="0"/>
    <n v="24000"/>
    <x v="0"/>
    <n v="24000"/>
  </r>
  <r>
    <s v="T00339"/>
    <d v="2025-11-26T00:00:00"/>
    <s v="BR003"/>
    <s v="P011"/>
    <s v="C0069"/>
    <n v="2"/>
    <n v="15"/>
    <n v="74000"/>
    <x v="0"/>
    <n v="125800"/>
  </r>
  <r>
    <s v="T00665"/>
    <d v="2025-02-03T00:00:00"/>
    <s v="BR004"/>
    <s v="P009"/>
    <s v="C0205"/>
    <n v="1"/>
    <n v="5"/>
    <n v="265000"/>
    <x v="3"/>
    <n v="251750"/>
  </r>
  <r>
    <s v="T00149"/>
    <d v="2025-02-28T00:00:00"/>
    <s v="BR004"/>
    <s v="P016"/>
    <s v="C0022"/>
    <n v="1"/>
    <n v="10"/>
    <n v="19500"/>
    <x v="3"/>
    <n v="17550"/>
  </r>
  <r>
    <s v="T01381"/>
    <d v="2025-05-14T00:00:00"/>
    <s v="BR001"/>
    <s v="P012"/>
    <s v="C0192"/>
    <n v="1"/>
    <n v="5"/>
    <n v="28000"/>
    <x v="2"/>
    <n v="26600"/>
  </r>
  <r>
    <s v="T01297"/>
    <s v="13/11/2025"/>
    <s v="BR004"/>
    <s v="P006"/>
    <s v="C0072"/>
    <n v="2"/>
    <n v="25"/>
    <n v="78000"/>
    <x v="3"/>
    <n v="117000"/>
  </r>
  <r>
    <s v="T00029"/>
    <d v="2025-11-20T00:00:00"/>
    <s v="BR002"/>
    <s v="P021"/>
    <s v="C0117"/>
    <n v="1"/>
    <n v="30"/>
    <n v="6500"/>
    <x v="1"/>
    <n v="4550"/>
  </r>
  <r>
    <s v="T00247"/>
    <d v="2025-01-28T00:00:00"/>
    <s v="BR004"/>
    <s v="P005"/>
    <s v="C0116"/>
    <n v="1"/>
    <n v="0"/>
    <n v="95000"/>
    <x v="3"/>
    <n v="95000"/>
  </r>
  <r>
    <s v="T00366"/>
    <d v="2025-08-01T00:00:00"/>
    <s v="BR002"/>
    <s v="P020"/>
    <s v="C0209"/>
    <n v="1"/>
    <n v="0"/>
    <n v="8500"/>
    <x v="1"/>
    <n v="8500"/>
  </r>
  <r>
    <s v="T00667"/>
    <d v="2025-11-08T00:00:00"/>
    <s v="BR003"/>
    <s v="P010"/>
    <s v="C0083"/>
    <n v="1"/>
    <n v="5"/>
    <n v="62000"/>
    <x v="0"/>
    <n v="58900"/>
  </r>
  <r>
    <s v="T01059"/>
    <d v="2025-11-05T00:00:00"/>
    <s v="BR001"/>
    <s v="P003"/>
    <s v="C0210"/>
    <n v="1"/>
    <n v="10"/>
    <n v="45000"/>
    <x v="2"/>
    <n v="40500"/>
  </r>
  <r>
    <s v="T00199"/>
    <d v="2025-12-16T00:00:00"/>
    <s v="BR004"/>
    <s v="P025"/>
    <s v="C0012"/>
    <n v="1"/>
    <n v="5"/>
    <n v="175000"/>
    <x v="3"/>
    <n v="166250"/>
  </r>
  <r>
    <s v="T01341"/>
    <d v="2025-03-16T00:00:00"/>
    <s v="BR002"/>
    <s v="P024"/>
    <s v="C0035"/>
    <n v="2"/>
    <n v="15"/>
    <n v="245000"/>
    <x v="1"/>
    <n v="416500"/>
  </r>
  <r>
    <s v="T01112"/>
    <d v="2025-08-26T00:00:00"/>
    <s v="BR001"/>
    <s v="P013"/>
    <s v="C0199"/>
    <n v="1"/>
    <n v="0"/>
    <n v="22000"/>
    <x v="2"/>
    <n v="22000"/>
  </r>
  <r>
    <s v="T00405"/>
    <d v="2025-05-15T00:00:00"/>
    <s v="BR004"/>
    <s v="P016"/>
    <s v="C0044"/>
    <n v="2"/>
    <n v="0"/>
    <n v="19500"/>
    <x v="3"/>
    <n v="39000"/>
  </r>
  <r>
    <s v="T00972"/>
    <d v="2025-11-01T00:00:00"/>
    <s v="BR002"/>
    <s v="P004"/>
    <s v="C0004"/>
    <n v="1"/>
    <n v="5"/>
    <n v="38000"/>
    <x v="1"/>
    <n v="36100"/>
  </r>
  <r>
    <s v="T00484"/>
    <d v="2025-11-05T00:00:00"/>
    <s v="BR002"/>
    <s v="P013"/>
    <s v="C0046"/>
    <n v="1"/>
    <n v="5"/>
    <n v="22000"/>
    <x v="1"/>
    <n v="20900"/>
  </r>
  <r>
    <s v="T00159"/>
    <d v="2025-12-28T00:00:00"/>
    <s v="BR001"/>
    <s v="P004"/>
    <s v="C0168"/>
    <n v="2"/>
    <n v="0"/>
    <n v="38000"/>
    <x v="2"/>
    <n v="76000"/>
  </r>
  <r>
    <s v="T00316"/>
    <d v="2025-04-24T00:00:00"/>
    <s v="BR003"/>
    <s v="P011"/>
    <s v="C0092"/>
    <n v="1"/>
    <n v="10"/>
    <n v="74000"/>
    <x v="0"/>
    <n v="66600"/>
  </r>
  <r>
    <s v="T00257"/>
    <d v="2025-02-09T00:00:00"/>
    <s v="BR004"/>
    <s v="P003"/>
    <s v="C0183"/>
    <n v="1"/>
    <n v="10"/>
    <n v="45000"/>
    <x v="3"/>
    <n v="40500"/>
  </r>
  <r>
    <s v="T00008"/>
    <d v="2025-09-28T00:00:00"/>
    <s v="BR002"/>
    <s v="P006"/>
    <s v="C0040"/>
    <n v="1"/>
    <n v="10"/>
    <n v="78000"/>
    <x v="1"/>
    <n v="70200"/>
  </r>
  <r>
    <s v="T01127"/>
    <d v="2025-10-08T00:00:00"/>
    <s v="BR001"/>
    <s v="P024"/>
    <s v="C0145"/>
    <n v="1"/>
    <n v="0"/>
    <n v="245000"/>
    <x v="2"/>
    <n v="245000"/>
  </r>
  <r>
    <s v="T00385"/>
    <d v="2025-01-08T00:00:00"/>
    <s v="BR001"/>
    <s v="P008"/>
    <s v="C0021"/>
    <n v="2"/>
    <n v="0"/>
    <n v="410000"/>
    <x v="2"/>
    <n v="820000"/>
  </r>
  <r>
    <s v="T00178"/>
    <d v="2025-01-26T00:00:00"/>
    <s v="BR001"/>
    <s v="P022"/>
    <s v="C0068"/>
    <n v="2"/>
    <n v="10"/>
    <n v="5200"/>
    <x v="2"/>
    <n v="9360"/>
  </r>
  <r>
    <s v="T00869"/>
    <d v="2025-06-05T00:00:00"/>
    <s v="BR002"/>
    <s v="P016"/>
    <s v="C0008"/>
    <n v="1"/>
    <n v="15"/>
    <n v="19500"/>
    <x v="1"/>
    <n v="16575"/>
  </r>
  <r>
    <s v="T00315"/>
    <d v="2025-12-19T00:00:00"/>
    <s v="BR001"/>
    <s v="P023"/>
    <s v="C0020"/>
    <n v="5"/>
    <n v="5"/>
    <n v="195000"/>
    <x v="2"/>
    <n v="926250"/>
  </r>
  <r>
    <s v="T00358"/>
    <d v="2025-09-24T00:00:00"/>
    <s v="BR003"/>
    <s v="P002"/>
    <s v="C0197"/>
    <n v="2"/>
    <n v="0"/>
    <n v="320000"/>
    <x v="0"/>
    <n v="640000"/>
  </r>
  <r>
    <s v="T00299"/>
    <d v="2025-04-26T00:00:00"/>
    <s v="BR004"/>
    <s v="P009"/>
    <s v="C0199"/>
    <n v="1"/>
    <n v="10"/>
    <n v="265000"/>
    <x v="3"/>
    <n v="238500"/>
  </r>
  <r>
    <s v="T00456"/>
    <d v="2025-12-24T00:00:00"/>
    <s v="BR004"/>
    <s v="P015"/>
    <s v="C0132"/>
    <n v="1"/>
    <n v="5"/>
    <n v="15000"/>
    <x v="3"/>
    <n v="14250"/>
  </r>
  <r>
    <s v="T00544"/>
    <d v="2025-02-10T00:00:00"/>
    <s v="BR004"/>
    <s v="P024"/>
    <s v="C0194"/>
    <n v="1"/>
    <n v="0"/>
    <n v="245000"/>
    <x v="3"/>
    <n v="245000"/>
  </r>
  <r>
    <s v="T01065"/>
    <d v="2025-05-03T00:00:00"/>
    <s v="BR003"/>
    <s v="P001"/>
    <s v="C0214"/>
    <n v="2"/>
    <n v="0"/>
    <n v="185000"/>
    <x v="0"/>
    <n v="370000"/>
  </r>
  <r>
    <s v="T00741"/>
    <d v="2025-12-19T00:00:00"/>
    <s v="BR001"/>
    <s v="P019"/>
    <s v="C0068"/>
    <n v="3"/>
    <n v="10"/>
    <n v="21000"/>
    <x v="2"/>
    <n v="56700"/>
  </r>
  <r>
    <s v="T00528"/>
    <d v="2025-09-24T00:00:00"/>
    <s v="BR003"/>
    <s v="P022"/>
    <s v="C0101"/>
    <n v="1"/>
    <n v="0"/>
    <n v="5200"/>
    <x v="0"/>
    <n v="5200"/>
  </r>
  <r>
    <s v="T01175"/>
    <d v="2025-01-17T00:00:00"/>
    <s v="BR001"/>
    <s v="P007"/>
    <s v="C0027"/>
    <n v="1"/>
    <n v="0"/>
    <n v="145000"/>
    <x v="2"/>
    <n v="145000"/>
  </r>
  <r>
    <s v="T00160"/>
    <d v="2025-05-15T00:00:00"/>
    <s v="BR004"/>
    <s v="P013"/>
    <s v="C0163"/>
    <n v="1"/>
    <n v="0"/>
    <n v="22000"/>
    <x v="3"/>
    <n v="22000"/>
  </r>
  <r>
    <s v="T01169"/>
    <d v="2025-04-17T00:00:00"/>
    <s v="BR001"/>
    <s v="P014"/>
    <s v="C0172"/>
    <n v="1"/>
    <n v="10"/>
    <n v="285000"/>
    <x v="2"/>
    <n v="256500"/>
  </r>
  <r>
    <s v="T00361"/>
    <d v="2025-11-19T00:00:00"/>
    <s v="BR004"/>
    <s v="P014"/>
    <s v="C0057"/>
    <n v="1"/>
    <n v="5"/>
    <n v="285000"/>
    <x v="3"/>
    <n v="270750"/>
  </r>
  <r>
    <s v="T01237"/>
    <d v="2025-06-25T00:00:00"/>
    <s v="BR001"/>
    <s v="P021"/>
    <s v="C0004"/>
    <n v="1"/>
    <n v="0"/>
    <n v="6500"/>
    <x v="2"/>
    <n v="6500"/>
  </r>
  <r>
    <s v="T00203"/>
    <d v="2025-01-13T00:00:00"/>
    <s v="BR003"/>
    <s v="P013"/>
    <s v="C0149"/>
    <n v="1"/>
    <n v="0"/>
    <n v="22000"/>
    <x v="0"/>
    <n v="22000"/>
  </r>
  <r>
    <s v="T00872"/>
    <d v="2025-10-21T00:00:00"/>
    <s v="BR002"/>
    <s v="P013"/>
    <s v="C0093"/>
    <n v="1"/>
    <n v="0"/>
    <n v="22000"/>
    <x v="1"/>
    <n v="22000"/>
  </r>
  <r>
    <s v="T00681"/>
    <d v="2025-01-25T00:00:00"/>
    <s v="BR004"/>
    <s v="P008"/>
    <s v="C0210"/>
    <n v="2"/>
    <n v="15"/>
    <n v="410000"/>
    <x v="3"/>
    <n v="697000"/>
  </r>
  <r>
    <s v="T00113"/>
    <d v="2025-12-21T00:00:00"/>
    <s v="BR004"/>
    <s v="P017"/>
    <s v="C0220"/>
    <n v="2"/>
    <n v="10"/>
    <n v="24000"/>
    <x v="3"/>
    <n v="43200"/>
  </r>
  <r>
    <s v="T00780"/>
    <d v="2025-01-20T00:00:00"/>
    <s v="BR001"/>
    <s v="P023"/>
    <s v="C0077"/>
    <n v="1"/>
    <n v="5"/>
    <n v="195000"/>
    <x v="2"/>
    <n v="185250"/>
  </r>
  <r>
    <s v="T00308"/>
    <d v="2025-11-22T00:00:00"/>
    <s v="BR002"/>
    <s v="P011"/>
    <s v="C0201"/>
    <n v="2"/>
    <n v="15"/>
    <n v="74000"/>
    <x v="1"/>
    <n v="125800"/>
  </r>
  <r>
    <s v="T00740"/>
    <d v="2025-09-26T00:00:00"/>
    <s v="BR004"/>
    <s v="P010"/>
    <s v="C0081"/>
    <n v="1"/>
    <n v="5"/>
    <n v="62000"/>
    <x v="3"/>
    <n v="58900"/>
  </r>
  <r>
    <s v="T00423"/>
    <d v="2025-11-11T00:00:00"/>
    <s v="BR004"/>
    <s v="P023"/>
    <s v="C0088"/>
    <n v="1"/>
    <n v="15"/>
    <n v="195000"/>
    <x v="3"/>
    <n v="165750"/>
  </r>
  <r>
    <s v="T00692"/>
    <d v="2025-08-20T00:00:00"/>
    <s v="BR004"/>
    <s v="P008"/>
    <s v="C0084"/>
    <n v="1"/>
    <n v="5"/>
    <n v="410000"/>
    <x v="3"/>
    <n v="389500"/>
  </r>
  <r>
    <s v="T01042"/>
    <d v="2025-12-06T00:00:00"/>
    <s v="BR003"/>
    <s v="P025"/>
    <s v="C0120"/>
    <n v="1"/>
    <n v="15"/>
    <n v="175000"/>
    <x v="0"/>
    <n v="148750"/>
  </r>
  <r>
    <s v="T00826"/>
    <d v="2025-06-22T00:00:00"/>
    <s v="BR001"/>
    <s v="P004"/>
    <s v="C0134"/>
    <n v="1"/>
    <n v="0"/>
    <n v="38000"/>
    <x v="2"/>
    <n v="38000"/>
  </r>
  <r>
    <s v="T00460"/>
    <d v="2025-12-15T00:00:00"/>
    <s v="BR004"/>
    <s v="P025"/>
    <s v="C0179"/>
    <n v="1"/>
    <n v="10"/>
    <n v="175000"/>
    <x v="3"/>
    <n v="157500"/>
  </r>
  <r>
    <s v="T01051"/>
    <d v="2025-11-03T00:00:00"/>
    <s v="BR001"/>
    <s v="P012"/>
    <s v="C0102"/>
    <n v="5"/>
    <n v="10"/>
    <n v="28000"/>
    <x v="2"/>
    <n v="126000"/>
  </r>
  <r>
    <s v="T01215"/>
    <d v="2025-10-10T00:00:00"/>
    <s v="BR002"/>
    <s v="P015"/>
    <s v="C0039"/>
    <n v="2"/>
    <n v="5"/>
    <n v="15000"/>
    <x v="1"/>
    <n v="28500"/>
  </r>
  <r>
    <s v="T00717"/>
    <d v="2025-02-16T00:00:00"/>
    <s v="BR003"/>
    <s v="P011"/>
    <s v="C0038"/>
    <n v="1"/>
    <n v="0"/>
    <n v="74000"/>
    <x v="0"/>
    <n v="74000"/>
  </r>
  <r>
    <s v="T00802"/>
    <d v="2025-12-27T00:00:00"/>
    <s v="BR001"/>
    <s v="P010"/>
    <s v="C0053"/>
    <n v="1"/>
    <n v="10"/>
    <n v="62000"/>
    <x v="2"/>
    <n v="55800"/>
  </r>
  <r>
    <s v="T00450"/>
    <d v="2025-12-12T00:00:00"/>
    <s v="BR001"/>
    <s v="P004"/>
    <s v="C0185"/>
    <n v="1"/>
    <n v="10"/>
    <n v="38000"/>
    <x v="2"/>
    <n v="34200"/>
  </r>
  <r>
    <s v="T01263"/>
    <d v="2025-06-16T00:00:00"/>
    <s v="BR001"/>
    <s v="P016"/>
    <s v="C0091"/>
    <n v="1"/>
    <n v="20"/>
    <n v="19500"/>
    <x v="2"/>
    <n v="15600"/>
  </r>
  <r>
    <s v="T00081"/>
    <d v="2025-03-16T00:00:00"/>
    <s v="BR003"/>
    <s v="P005"/>
    <s v="C0109"/>
    <n v="2"/>
    <n v="10"/>
    <n v="95000"/>
    <x v="0"/>
    <n v="171000"/>
  </r>
  <r>
    <s v="T01227"/>
    <d v="2025-03-07T00:00:00"/>
    <s v="BR002"/>
    <s v="P001"/>
    <s v="C0131"/>
    <n v="2"/>
    <n v="0"/>
    <n v="185000"/>
    <x v="1"/>
    <n v="370000"/>
  </r>
  <r>
    <s v="T01340"/>
    <d v="2025-10-10T00:00:00"/>
    <s v="BR001"/>
    <s v="P013"/>
    <s v="C0068"/>
    <n v="1"/>
    <n v="0"/>
    <n v="22000"/>
    <x v="2"/>
    <n v="22000"/>
  </r>
  <r>
    <s v="T00216"/>
    <d v="2025-08-18T00:00:00"/>
    <s v="BR001"/>
    <s v="P016"/>
    <s v="C0060"/>
    <n v="1"/>
    <n v="0"/>
    <n v="19500"/>
    <x v="2"/>
    <n v="19500"/>
  </r>
  <r>
    <s v="T00833"/>
    <d v="2025-12-06T00:00:00"/>
    <s v="BR001"/>
    <s v="P011"/>
    <s v="C0159"/>
    <n v="2"/>
    <n v="30"/>
    <n v="74000"/>
    <x v="2"/>
    <n v="103600"/>
  </r>
  <r>
    <s v="T00031"/>
    <d v="2025-10-10T00:00:00"/>
    <s v="BR003"/>
    <s v="P024"/>
    <s v="C0182"/>
    <n v="1"/>
    <n v="0"/>
    <n v="245000"/>
    <x v="0"/>
    <n v="245000"/>
  </r>
  <r>
    <s v="T00243"/>
    <d v="2025-09-06T00:00:00"/>
    <s v="BR002"/>
    <s v="P001"/>
    <s v="C0179"/>
    <n v="1"/>
    <n v="0"/>
    <n v="185000"/>
    <x v="1"/>
    <n v="185000"/>
  </r>
  <r>
    <s v="T00857"/>
    <d v="2025-11-19T00:00:00"/>
    <s v="BR004"/>
    <s v="P025"/>
    <s v="C0187"/>
    <n v="2"/>
    <n v="5"/>
    <n v="175000"/>
    <x v="3"/>
    <n v="332500"/>
  </r>
  <r>
    <s v="T00642"/>
    <d v="2025-03-13T00:00:00"/>
    <s v="BR001"/>
    <s v="P015"/>
    <s v="C0020"/>
    <n v="1"/>
    <n v="10"/>
    <n v="15000"/>
    <x v="2"/>
    <n v="13500"/>
  </r>
  <r>
    <s v="T00210"/>
    <d v="2025-04-11T00:00:00"/>
    <s v="BR002"/>
    <s v="P009"/>
    <s v="C0042"/>
    <n v="2"/>
    <n v="15"/>
    <n v="265000"/>
    <x v="1"/>
    <n v="450500"/>
  </r>
  <r>
    <s v="T00729"/>
    <d v="2025-11-27T00:00:00"/>
    <s v="BR001"/>
    <s v="P014"/>
    <s v="C0171"/>
    <n v="1"/>
    <n v="0"/>
    <n v="285000"/>
    <x v="2"/>
    <n v="285000"/>
  </r>
  <r>
    <s v="T00436"/>
    <d v="2025-08-20T00:00:00"/>
    <s v="BR004"/>
    <s v="P010"/>
    <s v="C0151"/>
    <n v="1"/>
    <n v="5"/>
    <n v="62000"/>
    <x v="3"/>
    <n v="58900"/>
  </r>
  <r>
    <s v="T00947"/>
    <d v="2025-12-19T00:00:00"/>
    <s v="BR003"/>
    <s v="P024"/>
    <s v="C0099"/>
    <n v="1"/>
    <n v="0"/>
    <n v="245000"/>
    <x v="0"/>
    <n v="245000"/>
  </r>
  <r>
    <s v="T01316"/>
    <d v="2025-11-02T00:00:00"/>
    <s v="BR002"/>
    <s v="P018"/>
    <s v="C0108"/>
    <n v="2"/>
    <n v="0"/>
    <n v="18000"/>
    <x v="1"/>
    <n v="36000"/>
  </r>
  <r>
    <s v="T01287"/>
    <d v="2025-04-25T00:00:00"/>
    <s v="BR003"/>
    <s v="P002"/>
    <s v="C0220"/>
    <n v="2"/>
    <n v="0"/>
    <n v="320000"/>
    <x v="0"/>
    <n v="640000"/>
  </r>
  <r>
    <s v="T01281"/>
    <d v="2025-03-18T00:00:00"/>
    <s v="BR001"/>
    <s v="P012"/>
    <s v="C0094"/>
    <n v="1"/>
    <n v="0"/>
    <n v="28000"/>
    <x v="2"/>
    <n v="28000"/>
  </r>
  <r>
    <s v="T00689"/>
    <d v="2025-12-04T00:00:00"/>
    <s v="BR001"/>
    <s v="P015"/>
    <s v="C0118"/>
    <n v="1"/>
    <n v="0"/>
    <n v="15000"/>
    <x v="2"/>
    <n v="15000"/>
  </r>
  <r>
    <s v="T00552"/>
    <d v="2025-11-12T00:00:00"/>
    <s v="BR004"/>
    <s v="P011"/>
    <s v="C0084"/>
    <n v="1"/>
    <n v="30"/>
    <n v="74000"/>
    <x v="3"/>
    <n v="51800"/>
  </r>
  <r>
    <s v="T00545"/>
    <d v="2025-02-12T00:00:00"/>
    <s v="BR001"/>
    <s v="P018"/>
    <s v="C0012"/>
    <n v="1"/>
    <n v="0"/>
    <n v="18000"/>
    <x v="2"/>
    <n v="18000"/>
  </r>
  <r>
    <s v="T00929"/>
    <d v="2025-08-17T00:00:00"/>
    <s v="BR001"/>
    <s v="P005"/>
    <s v="C0135"/>
    <n v="1"/>
    <n v="0"/>
    <n v="95000"/>
    <x v="2"/>
    <n v="95000"/>
  </r>
  <r>
    <s v="T01142"/>
    <d v="2025-03-13T00:00:00"/>
    <s v="BR004"/>
    <s v="P014"/>
    <s v="C0068"/>
    <n v="1"/>
    <n v="0"/>
    <n v="285000"/>
    <x v="3"/>
    <n v="285000"/>
  </r>
  <r>
    <s v="T00755"/>
    <d v="2025-07-08T00:00:00"/>
    <s v="BR001"/>
    <s v="P001"/>
    <s v="C0116"/>
    <n v="3"/>
    <n v="5"/>
    <n v="185000"/>
    <x v="2"/>
    <n v="527250"/>
  </r>
  <r>
    <s v="T00404"/>
    <d v="2025-12-12T00:00:00"/>
    <s v="BR002"/>
    <s v="P008"/>
    <s v="C0016"/>
    <n v="5"/>
    <n v="0"/>
    <n v="410000"/>
    <x v="1"/>
    <n v="2050000"/>
  </r>
  <r>
    <s v="T01388"/>
    <d v="2025-09-23T00:00:00"/>
    <s v="BR002"/>
    <s v="P003"/>
    <s v="C0203"/>
    <n v="2"/>
    <n v="15"/>
    <n v="45000"/>
    <x v="1"/>
    <n v="76500"/>
  </r>
  <r>
    <s v="T00363"/>
    <d v="2025-11-21T00:00:00"/>
    <s v="BR001"/>
    <s v="P002"/>
    <s v="C0178"/>
    <n v="1"/>
    <n v="10"/>
    <n v="320000"/>
    <x v="2"/>
    <n v="288000"/>
  </r>
  <r>
    <s v="T00272"/>
    <d v="2025-09-09T00:00:00"/>
    <s v="BR001"/>
    <s v="P007"/>
    <s v="C0185"/>
    <n v="1"/>
    <n v="0"/>
    <n v="145000"/>
    <x v="2"/>
    <n v="145000"/>
  </r>
  <r>
    <s v="T00467"/>
    <d v="2025-06-26T00:00:00"/>
    <s v="BR001"/>
    <s v="P002"/>
    <s v="C0071"/>
    <n v="1"/>
    <n v="5"/>
    <n v="320000"/>
    <x v="2"/>
    <n v="304000"/>
  </r>
  <r>
    <s v="T01253"/>
    <d v="2025-11-08T00:00:00"/>
    <s v="BR004"/>
    <s v="P021"/>
    <s v="C0141"/>
    <n v="1"/>
    <n v="10"/>
    <n v="6500"/>
    <x v="3"/>
    <n v="5850"/>
  </r>
  <r>
    <s v="T01035"/>
    <d v="2025-01-04T00:00:00"/>
    <s v="BR003"/>
    <s v="P006"/>
    <s v="C0050"/>
    <n v="1"/>
    <n v="0"/>
    <n v="78000"/>
    <x v="0"/>
    <n v="78000"/>
  </r>
  <r>
    <s v="T00278"/>
    <d v="2025-06-16T00:00:00"/>
    <s v="BR001"/>
    <s v="P003"/>
    <s v="C0131"/>
    <n v="2"/>
    <n v="10"/>
    <n v="45000"/>
    <x v="2"/>
    <n v="81000"/>
  </r>
  <r>
    <s v="T01251"/>
    <d v="2025-02-28T00:00:00"/>
    <s v="BR003"/>
    <s v="P008"/>
    <s v="C0103"/>
    <n v="5"/>
    <n v="20"/>
    <n v="410000"/>
    <x v="0"/>
    <n v="1640000"/>
  </r>
  <r>
    <s v="T01334"/>
    <d v="2025-06-11T00:00:00"/>
    <s v="BR003"/>
    <s v="P024"/>
    <s v="C0206"/>
    <n v="1"/>
    <n v="10"/>
    <n v="245000"/>
    <x v="0"/>
    <n v="220500"/>
  </r>
  <r>
    <s v="T00839"/>
    <d v="2025-06-14T00:00:00"/>
    <s v="BR001"/>
    <s v="P014"/>
    <s v="C0117"/>
    <n v="1"/>
    <n v="0"/>
    <n v="285000"/>
    <x v="2"/>
    <n v="285000"/>
  </r>
  <r>
    <s v="T00935"/>
    <d v="2025-11-04T00:00:00"/>
    <s v="BR001"/>
    <s v="P016"/>
    <s v="C0154"/>
    <n v="1"/>
    <n v="0"/>
    <n v="19500"/>
    <x v="2"/>
    <n v="19500"/>
  </r>
  <r>
    <s v="T01082"/>
    <d v="2025-09-17T00:00:00"/>
    <s v="BR001"/>
    <s v="P003"/>
    <s v="C0152"/>
    <n v="1"/>
    <n v="25"/>
    <n v="45000"/>
    <x v="2"/>
    <n v="33750"/>
  </r>
  <r>
    <s v="T00443"/>
    <d v="2025-01-09T00:00:00"/>
    <s v="BR004"/>
    <s v="P008"/>
    <s v="C0033"/>
    <n v="1"/>
    <n v="0"/>
    <n v="410000"/>
    <x v="3"/>
    <n v="410000"/>
  </r>
  <r>
    <s v="T00300"/>
    <d v="2025-09-12T00:00:00"/>
    <s v="BR001"/>
    <s v="P004"/>
    <s v="C0106"/>
    <n v="2"/>
    <n v="5"/>
    <n v="38000"/>
    <x v="2"/>
    <n v="72200"/>
  </r>
  <r>
    <s v="T01133"/>
    <d v="2025-05-12T00:00:00"/>
    <s v="BR002"/>
    <s v="P025"/>
    <s v="C0091"/>
    <n v="1"/>
    <n v="15"/>
    <n v="175000"/>
    <x v="1"/>
    <n v="148750"/>
  </r>
  <r>
    <s v="T00376"/>
    <d v="2025-09-14T00:00:00"/>
    <s v="BR002"/>
    <s v="P002"/>
    <s v="C0204"/>
    <n v="2"/>
    <n v="0"/>
    <n v="320000"/>
    <x v="1"/>
    <n v="640000"/>
  </r>
  <r>
    <s v="T00969"/>
    <d v="2025-02-12T00:00:00"/>
    <s v="BR003"/>
    <s v="P022"/>
    <s v="C0122"/>
    <n v="1"/>
    <n v="0"/>
    <n v="5200"/>
    <x v="0"/>
    <n v="5200"/>
  </r>
  <r>
    <s v="T01052"/>
    <d v="2025-06-21T00:00:00"/>
    <s v="BR001"/>
    <s v="P010"/>
    <s v="C0209"/>
    <n v="1"/>
    <n v="15"/>
    <n v="62000"/>
    <x v="2"/>
    <n v="52700"/>
  </r>
  <r>
    <s v="T00836"/>
    <d v="2025-12-06T00:00:00"/>
    <s v="BR001"/>
    <s v="P006"/>
    <s v="C0026"/>
    <n v="1"/>
    <n v="10"/>
    <n v="78000"/>
    <x v="2"/>
    <n v="70200"/>
  </r>
  <r>
    <s v="T00862"/>
    <d v="2025-05-13T00:00:00"/>
    <s v="BR003"/>
    <s v="P017"/>
    <s v="C0107"/>
    <n v="1"/>
    <n v="0"/>
    <n v="24000"/>
    <x v="0"/>
    <n v="24000"/>
  </r>
  <r>
    <s v="T00473"/>
    <d v="2025-07-01T00:00:00"/>
    <s v="BR002"/>
    <s v="P025"/>
    <s v="C0011"/>
    <n v="3"/>
    <n v="5"/>
    <n v="175000"/>
    <x v="1"/>
    <n v="498750"/>
  </r>
  <r>
    <s v="T00772"/>
    <d v="2025-03-11T00:00:00"/>
    <s v="BR002"/>
    <s v="P017"/>
    <s v="C0132"/>
    <n v="1"/>
    <n v="0"/>
    <n v="24000"/>
    <x v="1"/>
    <n v="24000"/>
  </r>
  <r>
    <s v="T00564"/>
    <d v="2025-12-21T00:00:00"/>
    <s v="BR003"/>
    <s v="P018"/>
    <s v="C0114"/>
    <n v="1"/>
    <n v="20"/>
    <n v="18000"/>
    <x v="0"/>
    <n v="14400"/>
  </r>
  <r>
    <s v="T01274"/>
    <d v="2025-01-02T00:00:00"/>
    <s v="BR001"/>
    <s v="P012"/>
    <s v="C0108"/>
    <n v="1"/>
    <n v="10"/>
    <n v="28000"/>
    <x v="2"/>
    <n v="25200"/>
  </r>
  <r>
    <s v="T00389"/>
    <d v="2025-06-15T00:00:00"/>
    <s v="BR001"/>
    <s v="P003"/>
    <s v="C0099"/>
    <n v="1"/>
    <n v="0"/>
    <n v="45000"/>
    <x v="2"/>
    <n v="45000"/>
  </r>
  <r>
    <s v="T00023"/>
    <d v="2025-02-21T00:00:00"/>
    <s v="BR001"/>
    <s v="P008"/>
    <s v="C0094"/>
    <n v="2"/>
    <n v="5"/>
    <n v="410000"/>
    <x v="2"/>
    <n v="779000"/>
  </r>
  <r>
    <s v="T00861"/>
    <d v="2025-09-25T00:00:00"/>
    <s v="BR001"/>
    <s v="P023"/>
    <s v="C0070"/>
    <n v="1"/>
    <n v="15"/>
    <n v="195000"/>
    <x v="2"/>
    <n v="165750"/>
  </r>
  <r>
    <s v="T00125"/>
    <d v="2025-05-21T00:00:00"/>
    <s v="BR002"/>
    <s v="P010"/>
    <s v="C0077"/>
    <n v="1"/>
    <n v="5"/>
    <n v="62000"/>
    <x v="1"/>
    <n v="58900"/>
  </r>
  <r>
    <s v="T00424"/>
    <d v="2025-12-05T00:00:00"/>
    <s v="BR001"/>
    <s v="P022"/>
    <s v="C0002"/>
    <n v="1"/>
    <n v="10"/>
    <n v="5200"/>
    <x v="2"/>
    <n v="4680"/>
  </r>
  <r>
    <s v="T01261"/>
    <d v="2025-09-17T00:00:00"/>
    <s v="BR001"/>
    <s v="P021"/>
    <s v="C0032"/>
    <n v="1"/>
    <n v="10"/>
    <n v="6500"/>
    <x v="2"/>
    <n v="5850"/>
  </r>
  <r>
    <s v="T01003"/>
    <d v="2025-02-13T00:00:00"/>
    <s v="BR001"/>
    <s v="P014"/>
    <s v="C0218"/>
    <n v="1"/>
    <n v="5"/>
    <n v="285000"/>
    <x v="2"/>
    <n v="270750"/>
  </r>
  <r>
    <s v="T00722"/>
    <d v="2025-02-19T00:00:00"/>
    <s v="BR002"/>
    <s v="P018"/>
    <s v="C0170"/>
    <n v="1"/>
    <n v="0"/>
    <n v="18000"/>
    <x v="1"/>
    <n v="18000"/>
  </r>
  <r>
    <s v="T00902"/>
    <d v="2025-11-01T00:00:00"/>
    <s v="BR002"/>
    <s v="P016"/>
    <s v="C0117"/>
    <n v="1"/>
    <n v="15"/>
    <n v="19500"/>
    <x v="1"/>
    <n v="16575"/>
  </r>
  <r>
    <s v="T01064"/>
    <d v="2025-04-05T00:00:00"/>
    <s v="BR001"/>
    <s v="P021"/>
    <s v="C0143"/>
    <n v="1"/>
    <n v="5"/>
    <n v="6500"/>
    <x v="2"/>
    <n v="6175"/>
  </r>
  <r>
    <s v="T00143"/>
    <d v="2025-03-05T00:00:00"/>
    <s v="BR001"/>
    <s v="P016"/>
    <s v="C0014"/>
    <n v="3"/>
    <n v="10"/>
    <n v="19500"/>
    <x v="2"/>
    <n v="52650"/>
  </r>
  <r>
    <s v="T00051"/>
    <d v="2025-12-03T00:00:00"/>
    <s v="BR001"/>
    <s v="P009"/>
    <s v="C0217"/>
    <n v="3"/>
    <n v="15"/>
    <n v="265000"/>
    <x v="2"/>
    <n v="675750"/>
  </r>
  <r>
    <s v="T01344"/>
    <d v="2025-11-11T00:00:00"/>
    <s v="BR001"/>
    <s v="P012"/>
    <s v="C0145"/>
    <n v="1"/>
    <n v="10"/>
    <n v="28000"/>
    <x v="2"/>
    <n v="25200"/>
  </r>
  <r>
    <s v="T00998"/>
    <d v="2025-01-07T00:00:00"/>
    <s v="BR003"/>
    <s v="P003"/>
    <s v="C0176"/>
    <n v="2"/>
    <n v="0"/>
    <n v="45000"/>
    <x v="0"/>
    <n v="90000"/>
  </r>
  <r>
    <s v="T00624"/>
    <d v="2025-10-25T00:00:00"/>
    <s v="BR001"/>
    <s v="P019"/>
    <s v="C0148"/>
    <n v="1"/>
    <n v="15"/>
    <n v="21000"/>
    <x v="2"/>
    <n v="17850"/>
  </r>
  <r>
    <s v="T01025"/>
    <d v="2025-12-12T00:00:00"/>
    <s v="BR001"/>
    <s v="P022"/>
    <s v="C0070"/>
    <n v="1"/>
    <n v="10"/>
    <n v="5200"/>
    <x v="2"/>
    <n v="4680"/>
  </r>
  <r>
    <s v="T00082"/>
    <d v="2025-07-10T00:00:00"/>
    <s v="BR003"/>
    <s v="P002"/>
    <s v="C0145"/>
    <n v="1"/>
    <n v="0"/>
    <n v="320000"/>
    <x v="0"/>
    <n v="320000"/>
  </r>
  <r>
    <s v="T00704"/>
    <d v="2025-06-19T00:00:00"/>
    <s v="BR001"/>
    <s v="P004"/>
    <s v="C0021"/>
    <n v="1"/>
    <n v="0"/>
    <n v="38000"/>
    <x v="2"/>
    <n v="38000"/>
  </r>
  <r>
    <s v="T00483"/>
    <d v="2025-10-20T00:00:00"/>
    <s v="BR002"/>
    <s v="P016"/>
    <s v="C0134"/>
    <n v="1"/>
    <n v="0"/>
    <n v="19500"/>
    <x v="1"/>
    <n v="19500"/>
  </r>
  <r>
    <s v="T00322"/>
    <d v="2025-08-06T00:00:00"/>
    <s v="BR003"/>
    <s v="P020"/>
    <s v="C0079"/>
    <n v="1"/>
    <n v="0"/>
    <n v="8500"/>
    <x v="0"/>
    <n v="8500"/>
  </r>
  <r>
    <s v="T01171"/>
    <d v="2025-11-06T00:00:00"/>
    <s v="BR004"/>
    <s v="P012"/>
    <s v="C0057"/>
    <n v="1"/>
    <n v="0"/>
    <n v="28000"/>
    <x v="3"/>
    <n v="28000"/>
  </r>
  <r>
    <s v="T00968"/>
    <d v="2025-10-13T00:00:00"/>
    <s v="BR003"/>
    <s v="P012"/>
    <s v="C0063"/>
    <n v="1"/>
    <n v="20"/>
    <n v="28000"/>
    <x v="0"/>
    <n v="22400"/>
  </r>
  <r>
    <s v="T01337"/>
    <d v="2025-03-16T00:00:00"/>
    <s v="BR002"/>
    <s v="P012"/>
    <s v="C0078"/>
    <n v="2"/>
    <n v="0"/>
    <n v="28000"/>
    <x v="1"/>
    <n v="56000"/>
  </r>
  <r>
    <s v="T00067"/>
    <d v="2025-12-14T00:00:00"/>
    <s v="BR002"/>
    <s v="P023"/>
    <s v="C0144"/>
    <n v="2"/>
    <n v="10"/>
    <n v="195000"/>
    <x v="1"/>
    <n v="351000"/>
  </r>
  <r>
    <s v="T00801"/>
    <d v="2025-12-22T00:00:00"/>
    <s v="BR004"/>
    <s v="P023"/>
    <s v="C0111"/>
    <n v="2"/>
    <n v="10"/>
    <n v="195000"/>
    <x v="3"/>
    <n v="351000"/>
  </r>
  <r>
    <s v="T01242"/>
    <d v="2025-07-11T00:00:00"/>
    <s v="BR002"/>
    <s v="P017"/>
    <s v="C0045"/>
    <n v="1"/>
    <n v="20"/>
    <n v="24000"/>
    <x v="1"/>
    <n v="19200"/>
  </r>
  <r>
    <s v="T00747"/>
    <d v="2025-04-02T00:00:00"/>
    <s v="BR002"/>
    <s v="P007"/>
    <s v="C0178"/>
    <n v="1"/>
    <n v="20"/>
    <n v="145000"/>
    <x v="1"/>
    <n v="116000"/>
  </r>
  <r>
    <s v="T00032"/>
    <d v="2025-01-15T00:00:00"/>
    <s v="BR001"/>
    <s v="P004"/>
    <s v="C0034"/>
    <n v="1"/>
    <n v="0"/>
    <n v="38000"/>
    <x v="2"/>
    <n v="38000"/>
  </r>
  <r>
    <s v="T00418"/>
    <d v="2025-05-07T00:00:00"/>
    <s v="BR001"/>
    <s v="P023"/>
    <s v="C0187"/>
    <n v="1"/>
    <n v="0"/>
    <n v="195000"/>
    <x v="2"/>
    <n v="195000"/>
  </r>
  <r>
    <s v="T00633"/>
    <d v="2025-05-06T00:00:00"/>
    <s v="BR001"/>
    <s v="P016"/>
    <s v="C0052"/>
    <n v="1"/>
    <n v="5"/>
    <n v="19500"/>
    <x v="2"/>
    <n v="18525"/>
  </r>
  <r>
    <s v="T01284"/>
    <d v="2025-11-14T00:00:00"/>
    <s v="BR001"/>
    <s v="P001"/>
    <s v="C0161"/>
    <n v="2"/>
    <n v="10"/>
    <n v="185000"/>
    <x v="2"/>
    <n v="333000"/>
  </r>
  <r>
    <s v="T00065"/>
    <d v="2025-12-09T00:00:00"/>
    <s v="BR002"/>
    <s v="P025"/>
    <s v="C0123"/>
    <n v="1"/>
    <n v="10"/>
    <n v="175000"/>
    <x v="1"/>
    <n v="157500"/>
  </r>
  <r>
    <s v="T00140"/>
    <d v="2025-09-20T00:00:00"/>
    <s v="BR002"/>
    <s v="P017"/>
    <s v="C0146"/>
    <n v="1"/>
    <n v="5"/>
    <n v="24000"/>
    <x v="1"/>
    <n v="22800"/>
  </r>
  <r>
    <s v="T01131"/>
    <d v="2025-11-08T00:00:00"/>
    <s v="BR004"/>
    <s v="P007"/>
    <s v="C0130"/>
    <n v="2"/>
    <n v="5"/>
    <n v="145000"/>
    <x v="3"/>
    <n v="275500"/>
  </r>
  <r>
    <s v="T01234"/>
    <d v="2025-01-12T00:00:00"/>
    <s v="BR003"/>
    <s v="P017"/>
    <s v="C0112"/>
    <n v="2"/>
    <n v="0"/>
    <n v="24000"/>
    <x v="0"/>
    <n v="48000"/>
  </r>
  <r>
    <s v="T00492"/>
    <d v="2025-09-17T00:00:00"/>
    <s v="BR004"/>
    <s v="P009"/>
    <s v="C0068"/>
    <n v="1"/>
    <n v="0"/>
    <n v="265000"/>
    <x v="3"/>
    <n v="265000"/>
  </r>
  <r>
    <s v="T01382"/>
    <d v="2025-09-17T00:00:00"/>
    <s v="BR001"/>
    <s v="P009"/>
    <s v="C0008"/>
    <n v="2"/>
    <n v="0"/>
    <n v="265000"/>
    <x v="2"/>
    <n v="530000"/>
  </r>
  <r>
    <s v="T00986"/>
    <d v="2025-11-18T00:00:00"/>
    <s v="BR001"/>
    <s v="P010"/>
    <s v="C0044"/>
    <n v="1"/>
    <n v="15"/>
    <n v="62000"/>
    <x v="2"/>
    <n v="52700"/>
  </r>
  <r>
    <s v="T00533"/>
    <d v="2025-10-18T00:00:00"/>
    <s v="BR002"/>
    <s v="P024"/>
    <s v="C0122"/>
    <n v="2"/>
    <n v="0"/>
    <n v="245000"/>
    <x v="1"/>
    <n v="490000"/>
  </r>
  <r>
    <s v="T00066"/>
    <d v="2025-07-19T00:00:00"/>
    <s v="BR001"/>
    <s v="P024"/>
    <s v="C0008"/>
    <n v="1"/>
    <n v="5"/>
    <n v="245000"/>
    <x v="2"/>
    <n v="232750"/>
  </r>
  <r>
    <s v="T01183"/>
    <d v="2025-12-05T00:00:00"/>
    <s v="BR003"/>
    <s v="P004"/>
    <s v="C0066"/>
    <n v="1"/>
    <n v="10"/>
    <n v="38000"/>
    <x v="0"/>
    <n v="34200"/>
  </r>
  <r>
    <s v="T00792"/>
    <d v="2025-07-20T00:00:00"/>
    <s v="BR001"/>
    <s v="P005"/>
    <s v="C0203"/>
    <n v="1"/>
    <n v="15"/>
    <n v="95000"/>
    <x v="2"/>
    <n v="80750"/>
  </r>
  <r>
    <s v="T01178"/>
    <d v="2025-04-09T00:00:00"/>
    <s v="BR002"/>
    <s v="P021"/>
    <s v="C0034"/>
    <n v="1"/>
    <n v="5"/>
    <n v="6500"/>
    <x v="1"/>
    <n v="6175"/>
  </r>
  <r>
    <s v="T00297"/>
    <d v="2025-12-10T00:00:00"/>
    <s v="BR002"/>
    <s v="P008"/>
    <s v="C0082"/>
    <n v="3"/>
    <n v="10"/>
    <n v="410000"/>
    <x v="1"/>
    <n v="1107000"/>
  </r>
  <r>
    <s v="T00592"/>
    <d v="2025-12-19T00:00:00"/>
    <s v="BR003"/>
    <s v="P023"/>
    <s v="C0118"/>
    <n v="2"/>
    <n v="20"/>
    <n v="195000"/>
    <x v="0"/>
    <n v="312000"/>
  </r>
  <r>
    <s v="T00420"/>
    <d v="2025-09-20T00:00:00"/>
    <s v="BR004"/>
    <s v="P023"/>
    <s v="C0077"/>
    <n v="1"/>
    <n v="5"/>
    <n v="195000"/>
    <x v="3"/>
    <n v="185250"/>
  </r>
  <r>
    <s v="T00439"/>
    <d v="2025-05-28T00:00:00"/>
    <s v="BR004"/>
    <s v="P019"/>
    <s v="C0212"/>
    <n v="2"/>
    <n v="20"/>
    <n v="21000"/>
    <x v="3"/>
    <n v="33600"/>
  </r>
  <r>
    <s v="T00262"/>
    <d v="2025-10-10T00:00:00"/>
    <s v="BR004"/>
    <s v="P022"/>
    <s v="C0215"/>
    <n v="1"/>
    <n v="0"/>
    <n v="5200"/>
    <x v="3"/>
    <n v="5200"/>
  </r>
  <r>
    <s v="T00725"/>
    <d v="2025-01-10T00:00:00"/>
    <s v="BR003"/>
    <s v="P021"/>
    <s v="C0017"/>
    <n v="2"/>
    <n v="0"/>
    <n v="6500"/>
    <x v="0"/>
    <n v="13000"/>
  </r>
  <r>
    <s v="T00978"/>
    <d v="2025-09-21T00:00:00"/>
    <s v="BR001"/>
    <s v="P016"/>
    <s v="C0042"/>
    <n v="1"/>
    <n v="20"/>
    <n v="19500"/>
    <x v="2"/>
    <n v="15600"/>
  </r>
  <r>
    <s v="T00282"/>
    <d v="2025-06-19T00:00:00"/>
    <s v="BR002"/>
    <s v="P008"/>
    <s v="C0178"/>
    <n v="2"/>
    <n v="0"/>
    <n v="410000"/>
    <x v="1"/>
    <n v="820000"/>
  </r>
  <r>
    <s v="T00627"/>
    <d v="2025-03-11T00:00:00"/>
    <s v="BR003"/>
    <s v="P008"/>
    <s v="C0026"/>
    <n v="1"/>
    <n v="5"/>
    <n v="410000"/>
    <x v="0"/>
    <n v="389500"/>
  </r>
  <r>
    <s v="T00887"/>
    <d v="2025-04-27T00:00:00"/>
    <s v="BR001"/>
    <s v="P001"/>
    <s v="C0104"/>
    <n v="1"/>
    <n v="0"/>
    <n v="185000"/>
    <x v="2"/>
    <n v="185000"/>
  </r>
  <r>
    <s v="T00946"/>
    <d v="2025-03-17T00:00:00"/>
    <s v="BR001"/>
    <s v="P003"/>
    <s v="C0105"/>
    <n v="1"/>
    <n v="0"/>
    <n v="45000"/>
    <x v="2"/>
    <n v="45000"/>
  </r>
  <r>
    <s v="T01362"/>
    <d v="2025-11-21T00:00:00"/>
    <s v="BR004"/>
    <s v="P009"/>
    <s v="C0194"/>
    <n v="1"/>
    <n v="10"/>
    <n v="265000"/>
    <x v="3"/>
    <n v="238500"/>
  </r>
  <r>
    <s v="T00189"/>
    <d v="2025-12-28T00:00:00"/>
    <s v="BR001"/>
    <s v="P016"/>
    <s v="C0049"/>
    <n v="1"/>
    <n v="0"/>
    <n v="19500"/>
    <x v="2"/>
    <n v="19500"/>
  </r>
  <r>
    <s v="T01129"/>
    <d v="2025-05-26T00:00:00"/>
    <s v="BR004"/>
    <s v="P018"/>
    <s v="C0189"/>
    <n v="1"/>
    <n v="0"/>
    <n v="18000"/>
    <x v="3"/>
    <n v="18000"/>
  </r>
  <r>
    <s v="T00252"/>
    <d v="2025-12-19T00:00:00"/>
    <s v="BR001"/>
    <s v="P009"/>
    <s v="C0068"/>
    <n v="2"/>
    <n v="10"/>
    <n v="265000"/>
    <x v="2"/>
    <n v="477000"/>
  </r>
  <r>
    <s v="T00584"/>
    <d v="2025-12-13T00:00:00"/>
    <s v="BR002"/>
    <s v="P017"/>
    <s v="C0034"/>
    <n v="3"/>
    <n v="30"/>
    <n v="24000"/>
    <x v="1"/>
    <n v="50400"/>
  </r>
  <r>
    <s v="T00987"/>
    <d v="2025-11-27T00:00:00"/>
    <s v="BR002"/>
    <s v="P002"/>
    <s v="C0138"/>
    <n v="1"/>
    <n v="10"/>
    <n v="320000"/>
    <x v="1"/>
    <n v="288000"/>
  </r>
  <r>
    <s v="T00979"/>
    <d v="2025-04-04T00:00:00"/>
    <s v="BR002"/>
    <s v="P005"/>
    <s v="C0211"/>
    <n v="2"/>
    <n v="0"/>
    <n v="95000"/>
    <x v="1"/>
    <n v="190000"/>
  </r>
  <r>
    <s v="T01074"/>
    <d v="2025-09-15T00:00:00"/>
    <s v="BR004"/>
    <s v="P003"/>
    <s v="C0137"/>
    <n v="5"/>
    <n v="0"/>
    <n v="45000"/>
    <x v="3"/>
    <n v="225000"/>
  </r>
  <r>
    <s v="T00515"/>
    <d v="2025-06-14T00:00:00"/>
    <s v="BR003"/>
    <s v="P020"/>
    <s v="C0099"/>
    <n v="1"/>
    <n v="0"/>
    <n v="8500"/>
    <x v="0"/>
    <n v="8500"/>
  </r>
  <r>
    <s v="T00830"/>
    <d v="2025-09-20T00:00:00"/>
    <s v="BR003"/>
    <s v="P018"/>
    <s v="C0205"/>
    <n v="2"/>
    <n v="0"/>
    <n v="18000"/>
    <x v="0"/>
    <n v="36000"/>
  </r>
  <r>
    <s v="T00707"/>
    <d v="2025-04-19T00:00:00"/>
    <s v="BR004"/>
    <s v="P020"/>
    <s v="C0207"/>
    <n v="1"/>
    <n v="10"/>
    <n v="8500"/>
    <x v="3"/>
    <n v="7650"/>
  </r>
  <r>
    <s v="T00488"/>
    <d v="2025-09-23T00:00:00"/>
    <s v="BR002"/>
    <s v="P018"/>
    <s v="C0170"/>
    <n v="1"/>
    <n v="0"/>
    <n v="18000"/>
    <x v="1"/>
    <n v="18000"/>
  </r>
  <r>
    <s v="T00664"/>
    <d v="2025-12-23T00:00:00"/>
    <s v="BR001"/>
    <s v="P020"/>
    <s v="C0027"/>
    <n v="1"/>
    <n v="15"/>
    <n v="8500"/>
    <x v="2"/>
    <n v="7225"/>
  </r>
  <r>
    <s v="T00274"/>
    <d v="2025-09-28T00:00:00"/>
    <s v="BR002"/>
    <s v="P010"/>
    <s v="C0066"/>
    <n v="2"/>
    <n v="0"/>
    <n v="62000"/>
    <x v="1"/>
    <n v="124000"/>
  </r>
  <r>
    <s v="T00686"/>
    <d v="2025-02-27T00:00:00"/>
    <s v="BR002"/>
    <s v="P021"/>
    <s v="C0184"/>
    <n v="5"/>
    <n v="0"/>
    <n v="6500"/>
    <x v="1"/>
    <n v="32500"/>
  </r>
  <r>
    <s v="T01167"/>
    <d v="2025-10-28T00:00:00"/>
    <s v="BR001"/>
    <s v="P020"/>
    <s v="C0078"/>
    <n v="1"/>
    <n v="0"/>
    <n v="8500"/>
    <x v="2"/>
    <n v="8500"/>
  </r>
  <r>
    <s v="T01266"/>
    <d v="2025-11-03T00:00:00"/>
    <s v="BR002"/>
    <s v="P008"/>
    <s v="C0148"/>
    <n v="1"/>
    <n v="5"/>
    <n v="410000"/>
    <x v="1"/>
    <n v="389500"/>
  </r>
  <r>
    <s v="T00449"/>
    <d v="2025-03-01T00:00:00"/>
    <s v="BR002"/>
    <s v="P002"/>
    <s v="C0186"/>
    <n v="1"/>
    <n v="10"/>
    <n v="320000"/>
    <x v="1"/>
    <n v="288000"/>
  </r>
  <r>
    <s v="T00412"/>
    <d v="2025-06-21T00:00:00"/>
    <s v="BR002"/>
    <s v="P002"/>
    <s v="C0118"/>
    <n v="5"/>
    <n v="5"/>
    <n v="320000"/>
    <x v="1"/>
    <n v="1520000"/>
  </r>
  <r>
    <s v="T00459"/>
    <d v="2025-12-03T00:00:00"/>
    <s v="BR003"/>
    <s v="P025"/>
    <s v="C0004"/>
    <n v="1"/>
    <n v="5"/>
    <n v="175000"/>
    <x v="0"/>
    <n v="166250"/>
  </r>
  <r>
    <s v="T01012"/>
    <d v="2025-09-28T00:00:00"/>
    <s v="BR001"/>
    <s v="P001"/>
    <s v="C0114"/>
    <n v="5"/>
    <n v="15"/>
    <n v="185000"/>
    <x v="2"/>
    <n v="786250"/>
  </r>
  <r>
    <s v="T01226"/>
    <d v="2025-03-15T00:00:00"/>
    <s v="BR003"/>
    <s v="P015"/>
    <s v="C0155"/>
    <n v="1"/>
    <n v="15"/>
    <n v="15000"/>
    <x v="0"/>
    <n v="12750"/>
  </r>
  <r>
    <s v="T00668"/>
    <d v="2025-11-19T00:00:00"/>
    <s v="BR004"/>
    <s v="P021"/>
    <s v="C0206"/>
    <n v="1"/>
    <n v="0"/>
    <n v="6500"/>
    <x v="3"/>
    <n v="6500"/>
  </r>
  <r>
    <s v="T01163"/>
    <d v="2025-06-25T00:00:00"/>
    <s v="BR001"/>
    <s v="P012"/>
    <s v="C0085"/>
    <n v="1"/>
    <n v="0"/>
    <n v="28000"/>
    <x v="2"/>
    <n v="28000"/>
  </r>
  <r>
    <s v="T00150"/>
    <d v="2025-07-14T00:00:00"/>
    <s v="BR002"/>
    <s v="P025"/>
    <s v="C0217"/>
    <n v="1"/>
    <n v="5"/>
    <n v="175000"/>
    <x v="1"/>
    <n v="166250"/>
  </r>
  <r>
    <s v="T01359"/>
    <d v="2025-03-16T00:00:00"/>
    <s v="BR002"/>
    <s v="P009"/>
    <s v="C0149"/>
    <n v="1"/>
    <n v="0"/>
    <n v="265000"/>
    <x v="1"/>
    <n v="265000"/>
  </r>
  <r>
    <s v="T01147"/>
    <d v="2025-10-14T00:00:00"/>
    <s v="BR001"/>
    <s v="P024"/>
    <s v="C0112"/>
    <n v="2"/>
    <n v="0"/>
    <n v="245000"/>
    <x v="2"/>
    <n v="490000"/>
  </r>
  <r>
    <s v="T00734"/>
    <d v="2025-08-17T00:00:00"/>
    <s v="BR004"/>
    <s v="P012"/>
    <s v="C0124"/>
    <n v="1"/>
    <n v="0"/>
    <n v="28000"/>
    <x v="3"/>
    <n v="28000"/>
  </r>
  <r>
    <s v="T00219"/>
    <d v="2025-04-08T00:00:00"/>
    <s v="BR003"/>
    <s v="P024"/>
    <s v="C0197"/>
    <n v="1"/>
    <n v="0"/>
    <n v="245000"/>
    <x v="0"/>
    <n v="245000"/>
  </r>
  <r>
    <s v="T00240"/>
    <d v="2025-07-17T00:00:00"/>
    <s v="BR001"/>
    <s v="P011"/>
    <s v="C0069"/>
    <n v="1"/>
    <n v="0"/>
    <n v="74000"/>
    <x v="2"/>
    <n v="74000"/>
  </r>
  <r>
    <s v="T01096"/>
    <d v="2025-07-09T00:00:00"/>
    <s v="BR001"/>
    <s v="P010"/>
    <s v="C0033"/>
    <n v="1"/>
    <n v="15"/>
    <n v="62000"/>
    <x v="2"/>
    <n v="52700"/>
  </r>
  <r>
    <s v="T00726"/>
    <d v="2025-12-15T00:00:00"/>
    <s v="BR001"/>
    <s v="P017"/>
    <s v="C0075"/>
    <n v="1"/>
    <n v="5"/>
    <n v="24000"/>
    <x v="2"/>
    <n v="22800"/>
  </r>
  <r>
    <s v="T00193"/>
    <d v="2025-01-15T00:00:00"/>
    <s v="BR004"/>
    <s v="P009"/>
    <s v="C0109"/>
    <n v="1"/>
    <n v="0"/>
    <n v="265000"/>
    <x v="3"/>
    <n v="265000"/>
  </r>
  <r>
    <s v="T00962"/>
    <d v="2025-11-17T00:00:00"/>
    <s v="BR004"/>
    <s v="P008"/>
    <s v="C0053"/>
    <n v="1"/>
    <n v="0"/>
    <n v="410000"/>
    <x v="3"/>
    <n v="410000"/>
  </r>
  <r>
    <s v="T00192"/>
    <d v="2025-06-17T00:00:00"/>
    <s v="BR004"/>
    <s v="P019"/>
    <s v="C0153"/>
    <n v="1"/>
    <n v="0"/>
    <n v="21000"/>
    <x v="3"/>
    <n v="21000"/>
  </r>
  <r>
    <s v="T00817"/>
    <d v="2025-12-08T00:00:00"/>
    <s v="BR001"/>
    <s v="P004"/>
    <s v="C0131"/>
    <n v="1"/>
    <n v="0"/>
    <n v="38000"/>
    <x v="2"/>
    <n v="38000"/>
  </r>
  <r>
    <s v="T00838"/>
    <d v="2025-01-02T00:00:00"/>
    <s v="BR003"/>
    <s v="P022"/>
    <s v="C0121"/>
    <n v="1"/>
    <n v="5"/>
    <n v="5200"/>
    <x v="0"/>
    <n v="4940"/>
  </r>
  <r>
    <s v="T00842"/>
    <d v="2025-02-24T00:00:00"/>
    <s v="BR001"/>
    <s v="P024"/>
    <s v="C0172"/>
    <n v="1"/>
    <n v="0"/>
    <n v="245000"/>
    <x v="2"/>
    <n v="245000"/>
  </r>
  <r>
    <s v="T00645"/>
    <d v="2025-12-14T00:00:00"/>
    <s v="BR004"/>
    <s v="P003"/>
    <s v="C0083"/>
    <n v="1"/>
    <n v="15"/>
    <n v="45000"/>
    <x v="3"/>
    <n v="38250"/>
  </r>
  <r>
    <s v="T00996"/>
    <d v="2025-11-15T00:00:00"/>
    <s v="BR001"/>
    <s v="P008"/>
    <s v="C0157"/>
    <n v="1"/>
    <n v="0"/>
    <n v="410000"/>
    <x v="2"/>
    <n v="410000"/>
  </r>
  <r>
    <s v="T01073"/>
    <d v="2025-02-22T00:00:00"/>
    <s v="BR001"/>
    <s v="P007"/>
    <s v="C0024"/>
    <n v="1"/>
    <n v="15"/>
    <n v="145000"/>
    <x v="2"/>
    <n v="123250"/>
  </r>
  <r>
    <s v="T01364"/>
    <d v="2025-07-25T00:00:00"/>
    <s v="BR002"/>
    <s v="P023"/>
    <s v="C0015"/>
    <n v="1"/>
    <n v="0"/>
    <n v="195000"/>
    <x v="1"/>
    <n v="195000"/>
  </r>
  <r>
    <s v="T00017"/>
    <d v="2025-04-22T00:00:00"/>
    <s v="BR004"/>
    <s v="P008"/>
    <s v="C0213"/>
    <n v="5"/>
    <n v="0"/>
    <n v="410000"/>
    <x v="3"/>
    <n v="2050000"/>
  </r>
  <r>
    <s v="T01000"/>
    <d v="2025-07-02T00:00:00"/>
    <s v="BR003"/>
    <s v="P002"/>
    <s v="C0215"/>
    <n v="1"/>
    <n v="0"/>
    <n v="320000"/>
    <x v="0"/>
    <n v="320000"/>
  </r>
  <r>
    <s v="T01132"/>
    <d v="2025-07-01T00:00:00"/>
    <s v="BR001"/>
    <s v="P021"/>
    <s v="C0066"/>
    <n v="1"/>
    <n v="0"/>
    <n v="6500"/>
    <x v="2"/>
    <n v="6500"/>
  </r>
  <r>
    <s v="T00583"/>
    <d v="2025-04-07T00:00:00"/>
    <s v="BR004"/>
    <s v="P023"/>
    <s v="C0182"/>
    <n v="1"/>
    <n v="0"/>
    <n v="195000"/>
    <x v="3"/>
    <n v="195000"/>
  </r>
  <r>
    <s v="T01335"/>
    <d v="2025-11-17T00:00:00"/>
    <s v="BR001"/>
    <s v="P014"/>
    <s v="C0080"/>
    <n v="1"/>
    <n v="10"/>
    <n v="285000"/>
    <x v="2"/>
    <n v="256500"/>
  </r>
  <r>
    <s v="T01217"/>
    <d v="2025-08-26T00:00:00"/>
    <s v="BR001"/>
    <s v="P011"/>
    <s v="C0140"/>
    <n v="1"/>
    <n v="0"/>
    <n v="74000"/>
    <x v="2"/>
    <n v="74000"/>
  </r>
  <r>
    <s v="T00628"/>
    <d v="2025-10-04T00:00:00"/>
    <s v="BR004"/>
    <s v="P017"/>
    <s v="C0119"/>
    <n v="2"/>
    <n v="0"/>
    <n v="24000"/>
    <x v="3"/>
    <n v="48000"/>
  </r>
  <r>
    <s v="T01305"/>
    <d v="2025-08-20T00:00:00"/>
    <s v="BR001"/>
    <s v="P008"/>
    <s v="C0181"/>
    <n v="3"/>
    <n v="0"/>
    <n v="410000"/>
    <x v="2"/>
    <n v="1230000"/>
  </r>
  <r>
    <s v="T00324"/>
    <d v="2025-05-05T00:00:00"/>
    <s v="BR002"/>
    <s v="P021"/>
    <s v="C0209"/>
    <n v="2"/>
    <n v="10"/>
    <n v="6500"/>
    <x v="1"/>
    <n v="11700"/>
  </r>
  <r>
    <s v="T00825"/>
    <d v="2025-05-02T00:00:00"/>
    <s v="BR002"/>
    <s v="P001"/>
    <s v="C0174"/>
    <n v="5"/>
    <n v="0"/>
    <n v="185000"/>
    <x v="1"/>
    <n v="925000"/>
  </r>
  <r>
    <s v="T01345"/>
    <d v="2025-11-04T00:00:00"/>
    <s v="BR001"/>
    <s v="P021"/>
    <s v="C0204"/>
    <n v="1"/>
    <n v="5"/>
    <n v="6500"/>
    <x v="2"/>
    <n v="6175"/>
  </r>
  <r>
    <s v="T00632"/>
    <d v="2025-10-14T00:00:00"/>
    <s v="BR003"/>
    <s v="P006"/>
    <s v="C0006"/>
    <n v="2"/>
    <n v="0"/>
    <n v="78000"/>
    <x v="0"/>
    <n v="156000"/>
  </r>
  <r>
    <s v="T01105"/>
    <d v="2025-02-04T00:00:00"/>
    <s v="BR002"/>
    <s v="P001"/>
    <s v="C0104"/>
    <n v="1"/>
    <n v="0"/>
    <n v="185000"/>
    <x v="1"/>
    <n v="185000"/>
  </r>
  <r>
    <s v="T00779"/>
    <d v="2025-05-22T00:00:00"/>
    <s v="BR002"/>
    <s v="P010"/>
    <s v="C0200"/>
    <n v="1"/>
    <n v="0"/>
    <n v="62000"/>
    <x v="1"/>
    <n v="62000"/>
  </r>
  <r>
    <s v="T01256"/>
    <d v="2025-02-19T00:00:00"/>
    <s v="BR004"/>
    <s v="P012"/>
    <s v="C0118"/>
    <n v="1"/>
    <n v="20"/>
    <n v="28000"/>
    <x v="3"/>
    <n v="22400"/>
  </r>
  <r>
    <s v="T00438"/>
    <d v="2025-04-09T00:00:00"/>
    <s v="BR001"/>
    <s v="P023"/>
    <s v="C0174"/>
    <n v="1"/>
    <n v="0"/>
    <n v="195000"/>
    <x v="2"/>
    <n v="195000"/>
  </r>
  <r>
    <s v="T00120"/>
    <d v="2025-08-14T00:00:00"/>
    <s v="BR002"/>
    <s v="P007"/>
    <s v="C0089"/>
    <n v="1"/>
    <n v="0"/>
    <n v="145000"/>
    <x v="1"/>
    <n v="145000"/>
  </r>
  <r>
    <s v="T01094"/>
    <d v="2025-05-09T00:00:00"/>
    <s v="BR002"/>
    <s v="P017"/>
    <s v="C0158"/>
    <n v="1"/>
    <n v="0"/>
    <n v="24000"/>
    <x v="1"/>
    <n v="24000"/>
  </r>
  <r>
    <s v="T00791"/>
    <d v="2025-11-13T00:00:00"/>
    <s v="BR003"/>
    <s v="P016"/>
    <s v="C0106"/>
    <n v="1"/>
    <n v="5"/>
    <n v="19500"/>
    <x v="0"/>
    <n v="18525"/>
  </r>
  <r>
    <s v="T00342"/>
    <d v="2025-12-25T00:00:00"/>
    <s v="BR003"/>
    <s v="P011"/>
    <s v="C0055"/>
    <n v="1"/>
    <n v="15"/>
    <n v="74000"/>
    <x v="0"/>
    <n v="62900"/>
  </r>
  <r>
    <s v="T00816"/>
    <d v="2025-01-07T00:00:00"/>
    <s v="BR001"/>
    <s v="P004"/>
    <s v="C0134"/>
    <n v="2"/>
    <n v="15"/>
    <n v="38000"/>
    <x v="2"/>
    <n v="64600"/>
  </r>
  <r>
    <s v="T00003"/>
    <d v="2025-12-10T00:00:00"/>
    <s v="BR004"/>
    <s v="P018"/>
    <s v="C0217"/>
    <n v="2"/>
    <n v="0"/>
    <n v="18000"/>
    <x v="3"/>
    <n v="36000"/>
  </r>
  <r>
    <s v="T00230"/>
    <d v="2025-07-06T00:00:00"/>
    <s v="BR002"/>
    <s v="P019"/>
    <s v="C0176"/>
    <n v="1"/>
    <n v="0"/>
    <n v="21000"/>
    <x v="1"/>
    <n v="21000"/>
  </r>
  <r>
    <s v="T00981"/>
    <d v="2025-12-19T00:00:00"/>
    <s v="BR001"/>
    <s v="P004"/>
    <s v="C0137"/>
    <n v="1"/>
    <n v="10"/>
    <n v="38000"/>
    <x v="2"/>
    <n v="34200"/>
  </r>
  <r>
    <s v="T01355"/>
    <d v="2025-02-19T00:00:00"/>
    <s v="BR002"/>
    <s v="P004"/>
    <s v="C0204"/>
    <n v="1"/>
    <n v="0"/>
    <n v="38000"/>
    <x v="1"/>
    <n v="38000"/>
  </r>
  <r>
    <s v="T00077"/>
    <d v="2025-09-06T00:00:00"/>
    <s v="BR004"/>
    <s v="P020"/>
    <s v="C0047"/>
    <n v="1"/>
    <n v="0"/>
    <n v="8500"/>
    <x v="3"/>
    <n v="8500"/>
  </r>
  <r>
    <s v="T01299"/>
    <d v="2025-03-25T00:00:00"/>
    <s v="BR001"/>
    <s v="P012"/>
    <s v="C0015"/>
    <n v="1"/>
    <n v="0"/>
    <n v="28000"/>
    <x v="2"/>
    <n v="28000"/>
  </r>
  <r>
    <s v="T01134"/>
    <d v="2025-05-18T00:00:00"/>
    <s v="BR001"/>
    <s v="P017"/>
    <s v="C0191"/>
    <n v="1"/>
    <n v="5"/>
    <n v="24000"/>
    <x v="2"/>
    <n v="22800"/>
  </r>
  <r>
    <s v="T00372"/>
    <d v="2025-04-27T00:00:00"/>
    <s v="BR002"/>
    <s v="P006"/>
    <s v="C0211"/>
    <n v="2"/>
    <n v="0"/>
    <n v="78000"/>
    <x v="1"/>
    <n v="156000"/>
  </r>
  <r>
    <s v="T00181"/>
    <d v="2025-01-26T00:00:00"/>
    <s v="BR001"/>
    <s v="P024"/>
    <s v="C0001"/>
    <n v="1"/>
    <n v="0"/>
    <n v="245000"/>
    <x v="2"/>
    <n v="245000"/>
  </r>
  <r>
    <s v="T00237"/>
    <d v="2025-01-12T00:00:00"/>
    <s v="BR003"/>
    <s v="P002"/>
    <s v="C0148"/>
    <n v="1"/>
    <n v="0"/>
    <n v="320000"/>
    <x v="0"/>
    <n v="320000"/>
  </r>
  <r>
    <s v="T00578"/>
    <d v="2025-11-03T00:00:00"/>
    <s v="BR001"/>
    <s v="P024"/>
    <s v="C0191"/>
    <n v="1"/>
    <n v="15"/>
    <n v="245000"/>
    <x v="2"/>
    <n v="208250"/>
  </r>
  <r>
    <s v="T00949"/>
    <d v="2025-08-05T00:00:00"/>
    <s v="BR002"/>
    <s v="P019"/>
    <s v="C0083"/>
    <n v="1"/>
    <n v="0"/>
    <n v="21000"/>
    <x v="1"/>
    <n v="21000"/>
  </r>
  <r>
    <s v="T01387"/>
    <d v="2025-04-02T00:00:00"/>
    <s v="BR001"/>
    <s v="P008"/>
    <s v="C0143"/>
    <n v="2"/>
    <n v="15"/>
    <n v="410000"/>
    <x v="2"/>
    <n v="697000"/>
  </r>
  <r>
    <s v="T01046"/>
    <d v="2025-02-02T00:00:00"/>
    <s v="BR001"/>
    <s v="P025"/>
    <s v="C0046"/>
    <n v="1"/>
    <n v="0"/>
    <n v="175000"/>
    <x v="2"/>
    <n v="175000"/>
  </r>
  <r>
    <s v="T01209"/>
    <d v="2025-07-21T00:00:00"/>
    <s v="BR003"/>
    <s v="P018"/>
    <s v="C0123"/>
    <n v="1"/>
    <n v="0"/>
    <n v="18000"/>
    <x v="0"/>
    <n v="18000"/>
  </r>
  <r>
    <s v="T01200"/>
    <d v="2025-12-28T00:00:00"/>
    <s v="BR002"/>
    <s v="P012"/>
    <s v="C0008"/>
    <n v="1"/>
    <n v="5"/>
    <n v="28000"/>
    <x v="1"/>
    <n v="26600"/>
  </r>
  <r>
    <s v="T00906"/>
    <d v="2025-04-11T00:00:00"/>
    <s v="BR002"/>
    <s v="P004"/>
    <s v="C0173"/>
    <n v="1"/>
    <n v="0"/>
    <n v="38000"/>
    <x v="1"/>
    <n v="38000"/>
  </r>
  <r>
    <s v="T00590"/>
    <d v="2025-11-24T00:00:00"/>
    <s v="BR003"/>
    <s v="P005"/>
    <s v="C0136"/>
    <n v="2"/>
    <n v="10"/>
    <n v="95000"/>
    <x v="0"/>
    <n v="171000"/>
  </r>
  <r>
    <s v="T01054"/>
    <d v="2025-06-12T00:00:00"/>
    <s v="BR002"/>
    <s v="P022"/>
    <s v="C0050"/>
    <n v="2"/>
    <n v="0"/>
    <n v="5200"/>
    <x v="1"/>
    <n v="10400"/>
  </r>
  <r>
    <s v="T00786"/>
    <d v="2025-08-12T00:00:00"/>
    <s v="BR002"/>
    <s v="P004"/>
    <s v="C0061"/>
    <n v="1"/>
    <n v="0"/>
    <n v="38000"/>
    <x v="1"/>
    <n v="38000"/>
  </r>
  <r>
    <s v="T01078"/>
    <d v="2025-07-25T00:00:00"/>
    <s v="BR002"/>
    <s v="P010"/>
    <s v="C0045"/>
    <n v="1"/>
    <n v="0"/>
    <n v="62000"/>
    <x v="1"/>
    <n v="62000"/>
  </r>
  <r>
    <s v="T00312"/>
    <d v="2025-10-02T00:00:00"/>
    <s v="BR002"/>
    <s v="P018"/>
    <s v="C0062"/>
    <n v="2"/>
    <n v="5"/>
    <n v="18000"/>
    <x v="1"/>
    <n v="34200"/>
  </r>
  <r>
    <s v="T01126"/>
    <d v="2025-10-17T00:00:00"/>
    <s v="BR003"/>
    <s v="P009"/>
    <s v="C0064"/>
    <n v="5"/>
    <n v="5"/>
    <n v="265000"/>
    <x v="0"/>
    <n v="1258750"/>
  </r>
  <r>
    <s v="T00302"/>
    <d v="2025-09-21T00:00:00"/>
    <s v="BR003"/>
    <s v="P003"/>
    <s v="C0026"/>
    <n v="1"/>
    <n v="0"/>
    <n v="45000"/>
    <x v="0"/>
    <n v="45000"/>
  </r>
  <r>
    <s v="T00723"/>
    <d v="2025-12-02T00:00:00"/>
    <s v="BR001"/>
    <s v="P016"/>
    <s v="C0166"/>
    <n v="1"/>
    <n v="5"/>
    <n v="19500"/>
    <x v="2"/>
    <n v="18525"/>
  </r>
  <r>
    <s v="T00690"/>
    <d v="2025-06-09T00:00:00"/>
    <s v="BR004"/>
    <s v="P013"/>
    <s v="C0147"/>
    <n v="1"/>
    <n v="15"/>
    <n v="22000"/>
    <x v="3"/>
    <n v="18700"/>
  </r>
  <r>
    <s v="T00813"/>
    <d v="2025-11-07T00:00:00"/>
    <s v="BR003"/>
    <s v="P012"/>
    <s v="C0190"/>
    <n v="1"/>
    <n v="5"/>
    <n v="28000"/>
    <x v="0"/>
    <n v="26600"/>
  </r>
  <r>
    <s v="T00038"/>
    <d v="2025-06-09T00:00:00"/>
    <s v="BR003"/>
    <s v="P009"/>
    <s v="C0044"/>
    <n v="1"/>
    <n v="20"/>
    <n v="265000"/>
    <x v="0"/>
    <n v="212000"/>
  </r>
  <r>
    <s v="T00354"/>
    <d v="2025-12-18T00:00:00"/>
    <s v="BR003"/>
    <s v="P014"/>
    <s v="C0149"/>
    <n v="1"/>
    <n v="0"/>
    <n v="285000"/>
    <x v="0"/>
    <n v="285000"/>
  </r>
  <r>
    <s v="T01291"/>
    <d v="2025-07-02T00:00:00"/>
    <s v="BR001"/>
    <s v="P012"/>
    <s v="C0040"/>
    <n v="1"/>
    <n v="0"/>
    <n v="28000"/>
    <x v="2"/>
    <n v="28000"/>
  </r>
  <r>
    <s v="T00715"/>
    <d v="2025-08-15T00:00:00"/>
    <s v="BR002"/>
    <s v="P010"/>
    <s v="C0167"/>
    <n v="1"/>
    <n v="0"/>
    <n v="62000"/>
    <x v="1"/>
    <n v="62000"/>
  </r>
  <r>
    <s v="T00237"/>
    <d v="2025-01-12T00:00:00"/>
    <s v="BR003"/>
    <s v="P002"/>
    <s v="C0148"/>
    <n v="1"/>
    <n v="0"/>
    <n v="320000"/>
    <x v="0"/>
    <n v="320000"/>
  </r>
  <r>
    <s v="T01172"/>
    <d v="2025-11-11T00:00:00"/>
    <s v="BR001"/>
    <s v="P018"/>
    <s v="C0047"/>
    <n v="2"/>
    <n v="25"/>
    <n v="18000"/>
    <x v="2"/>
    <n v="27000"/>
  </r>
  <r>
    <s v="T00730"/>
    <d v="2025-02-03T00:00:00"/>
    <s v="BR002"/>
    <s v="P018"/>
    <s v="C0035"/>
    <n v="2"/>
    <n v="0"/>
    <n v="18000"/>
    <x v="1"/>
    <n v="36000"/>
  </r>
  <r>
    <s v="T01158"/>
    <d v="2025-05-27T00:00:00"/>
    <s v="BR001"/>
    <s v="P017"/>
    <s v="C0141"/>
    <n v="2"/>
    <n v="0"/>
    <n v="24000"/>
    <x v="2"/>
    <n v="48000"/>
  </r>
  <r>
    <s v="T00878"/>
    <d v="2025-02-17T00:00:00"/>
    <s v="BR001"/>
    <s v="P015"/>
    <s v="C0037"/>
    <n v="5"/>
    <n v="0"/>
    <n v="15000"/>
    <x v="2"/>
    <n v="75000"/>
  </r>
  <r>
    <s v="T00500"/>
    <d v="2025-04-28T00:00:00"/>
    <s v="BR001"/>
    <s v="P019"/>
    <s v="C0094"/>
    <n v="2"/>
    <n v="0"/>
    <n v="21000"/>
    <x v="2"/>
    <n v="42000"/>
  </r>
  <r>
    <s v="T01160"/>
    <d v="2025-11-18T00:00:00"/>
    <s v="BR001"/>
    <s v="P011"/>
    <s v="C0071"/>
    <n v="1"/>
    <n v="10"/>
    <n v="74000"/>
    <x v="2"/>
    <n v="66600"/>
  </r>
  <r>
    <s v="T00554"/>
    <d v="2025-06-04T00:00:00"/>
    <s v="BR002"/>
    <s v="P015"/>
    <s v="C0082"/>
    <n v="1"/>
    <n v="5"/>
    <n v="15000"/>
    <x v="1"/>
    <n v="14250"/>
  </r>
  <r>
    <s v="T00056"/>
    <d v="2025-12-22T00:00:00"/>
    <s v="BR001"/>
    <s v="P009"/>
    <s v="C0108"/>
    <n v="1"/>
    <n v="5"/>
    <n v="265000"/>
    <x v="2"/>
    <n v="251750"/>
  </r>
  <r>
    <s v="T00303"/>
    <d v="2025-02-07T00:00:00"/>
    <s v="BR002"/>
    <s v="P022"/>
    <s v="C0130"/>
    <n v="1"/>
    <n v="10"/>
    <n v="5200"/>
    <x v="1"/>
    <n v="4680"/>
  </r>
  <r>
    <s v="T00795"/>
    <d v="2025-11-18T00:00:00"/>
    <s v="BR003"/>
    <s v="P020"/>
    <s v="C0113"/>
    <n v="1"/>
    <n v="5"/>
    <n v="8500"/>
    <x v="0"/>
    <n v="8075"/>
  </r>
  <r>
    <s v="T00287"/>
    <d v="2025-03-13T00:00:00"/>
    <s v="BR003"/>
    <s v="P015"/>
    <s v="C0067"/>
    <n v="5"/>
    <n v="15"/>
    <n v="15000"/>
    <x v="0"/>
    <n v="63750"/>
  </r>
  <r>
    <s v="T01072"/>
    <d v="2025-03-05T00:00:00"/>
    <s v="BR004"/>
    <s v="P001"/>
    <s v="C0215"/>
    <n v="1"/>
    <n v="5"/>
    <n v="185000"/>
    <x v="3"/>
    <n v="175750"/>
  </r>
  <r>
    <s v="T00220"/>
    <d v="2025-11-21T00:00:00"/>
    <s v="BR004"/>
    <s v="P012"/>
    <s v="C0070"/>
    <n v="1"/>
    <n v="10"/>
    <n v="28000"/>
    <x v="3"/>
    <n v="25200"/>
  </r>
  <r>
    <s v="T00893"/>
    <d v="2025-03-01T00:00:00"/>
    <s v="BR001"/>
    <s v="P019"/>
    <s v="C0190"/>
    <n v="1"/>
    <n v="10"/>
    <n v="21000"/>
    <x v="2"/>
    <n v="18900"/>
  </r>
  <r>
    <s v="T00388"/>
    <d v="2025-04-13T00:00:00"/>
    <s v="BR003"/>
    <s v="P002"/>
    <s v="C0177"/>
    <n v="1"/>
    <n v="20"/>
    <n v="320000"/>
    <x v="0"/>
    <n v="256000"/>
  </r>
  <r>
    <s v="T00305"/>
    <d v="2025-09-09T00:00:00"/>
    <s v="BR002"/>
    <s v="P009"/>
    <s v="C0065"/>
    <n v="1"/>
    <n v="0"/>
    <n v="265000"/>
    <x v="1"/>
    <n v="265000"/>
  </r>
  <r>
    <s v="T00391"/>
    <d v="2025-12-24T00:00:00"/>
    <s v="BR001"/>
    <s v="P015"/>
    <s v="C0084"/>
    <n v="2"/>
    <n v="15"/>
    <n v="15000"/>
    <x v="2"/>
    <n v="25500"/>
  </r>
  <r>
    <s v="T00907"/>
    <d v="2025-03-26T00:00:00"/>
    <s v="BR002"/>
    <s v="P018"/>
    <s v="C0002"/>
    <n v="1"/>
    <n v="0"/>
    <n v="18000"/>
    <x v="1"/>
    <n v="18000"/>
  </r>
  <r>
    <s v="T00353"/>
    <d v="2025-12-01T00:00:00"/>
    <s v="BR001"/>
    <s v="P018"/>
    <s v="C0217"/>
    <n v="2"/>
    <n v="5"/>
    <n v="18000"/>
    <x v="2"/>
    <n v="34200"/>
  </r>
  <r>
    <s v="T00194"/>
    <d v="2025-02-01T00:00:00"/>
    <s v="BR001"/>
    <s v="P022"/>
    <s v="C0150"/>
    <n v="1"/>
    <n v="0"/>
    <n v="5200"/>
    <x v="2"/>
    <n v="5200"/>
  </r>
  <r>
    <s v="T00236"/>
    <d v="2025-05-12T00:00:00"/>
    <s v="BR001"/>
    <s v="P005"/>
    <s v="C0019"/>
    <n v="1"/>
    <n v="0"/>
    <n v="95000"/>
    <x v="2"/>
    <n v="95000"/>
  </r>
  <r>
    <s v="T01193"/>
    <d v="2025-12-20T00:00:00"/>
    <s v="BR003"/>
    <s v="P005"/>
    <s v="C0109"/>
    <n v="1"/>
    <n v="10"/>
    <n v="95000"/>
    <x v="0"/>
    <n v="85500"/>
  </r>
  <r>
    <s v="T00695"/>
    <d v="2025-03-25T00:00:00"/>
    <s v="BR002"/>
    <s v="P022"/>
    <s v="C0211"/>
    <n v="1"/>
    <n v="0"/>
    <n v="5200"/>
    <x v="1"/>
    <n v="5200"/>
  </r>
  <r>
    <s v="T00481"/>
    <d v="2025-08-03T00:00:00"/>
    <s v="BR001"/>
    <s v="P018"/>
    <s v="C0209"/>
    <n v="1"/>
    <n v="0"/>
    <n v="18000"/>
    <x v="2"/>
    <n v="18000"/>
  </r>
  <r>
    <s v="T00568"/>
    <d v="2025-07-09T00:00:00"/>
    <s v="BR003"/>
    <s v="P005"/>
    <s v="C0105"/>
    <n v="2"/>
    <n v="20"/>
    <n v="95000"/>
    <x v="0"/>
    <n v="152000"/>
  </r>
  <r>
    <s v="T00117"/>
    <d v="2025-08-10T00:00:00"/>
    <s v="BR002"/>
    <s v="P022"/>
    <s v="C0015"/>
    <n v="2"/>
    <n v="0"/>
    <n v="5200"/>
    <x v="1"/>
    <n v="10400"/>
  </r>
  <r>
    <s v="T01116"/>
    <d v="2025-11-22T00:00:00"/>
    <s v="BR001"/>
    <s v="P020"/>
    <s v="C0130"/>
    <n v="2"/>
    <n v="5"/>
    <n v="8500"/>
    <x v="2"/>
    <n v="16150"/>
  </r>
  <r>
    <s v="T00654"/>
    <d v="2025-12-23T00:00:00"/>
    <s v="BR004"/>
    <s v="P016"/>
    <s v="C0157"/>
    <n v="1"/>
    <n v="10"/>
    <n v="19500"/>
    <x v="3"/>
    <n v="17550"/>
  </r>
  <r>
    <s v="T01384"/>
    <d v="2025-03-20T00:00:00"/>
    <s v="BR002"/>
    <s v="P025"/>
    <s v="C0157"/>
    <n v="1"/>
    <n v="0"/>
    <n v="175000"/>
    <x v="1"/>
    <n v="175000"/>
  </r>
  <r>
    <s v="T01303"/>
    <d v="2025-08-20T00:00:00"/>
    <s v="BR002"/>
    <s v="P001"/>
    <s v="C0220"/>
    <n v="3"/>
    <n v="0"/>
    <n v="185000"/>
    <x v="1"/>
    <n v="555000"/>
  </r>
  <r>
    <s v="T00758"/>
    <d v="2025-06-15T00:00:00"/>
    <s v="BR002"/>
    <s v="P001"/>
    <s v="C0212"/>
    <n v="1"/>
    <n v="10"/>
    <n v="185000"/>
    <x v="1"/>
    <n v="166500"/>
  </r>
  <r>
    <s v="T00445"/>
    <d v="2025-02-04T00:00:00"/>
    <s v="BR002"/>
    <s v="P003"/>
    <s v="C0104"/>
    <n v="2"/>
    <n v="15"/>
    <n v="45000"/>
    <x v="1"/>
    <n v="76500"/>
  </r>
  <r>
    <s v="T01370"/>
    <d v="2025-06-08T00:00:00"/>
    <s v="BR001"/>
    <s v="P015"/>
    <s v="C0133"/>
    <n v="2"/>
    <n v="10"/>
    <n v="15000"/>
    <x v="2"/>
    <n v="27000"/>
  </r>
  <r>
    <s v="T00121"/>
    <d v="2025-12-03T00:00:00"/>
    <s v="BR001"/>
    <s v="P007"/>
    <s v="C0161"/>
    <n v="1"/>
    <n v="15"/>
    <n v="145000"/>
    <x v="2"/>
    <n v="123250"/>
  </r>
  <r>
    <s v="T01080"/>
    <d v="2025-04-19T00:00:00"/>
    <s v="BR003"/>
    <s v="P008"/>
    <s v="C0115"/>
    <n v="1"/>
    <n v="20"/>
    <n v="410000"/>
    <x v="0"/>
    <n v="328000"/>
  </r>
  <r>
    <s v="T01206"/>
    <d v="2025-12-07T00:00:00"/>
    <s v="BR001"/>
    <s v="P019"/>
    <s v="C0106"/>
    <n v="1"/>
    <n v="15"/>
    <n v="21000"/>
    <x v="2"/>
    <n v="17850"/>
  </r>
  <r>
    <s v="T01056"/>
    <d v="2025-02-22T00:00:00"/>
    <s v="BR003"/>
    <s v="P004"/>
    <s v="C0133"/>
    <n v="2"/>
    <n v="0"/>
    <n v="38000"/>
    <x v="0"/>
    <n v="76000"/>
  </r>
  <r>
    <s v="T00063"/>
    <d v="2025-01-21T00:00:00"/>
    <s v="BR004"/>
    <s v="P004"/>
    <s v="C0093"/>
    <n v="1"/>
    <n v="20"/>
    <n v="38000"/>
    <x v="3"/>
    <n v="30400"/>
  </r>
  <r>
    <s v="T00744"/>
    <d v="2025-12-20T00:00:00"/>
    <s v="BR001"/>
    <s v="P018"/>
    <s v="C0051"/>
    <n v="1"/>
    <n v="20"/>
    <n v="18000"/>
    <x v="2"/>
    <n v="14400"/>
  </r>
  <r>
    <s v="T00931"/>
    <d v="2025-01-04T00:00:00"/>
    <s v="BR004"/>
    <s v="P022"/>
    <s v="C0121"/>
    <n v="1"/>
    <n v="5"/>
    <n v="5200"/>
    <x v="3"/>
    <n v="4940"/>
  </r>
  <r>
    <s v="T00454"/>
    <d v="2025-09-02T00:00:00"/>
    <s v="BR002"/>
    <s v="P021"/>
    <s v="C0211"/>
    <n v="1"/>
    <n v="20"/>
    <n v="6500"/>
    <x v="1"/>
    <n v="5200"/>
  </r>
  <r>
    <s v="T00516"/>
    <d v="2025-03-11T00:00:00"/>
    <s v="BR001"/>
    <s v="P016"/>
    <s v="C0019"/>
    <n v="1"/>
    <n v="0"/>
    <n v="19500"/>
    <x v="2"/>
    <n v="19500"/>
  </r>
  <r>
    <s v="T00571"/>
    <d v="2025-12-23T00:00:00"/>
    <s v="BR001"/>
    <s v="P004"/>
    <s v="C0069"/>
    <n v="1"/>
    <n v="20"/>
    <n v="38000"/>
    <x v="2"/>
    <n v="30400"/>
  </r>
  <r>
    <s v="T00224"/>
    <d v="2025-05-04T00:00:00"/>
    <s v="BR002"/>
    <s v="P016"/>
    <s v="C0038"/>
    <n v="1"/>
    <n v="0"/>
    <n v="19500"/>
    <x v="1"/>
    <n v="19500"/>
  </r>
  <r>
    <s v="T01047"/>
    <s v="24/12/2025"/>
    <s v="BR001"/>
    <s v="P010"/>
    <s v="C0080"/>
    <n v="1"/>
    <n v="5"/>
    <n v="62000"/>
    <x v="2"/>
    <n v="58900"/>
  </r>
  <r>
    <s v="T00614"/>
    <d v="2025-12-16T00:00:00"/>
    <s v="BR003"/>
    <s v="P011"/>
    <s v="C0089"/>
    <n v="1"/>
    <n v="10"/>
    <n v="74000"/>
    <x v="0"/>
    <n v="66600"/>
  </r>
  <r>
    <s v="T00844"/>
    <d v="2025-08-15T00:00:00"/>
    <s v="BR002"/>
    <s v="P015"/>
    <s v="C0066"/>
    <n v="2"/>
    <n v="0"/>
    <n v="15000"/>
    <x v="1"/>
    <n v="30000"/>
  </r>
  <r>
    <s v="T00222"/>
    <d v="2025-11-24T00:00:00"/>
    <s v="BR001"/>
    <s v="P014"/>
    <s v="C0064"/>
    <n v="1"/>
    <n v="0"/>
    <n v="285000"/>
    <x v="2"/>
    <n v="285000"/>
  </r>
  <r>
    <s v="T00942"/>
    <d v="2025-08-16T00:00:00"/>
    <s v="BR001"/>
    <s v="P023"/>
    <s v="C0132"/>
    <n v="1"/>
    <n v="5"/>
    <n v="195000"/>
    <x v="2"/>
    <n v="185250"/>
  </r>
  <r>
    <s v="T00517"/>
    <d v="2025-02-22T00:00:00"/>
    <s v="BR001"/>
    <s v="P015"/>
    <s v="C0115"/>
    <n v="1"/>
    <n v="15"/>
    <n v="15000"/>
    <x v="2"/>
    <n v="12750"/>
  </r>
  <r>
    <s v="T00466"/>
    <d v="2025-11-02T00:00:00"/>
    <s v="BR002"/>
    <s v="P014"/>
    <s v="C0165"/>
    <n v="1"/>
    <n v="10"/>
    <n v="285000"/>
    <x v="1"/>
    <n v="256500"/>
  </r>
  <r>
    <s v="T00053"/>
    <d v="2025-07-19T00:00:00"/>
    <s v="BR002"/>
    <s v="P022"/>
    <s v="C0064"/>
    <n v="1"/>
    <n v="15"/>
    <n v="5200"/>
    <x v="1"/>
    <n v="4420"/>
  </r>
  <r>
    <s v="T01288"/>
    <d v="2025-12-13T00:00:00"/>
    <s v="BR002"/>
    <s v="P007"/>
    <s v="C0154"/>
    <n v="2"/>
    <n v="5"/>
    <n v="145000"/>
    <x v="1"/>
    <n v="275500"/>
  </r>
  <r>
    <s v="T00486"/>
    <d v="2025-12-20T00:00:00"/>
    <s v="BR003"/>
    <s v="P006"/>
    <s v="C0128"/>
    <n v="1"/>
    <n v="30"/>
    <n v="78000"/>
    <x v="0"/>
    <n v="54600"/>
  </r>
  <r>
    <s v="T00876"/>
    <d v="2025-06-23T00:00:00"/>
    <s v="BR004"/>
    <s v="P023"/>
    <s v="C0108"/>
    <n v="1"/>
    <n v="0"/>
    <n v="195000"/>
    <x v="3"/>
    <n v="195000"/>
  </r>
  <r>
    <s v="T01339"/>
    <d v="2025-01-19T00:00:00"/>
    <s v="BR003"/>
    <s v="P001"/>
    <s v="C0070"/>
    <n v="5"/>
    <n v="5"/>
    <n v="185000"/>
    <x v="0"/>
    <n v="878750"/>
  </r>
  <r>
    <s v="T00819"/>
    <d v="2025-12-03T00:00:00"/>
    <s v="BR001"/>
    <s v="P011"/>
    <s v="C0216"/>
    <n v="1"/>
    <n v="5"/>
    <n v="74000"/>
    <x v="2"/>
    <n v="70300"/>
  </r>
  <r>
    <s v="T00387"/>
    <d v="2025-07-05T00:00:00"/>
    <s v="BR002"/>
    <s v="P005"/>
    <s v="C0180"/>
    <n v="1"/>
    <n v="0"/>
    <n v="95000"/>
    <x v="1"/>
    <n v="95000"/>
  </r>
  <r>
    <s v="T00156"/>
    <d v="2025-12-10T00:00:00"/>
    <s v="BR001"/>
    <s v="P010"/>
    <s v="C0192"/>
    <n v="2"/>
    <n v="15"/>
    <n v="62000"/>
    <x v="2"/>
    <n v="105400"/>
  </r>
  <r>
    <s v="T01145"/>
    <d v="2025-12-17T00:00:00"/>
    <s v="BR001"/>
    <s v="P009"/>
    <s v="C0074"/>
    <n v="2"/>
    <n v="15"/>
    <n v="265000"/>
    <x v="2"/>
    <n v="450500"/>
  </r>
  <r>
    <s v="T00601"/>
    <d v="2025-09-16T00:00:00"/>
    <s v="BR001"/>
    <s v="P020"/>
    <s v="C0194"/>
    <n v="1"/>
    <n v="0"/>
    <n v="8500"/>
    <x v="2"/>
    <n v="8500"/>
  </r>
  <r>
    <s v="T01121"/>
    <d v="2025-10-23T00:00:00"/>
    <s v="BR001"/>
    <s v="P011"/>
    <s v="C0122"/>
    <n v="2"/>
    <n v="0"/>
    <n v="74000"/>
    <x v="2"/>
    <n v="148000"/>
  </r>
  <r>
    <s v="T00249"/>
    <d v="2025-10-22T00:00:00"/>
    <s v="BR003"/>
    <s v="P005"/>
    <s v="C0023"/>
    <n v="1"/>
    <n v="5"/>
    <n v="95000"/>
    <x v="0"/>
    <n v="90250"/>
  </r>
  <r>
    <s v="T00762"/>
    <d v="2025-09-06T00:00:00"/>
    <s v="BR002"/>
    <s v="P021"/>
    <s v="C0070"/>
    <n v="2"/>
    <n v="10"/>
    <n v="6500"/>
    <x v="1"/>
    <n v="11700"/>
  </r>
  <r>
    <s v="T00871"/>
    <d v="2025-08-02T00:00:00"/>
    <s v="BR003"/>
    <s v="P011"/>
    <s v="C0122"/>
    <n v="1"/>
    <n v="5"/>
    <n v="74000"/>
    <x v="0"/>
    <n v="70300"/>
  </r>
  <r>
    <s v="T00856"/>
    <d v="2025-03-22T00:00:00"/>
    <s v="BR004"/>
    <s v="P023"/>
    <s v="C0116"/>
    <n v="1"/>
    <n v="10"/>
    <n v="195000"/>
    <x v="3"/>
    <n v="175500"/>
  </r>
  <r>
    <s v="T00442"/>
    <d v="2025-06-18T00:00:00"/>
    <s v="BR004"/>
    <s v="P005"/>
    <s v="C0191"/>
    <n v="1"/>
    <n v="0"/>
    <n v="95000"/>
    <x v="3"/>
    <n v="95000"/>
  </r>
  <r>
    <s v="T01278"/>
    <d v="2025-05-21T00:00:00"/>
    <s v="BR001"/>
    <s v="P018"/>
    <s v="C0149"/>
    <n v="1"/>
    <n v="0"/>
    <n v="18000"/>
    <x v="2"/>
    <n v="18000"/>
  </r>
  <r>
    <s v="T01292"/>
    <d v="2025-11-19T00:00:00"/>
    <s v="BR001"/>
    <s v="P021"/>
    <s v="C0048"/>
    <n v="1"/>
    <n v="10"/>
    <n v="6500"/>
    <x v="2"/>
    <n v="5850"/>
  </r>
  <r>
    <s v="T00543"/>
    <d v="2025-02-20T00:00:00"/>
    <s v="BR002"/>
    <s v="P024"/>
    <s v="C0220"/>
    <n v="1"/>
    <n v="5"/>
    <n v="245000"/>
    <x v="1"/>
    <n v="232750"/>
  </r>
  <r>
    <s v="T01019"/>
    <d v="2025-11-15T00:00:00"/>
    <s v="BR002"/>
    <s v="P004"/>
    <s v="C0083"/>
    <n v="1"/>
    <n v="10"/>
    <n v="38000"/>
    <x v="1"/>
    <n v="34200"/>
  </r>
  <r>
    <s v="T00702"/>
    <d v="2025-02-19T00:00:00"/>
    <s v="BR002"/>
    <s v="P003"/>
    <s v="C0079"/>
    <n v="1"/>
    <n v="10"/>
    <n v="45000"/>
    <x v="1"/>
    <n v="40500"/>
  </r>
  <r>
    <s v="T00118"/>
    <d v="2025-05-18T00:00:00"/>
    <s v="BR001"/>
    <s v="P012"/>
    <s v="C0151"/>
    <n v="1"/>
    <n v="0"/>
    <n v="28000"/>
    <x v="2"/>
    <n v="28000"/>
  </r>
  <r>
    <s v="T01021"/>
    <d v="2025-07-06T00:00:00"/>
    <s v="BR002"/>
    <s v="P008"/>
    <s v="C0137"/>
    <n v="1"/>
    <n v="0"/>
    <n v="410000"/>
    <x v="1"/>
    <n v="410000"/>
  </r>
  <r>
    <s v="T00629"/>
    <d v="2025-08-01T00:00:00"/>
    <s v="BR002"/>
    <s v="P005"/>
    <s v="C0111"/>
    <n v="1"/>
    <n v="0"/>
    <n v="95000"/>
    <x v="1"/>
    <n v="95000"/>
  </r>
  <r>
    <s v="T01006"/>
    <d v="2025-03-09T00:00:00"/>
    <s v="BR001"/>
    <s v="P005"/>
    <s v="C0145"/>
    <n v="1"/>
    <n v="15"/>
    <n v="95000"/>
    <x v="2"/>
    <n v="80750"/>
  </r>
  <r>
    <s v="T00207"/>
    <d v="2025-12-11T00:00:00"/>
    <s v="BR001"/>
    <s v="P018"/>
    <s v="C0140"/>
    <n v="1"/>
    <n v="25"/>
    <n v="18000"/>
    <x v="2"/>
    <n v="13500"/>
  </r>
  <r>
    <s v="T00292"/>
    <d v="2025-08-02T00:00:00"/>
    <s v="BR003"/>
    <s v="P016"/>
    <s v="C0196"/>
    <n v="3"/>
    <n v="0"/>
    <n v="19500"/>
    <x v="0"/>
    <n v="58500"/>
  </r>
  <r>
    <s v="T01230"/>
    <d v="2025-11-05T00:00:00"/>
    <s v="BR002"/>
    <s v="P021"/>
    <s v="C0170"/>
    <n v="1"/>
    <n v="20"/>
    <n v="6500"/>
    <x v="1"/>
    <n v="5200"/>
  </r>
  <r>
    <s v="T00382"/>
    <d v="2025-01-16T00:00:00"/>
    <s v="BR001"/>
    <s v="P002"/>
    <s v="C0175"/>
    <n v="1"/>
    <n v="0"/>
    <n v="320000"/>
    <x v="2"/>
    <n v="320000"/>
  </r>
  <r>
    <s v="T00820"/>
    <d v="2025-11-28T00:00:00"/>
    <s v="BR002"/>
    <s v="P004"/>
    <s v="C0081"/>
    <n v="1"/>
    <n v="10"/>
    <n v="38000"/>
    <x v="1"/>
    <n v="34200"/>
  </r>
  <r>
    <s v="T00984"/>
    <d v="2025-10-02T00:00:00"/>
    <s v="BR003"/>
    <s v="P005"/>
    <s v="C0058"/>
    <n v="1"/>
    <n v="0"/>
    <n v="95000"/>
    <x v="0"/>
    <n v="95000"/>
  </r>
  <r>
    <s v="T01077"/>
    <d v="2025-06-15T00:00:00"/>
    <s v="BR001"/>
    <s v="P021"/>
    <s v="C0089"/>
    <n v="1"/>
    <n v="20"/>
    <n v="6500"/>
    <x v="2"/>
    <n v="5200"/>
  </r>
  <r>
    <s v="T00201"/>
    <d v="2025-08-20T00:00:00"/>
    <s v="BR003"/>
    <s v="P017"/>
    <s v="C0099"/>
    <n v="2"/>
    <n v="10"/>
    <n v="24000"/>
    <x v="0"/>
    <n v="43200"/>
  </r>
  <r>
    <s v="T00597"/>
    <d v="2025-01-22T00:00:00"/>
    <s v="BR002"/>
    <s v="P011"/>
    <s v="C0125"/>
    <n v="2"/>
    <n v="0"/>
    <n v="74000"/>
    <x v="1"/>
    <n v="148000"/>
  </r>
  <r>
    <s v="T00898"/>
    <d v="2025-04-12T00:00:00"/>
    <s v="BR001"/>
    <s v="P021"/>
    <s v="C0056"/>
    <n v="1"/>
    <n v="0"/>
    <n v="6500"/>
    <x v="2"/>
    <n v="6500"/>
  </r>
  <r>
    <s v="T01235"/>
    <d v="2025-07-13T00:00:00"/>
    <s v="BR002"/>
    <s v="P007"/>
    <s v="C0121"/>
    <n v="1"/>
    <n v="0"/>
    <n v="145000"/>
    <x v="1"/>
    <n v="145000"/>
  </r>
  <r>
    <s v="T00855"/>
    <d v="2025-01-12T00:00:00"/>
    <s v="BR001"/>
    <s v="P001"/>
    <s v="C0077"/>
    <n v="1"/>
    <n v="10"/>
    <n v="185000"/>
    <x v="2"/>
    <n v="166500"/>
  </r>
  <r>
    <s v="T01336"/>
    <d v="2025-05-18T00:00:00"/>
    <s v="BR002"/>
    <s v="P019"/>
    <s v="C0005"/>
    <n v="1"/>
    <n v="0"/>
    <n v="21000"/>
    <x v="1"/>
    <n v="21000"/>
  </r>
  <r>
    <s v="T01397"/>
    <d v="2025-07-18T00:00:00"/>
    <s v="BR001"/>
    <s v="P014"/>
    <s v="C0040"/>
    <n v="2"/>
    <n v="5"/>
    <n v="285000"/>
    <x v="2"/>
    <n v="541500"/>
  </r>
  <r>
    <s v="T00805"/>
    <d v="2025-01-03T00:00:00"/>
    <s v="BR001"/>
    <s v="P003"/>
    <s v="C0154"/>
    <n v="1"/>
    <n v="5"/>
    <n v="45000"/>
    <x v="2"/>
    <n v="42750"/>
  </r>
  <r>
    <s v="T01371"/>
    <d v="2025-10-02T00:00:00"/>
    <s v="BR002"/>
    <s v="P019"/>
    <s v="C0174"/>
    <n v="1"/>
    <n v="5"/>
    <n v="21000"/>
    <x v="1"/>
    <n v="19950"/>
  </r>
  <r>
    <s v="T00976"/>
    <d v="2025-04-08T00:00:00"/>
    <s v="BR003"/>
    <s v="P007"/>
    <s v="C0142"/>
    <n v="1"/>
    <n v="15"/>
    <n v="145000"/>
    <x v="0"/>
    <n v="123250"/>
  </r>
  <r>
    <s v="T00793"/>
    <d v="2025-01-23T00:00:00"/>
    <s v="BR003"/>
    <s v="P005"/>
    <s v="C0055"/>
    <n v="1"/>
    <n v="0"/>
    <n v="95000"/>
    <x v="0"/>
    <n v="95000"/>
  </r>
  <r>
    <s v="T00770"/>
    <d v="2025-01-11T00:00:00"/>
    <s v="BR003"/>
    <s v="P023"/>
    <s v="C0160"/>
    <n v="1"/>
    <n v="0"/>
    <n v="195000"/>
    <x v="0"/>
    <n v="195000"/>
  </r>
  <r>
    <s v="T00961"/>
    <d v="2025-02-26T00:00:00"/>
    <s v="BR002"/>
    <s v="P013"/>
    <s v="C0091"/>
    <n v="1"/>
    <n v="15"/>
    <n v="22000"/>
    <x v="1"/>
    <n v="18700"/>
  </r>
  <r>
    <s v="T01182"/>
    <d v="2025-04-09T00:00:00"/>
    <s v="BR001"/>
    <s v="P020"/>
    <s v="C0031"/>
    <n v="2"/>
    <n v="0"/>
    <n v="8500"/>
    <x v="2"/>
    <n v="17000"/>
  </r>
  <r>
    <s v="T00814"/>
    <d v="2025-07-25T00:00:00"/>
    <s v="BR004"/>
    <s v="P010"/>
    <s v="C0060"/>
    <n v="1"/>
    <n v="5"/>
    <n v="62000"/>
    <x v="3"/>
    <n v="58900"/>
  </r>
  <r>
    <s v="T01123"/>
    <d v="2025-12-21T00:00:00"/>
    <s v="BR001"/>
    <s v="P014"/>
    <s v="C0198"/>
    <n v="1"/>
    <n v="0"/>
    <n v="285000"/>
    <x v="2"/>
    <n v="285000"/>
  </r>
  <r>
    <s v="T00506"/>
    <d v="2025-11-14T00:00:00"/>
    <s v="BR001"/>
    <s v="P007"/>
    <s v="C0006"/>
    <n v="1"/>
    <n v="5"/>
    <n v="145000"/>
    <x v="2"/>
    <n v="137750"/>
  </r>
  <r>
    <s v="T00892"/>
    <d v="2025-05-12T00:00:00"/>
    <s v="BR004"/>
    <s v="P011"/>
    <s v="C0139"/>
    <n v="1"/>
    <n v="10"/>
    <n v="74000"/>
    <x v="3"/>
    <n v="66600"/>
  </r>
  <r>
    <s v="T00349"/>
    <d v="2025-06-12T00:00:00"/>
    <s v="BR001"/>
    <s v="P020"/>
    <s v="C0017"/>
    <n v="2"/>
    <n v="10"/>
    <n v="8500"/>
    <x v="2"/>
    <n v="15300"/>
  </r>
  <r>
    <s v="T01045"/>
    <d v="2025-08-15T00:00:00"/>
    <s v="BR001"/>
    <s v="P009"/>
    <s v="C0009"/>
    <n v="2"/>
    <n v="0"/>
    <n v="265000"/>
    <x v="2"/>
    <n v="530000"/>
  </r>
  <r>
    <s v="T01149"/>
    <d v="2025-02-19T00:00:00"/>
    <s v="BR001"/>
    <s v="P020"/>
    <s v="C0176"/>
    <n v="1"/>
    <n v="15"/>
    <n v="8500"/>
    <x v="2"/>
    <n v="7225"/>
  </r>
  <r>
    <s v="T01400"/>
    <d v="2025-12-12T00:00:00"/>
    <s v="BR001"/>
    <s v="P008"/>
    <s v="C0126"/>
    <n v="1"/>
    <n v="10"/>
    <n v="410000"/>
    <x v="2"/>
    <n v="369000"/>
  </r>
  <r>
    <s v="T00341"/>
    <d v="2025-01-05T00:00:00"/>
    <s v="BR001"/>
    <s v="P010"/>
    <s v="C0105"/>
    <n v="1"/>
    <n v="0"/>
    <n v="62000"/>
    <x v="2"/>
    <n v="62000"/>
  </r>
  <r>
    <s v="T00787"/>
    <d v="2025-10-10T00:00:00"/>
    <s v="BR003"/>
    <s v="P023"/>
    <s v="C0152"/>
    <n v="1"/>
    <n v="0"/>
    <n v="195000"/>
    <x v="0"/>
    <n v="195000"/>
  </r>
  <r>
    <s v="T00616"/>
    <d v="2025-05-02T00:00:00"/>
    <s v="BR001"/>
    <s v="P021"/>
    <s v="C0123"/>
    <n v="1"/>
    <n v="0"/>
    <n v="6500"/>
    <x v="2"/>
    <n v="6500"/>
  </r>
  <r>
    <s v="T00155"/>
    <d v="2025-12-10T00:00:00"/>
    <s v="BR002"/>
    <s v="P004"/>
    <s v="C0072"/>
    <n v="1"/>
    <n v="15"/>
    <n v="38000"/>
    <x v="1"/>
    <n v="32300"/>
  </r>
  <r>
    <s v="T01300"/>
    <d v="2025-10-18T00:00:00"/>
    <s v="BR002"/>
    <s v="P009"/>
    <s v="C0096"/>
    <n v="2"/>
    <n v="0"/>
    <n v="265000"/>
    <x v="1"/>
    <n v="530000"/>
  </r>
  <r>
    <s v="T01271"/>
    <d v="2025-09-19T00:00:00"/>
    <s v="BR001"/>
    <s v="P003"/>
    <s v="C0043"/>
    <n v="2"/>
    <n v="5"/>
    <n v="45000"/>
    <x v="2"/>
    <n v="85500"/>
  </r>
  <r>
    <s v="T00078"/>
    <d v="2025-06-11T00:00:00"/>
    <s v="BR003"/>
    <s v="P019"/>
    <s v="C0166"/>
    <n v="1"/>
    <n v="0"/>
    <n v="21000"/>
    <x v="0"/>
    <n v="21000"/>
  </r>
  <r>
    <s v="T01395"/>
    <d v="2025-11-11T00:00:00"/>
    <s v="BR004"/>
    <s v="P015"/>
    <s v="C0178"/>
    <n v="3"/>
    <n v="0"/>
    <n v="15000"/>
    <x v="3"/>
    <n v="45000"/>
  </r>
  <r>
    <s v="T00288"/>
    <d v="2025-04-09T00:00:00"/>
    <s v="BR004"/>
    <s v="P005"/>
    <s v="C0101"/>
    <n v="1"/>
    <n v="5"/>
    <n v="95000"/>
    <x v="3"/>
    <n v="90250"/>
  </r>
  <r>
    <s v="T00323"/>
    <d v="2025-02-07T00:00:00"/>
    <s v="BR001"/>
    <s v="P007"/>
    <s v="C0183"/>
    <n v="1"/>
    <n v="0"/>
    <n v="145000"/>
    <x v="2"/>
    <n v="145000"/>
  </r>
  <r>
    <s v="T00687"/>
    <d v="2025-09-05T00:00:00"/>
    <s v="BR004"/>
    <s v="P018"/>
    <s v="C0198"/>
    <n v="1"/>
    <n v="10"/>
    <n v="18000"/>
    <x v="3"/>
    <n v="16200"/>
  </r>
  <r>
    <s v="T01084"/>
    <d v="2025-06-11T00:00:00"/>
    <s v="BR004"/>
    <s v="P012"/>
    <s v="C0156"/>
    <n v="1"/>
    <n v="5"/>
    <n v="28000"/>
    <x v="3"/>
    <n v="26600"/>
  </r>
  <r>
    <s v="T01356"/>
    <d v="2025-12-08T00:00:00"/>
    <s v="BR004"/>
    <s v="P009"/>
    <s v="C0175"/>
    <n v="1"/>
    <n v="10"/>
    <n v="265000"/>
    <x v="3"/>
    <n v="238500"/>
  </r>
  <r>
    <s v="T00914"/>
    <d v="2025-04-23T00:00:00"/>
    <s v="BR002"/>
    <s v="P003"/>
    <s v="C0050"/>
    <n v="2"/>
    <n v="0"/>
    <n v="45000"/>
    <x v="1"/>
    <n v="90000"/>
  </r>
  <r>
    <s v="T01275"/>
    <d v="2025-08-10T00:00:00"/>
    <s v="BR001"/>
    <s v="P023"/>
    <s v="C0153"/>
    <n v="1"/>
    <n v="0"/>
    <n v="195000"/>
    <x v="2"/>
    <n v="195000"/>
  </r>
  <r>
    <s v="T01109"/>
    <d v="2025-11-15T00:00:00"/>
    <s v="BR004"/>
    <s v="P001"/>
    <s v="C0160"/>
    <n v="1"/>
    <n v="5"/>
    <n v="185000"/>
    <x v="3"/>
    <n v="175750"/>
  </r>
  <r>
    <s v="T00083"/>
    <d v="2025-12-22T00:00:00"/>
    <s v="BR001"/>
    <s v="P014"/>
    <s v="C0021"/>
    <n v="1"/>
    <n v="20"/>
    <n v="285000"/>
    <x v="2"/>
    <n v="228000"/>
  </r>
  <r>
    <s v="T00513"/>
    <d v="2025-11-24T00:00:00"/>
    <s v="BR001"/>
    <s v="P023"/>
    <s v="C0215"/>
    <n v="1"/>
    <n v="15"/>
    <n v="195000"/>
    <x v="2"/>
    <n v="165750"/>
  </r>
  <r>
    <s v="T01284"/>
    <d v="2025-11-14T00:00:00"/>
    <s v="BR001"/>
    <s v="P001"/>
    <s v="C0161"/>
    <n v="2"/>
    <n v="10"/>
    <n v="185000"/>
    <x v="2"/>
    <n v="333000"/>
  </r>
  <r>
    <s v="T00965"/>
    <d v="2025-08-28T00:00:00"/>
    <s v="BR001"/>
    <s v="P021"/>
    <s v="C0158"/>
    <n v="1"/>
    <n v="20"/>
    <n v="6500"/>
    <x v="2"/>
    <n v="5200"/>
  </r>
  <r>
    <s v="T00465"/>
    <d v="2025-12-08T00:00:00"/>
    <s v="BR001"/>
    <s v="P003"/>
    <s v="C0052"/>
    <n v="1"/>
    <n v="25"/>
    <n v="45000"/>
    <x v="2"/>
    <n v="33750"/>
  </r>
  <r>
    <s v="T01068"/>
    <d v="2025-12-21T00:00:00"/>
    <s v="BR002"/>
    <s v="P002"/>
    <s v="C0008"/>
    <n v="1"/>
    <n v="5"/>
    <n v="320000"/>
    <x v="1"/>
    <n v="304000"/>
  </r>
  <r>
    <s v="T00360"/>
    <d v="2025-09-09T00:00:00"/>
    <s v="BR003"/>
    <s v="P021"/>
    <s v="C0087"/>
    <n v="1"/>
    <n v="0"/>
    <n v="6500"/>
    <x v="0"/>
    <n v="6500"/>
  </r>
  <r>
    <s v="T01375"/>
    <d v="2025-11-01T00:00:00"/>
    <s v="BR001"/>
    <s v="P016"/>
    <s v="C0191"/>
    <n v="1"/>
    <n v="5"/>
    <n v="19500"/>
    <x v="2"/>
    <n v="18525"/>
  </r>
  <r>
    <s v="T00930"/>
    <d v="2025-06-14T00:00:00"/>
    <s v="BR001"/>
    <s v="P010"/>
    <s v="C0152"/>
    <n v="2"/>
    <n v="0"/>
    <n v="62000"/>
    <x v="2"/>
    <n v="124000"/>
  </r>
  <r>
    <s v="T01143"/>
    <d v="2025-03-23T00:00:00"/>
    <s v="BR003"/>
    <s v="P019"/>
    <s v="C0029"/>
    <n v="1"/>
    <n v="0"/>
    <n v="21000"/>
    <x v="0"/>
    <n v="21000"/>
  </r>
  <r>
    <s v="T00334"/>
    <d v="2025-05-26T00:00:00"/>
    <s v="BR003"/>
    <s v="P018"/>
    <s v="C0140"/>
    <n v="1"/>
    <n v="0"/>
    <n v="18000"/>
    <x v="0"/>
    <n v="18000"/>
  </r>
  <r>
    <s v="T00011"/>
    <d v="2025-12-22T00:00:00"/>
    <s v="BR002"/>
    <s v="P002"/>
    <s v="C0072"/>
    <n v="1"/>
    <n v="0"/>
    <n v="320000"/>
    <x v="1"/>
    <n v="320000"/>
  </r>
  <r>
    <s v="T00739"/>
    <d v="2025-12-02T00:00:00"/>
    <s v="BR003"/>
    <s v="P011"/>
    <s v="C0033"/>
    <n v="1"/>
    <n v="5"/>
    <n v="74000"/>
    <x v="0"/>
    <n v="70300"/>
  </r>
  <r>
    <s v="T00471"/>
    <d v="2025-12-10T00:00:00"/>
    <s v="BR001"/>
    <s v="P021"/>
    <s v="C0002"/>
    <n v="1"/>
    <n v="20"/>
    <n v="6500"/>
    <x v="2"/>
    <n v="5200"/>
  </r>
  <r>
    <s v="T00832"/>
    <d v="2025-05-06T00:00:00"/>
    <s v="BR003"/>
    <s v="P003"/>
    <s v="C0138"/>
    <n v="1"/>
    <n v="10"/>
    <n v="45000"/>
    <x v="0"/>
    <n v="40500"/>
  </r>
  <r>
    <s v="T00033"/>
    <d v="2025-11-04T00:00:00"/>
    <s v="BR001"/>
    <s v="P005"/>
    <s v="C0090"/>
    <n v="2"/>
    <n v="10"/>
    <n v="95000"/>
    <x v="2"/>
    <n v="171000"/>
  </r>
  <r>
    <s v="T00151"/>
    <d v="2025-10-11T00:00:00"/>
    <s v="BR001"/>
    <s v="P001"/>
    <s v="C0157"/>
    <n v="5"/>
    <n v="0"/>
    <n v="185000"/>
    <x v="2"/>
    <n v="925000"/>
  </r>
  <r>
    <s v="T00414"/>
    <d v="2025-03-13T00:00:00"/>
    <s v="BR001"/>
    <s v="P005"/>
    <s v="C0121"/>
    <n v="1"/>
    <n v="0"/>
    <n v="95000"/>
    <x v="2"/>
    <n v="95000"/>
  </r>
  <r>
    <s v="T00581"/>
    <d v="2025-06-03T00:00:00"/>
    <s v="BR002"/>
    <s v="P020"/>
    <s v="C0146"/>
    <n v="2"/>
    <n v="10"/>
    <n v="8500"/>
    <x v="1"/>
    <n v="15300"/>
  </r>
  <r>
    <s v="T00383"/>
    <d v="2025-02-04T00:00:00"/>
    <s v="BR002"/>
    <s v="P015"/>
    <s v="C0110"/>
    <n v="1"/>
    <n v="0"/>
    <n v="15000"/>
    <x v="1"/>
    <n v="15000"/>
  </r>
  <r>
    <s v="T00794"/>
    <d v="2025-12-03T00:00:00"/>
    <s v="BR003"/>
    <s v="P010"/>
    <s v="C0202"/>
    <n v="5"/>
    <n v="5"/>
    <n v="62000"/>
    <x v="0"/>
    <n v="294500"/>
  </r>
  <r>
    <s v="T01085"/>
    <d v="2025-11-21T00:00:00"/>
    <s v="BR002"/>
    <s v="P005"/>
    <s v="C0123"/>
    <n v="1"/>
    <n v="10"/>
    <n v="95000"/>
    <x v="1"/>
    <n v="85500"/>
  </r>
  <r>
    <s v="T00377"/>
    <d v="2025-04-04T00:00:00"/>
    <s v="BR003"/>
    <s v="P017"/>
    <s v="C0212"/>
    <n v="2"/>
    <n v="0"/>
    <n v="24000"/>
    <x v="0"/>
    <n v="48000"/>
  </r>
  <r>
    <s v="T01332"/>
    <d v="2025-01-27T00:00:00"/>
    <s v="BR002"/>
    <s v="P003"/>
    <s v="C0030"/>
    <n v="1"/>
    <n v="0"/>
    <n v="45000"/>
    <x v="1"/>
    <n v="45000"/>
  </r>
  <r>
    <s v="T00615"/>
    <d v="2025-12-22T00:00:00"/>
    <s v="BR003"/>
    <s v="P002"/>
    <s v="C0010"/>
    <n v="1"/>
    <n v="5"/>
    <n v="320000"/>
    <x v="0"/>
    <n v="304000"/>
  </r>
  <r>
    <s v="T01338"/>
    <d v="2025-04-23T00:00:00"/>
    <s v="BR001"/>
    <s v="P016"/>
    <s v="C0178"/>
    <n v="1"/>
    <n v="5"/>
    <n v="19500"/>
    <x v="2"/>
    <n v="18525"/>
  </r>
  <r>
    <s v="T00379"/>
    <d v="2025-10-02T00:00:00"/>
    <s v="BR004"/>
    <s v="P020"/>
    <s v="C0214"/>
    <n v="1"/>
    <n v="0"/>
    <n v="8500"/>
    <x v="3"/>
    <n v="8500"/>
  </r>
  <r>
    <s v="T01015"/>
    <d v="2025-10-09T00:00:00"/>
    <s v="BR002"/>
    <s v="P009"/>
    <s v="C0064"/>
    <n v="1"/>
    <n v="0"/>
    <n v="265000"/>
    <x v="1"/>
    <n v="265000"/>
  </r>
  <r>
    <s v="T00090"/>
    <d v="2025-12-04T00:00:00"/>
    <s v="BR001"/>
    <s v="P013"/>
    <s v="C0076"/>
    <n v="1"/>
    <n v="15"/>
    <n v="22000"/>
    <x v="2"/>
    <n v="18700"/>
  </r>
  <r>
    <s v="T01188"/>
    <d v="2025-06-21T00:00:00"/>
    <s v="BR002"/>
    <s v="P020"/>
    <s v="C0003"/>
    <n v="5"/>
    <n v="5"/>
    <n v="8500"/>
    <x v="1"/>
    <n v="40375"/>
  </r>
  <r>
    <s v="T00693"/>
    <d v="2025-08-05T00:00:00"/>
    <s v="BR001"/>
    <s v="P008"/>
    <s v="C0127"/>
    <n v="1"/>
    <n v="0"/>
    <n v="410000"/>
    <x v="2"/>
    <n v="410000"/>
  </r>
  <r>
    <s v="T00602"/>
    <d v="2025-10-20T00:00:00"/>
    <s v="BR001"/>
    <s v="P013"/>
    <s v="C0175"/>
    <n v="1"/>
    <n v="0"/>
    <n v="22000"/>
    <x v="2"/>
    <n v="22000"/>
  </r>
  <r>
    <s v="T00214"/>
    <d v="2025-03-16T00:00:00"/>
    <s v="BR001"/>
    <s v="P003"/>
    <s v="C0180"/>
    <n v="5"/>
    <n v="10"/>
    <n v="45000"/>
    <x v="2"/>
    <n v="202500"/>
  </r>
  <r>
    <s v="T00834"/>
    <d v="2025-11-25T00:00:00"/>
    <s v="BR001"/>
    <s v="P022"/>
    <s v="C0129"/>
    <n v="1"/>
    <n v="15"/>
    <n v="5200"/>
    <x v="2"/>
    <n v="4420"/>
  </r>
  <r>
    <s v="T00333"/>
    <d v="2025-11-27T00:00:00"/>
    <s v="BR001"/>
    <s v="P013"/>
    <s v="C0050"/>
    <n v="1"/>
    <n v="5"/>
    <n v="22000"/>
    <x v="2"/>
    <n v="20900"/>
  </r>
  <r>
    <s v="T00134"/>
    <d v="2025-12-16T00:00:00"/>
    <s v="BR001"/>
    <s v="P022"/>
    <s v="C0014"/>
    <n v="2"/>
    <n v="20"/>
    <n v="5200"/>
    <x v="2"/>
    <n v="8320"/>
  </r>
  <r>
    <s v="T00556"/>
    <d v="2025-08-09T00:00:00"/>
    <s v="BR002"/>
    <s v="P004"/>
    <s v="C0196"/>
    <n v="1"/>
    <n v="10"/>
    <n v="38000"/>
    <x v="1"/>
    <n v="34200"/>
  </r>
  <r>
    <s v="T00321"/>
    <d v="2025-09-14T00:00:00"/>
    <s v="BR002"/>
    <s v="P025"/>
    <s v="C0005"/>
    <n v="2"/>
    <n v="0"/>
    <n v="175000"/>
    <x v="1"/>
    <n v="350000"/>
  </r>
  <r>
    <s v="T01233"/>
    <d v="2025-04-28T00:00:00"/>
    <s v="BR003"/>
    <s v="P021"/>
    <s v="C0135"/>
    <n v="2"/>
    <n v="0"/>
    <n v="6500"/>
    <x v="0"/>
    <n v="13000"/>
  </r>
  <r>
    <s v="T01379"/>
    <d v="2025-02-14T00:00:00"/>
    <s v="BR001"/>
    <s v="P016"/>
    <s v="C0095"/>
    <n v="2"/>
    <n v="0"/>
    <n v="19500"/>
    <x v="2"/>
    <n v="39000"/>
  </r>
  <r>
    <s v="T00635"/>
    <d v="2025-11-18T00:00:00"/>
    <s v="BR001"/>
    <s v="P012"/>
    <s v="C0054"/>
    <n v="5"/>
    <n v="10"/>
    <n v="28000"/>
    <x v="2"/>
    <n v="126000"/>
  </r>
  <r>
    <s v="T00553"/>
    <d v="2025-07-12T00:00:00"/>
    <s v="BR002"/>
    <s v="P016"/>
    <s v="C0017"/>
    <n v="1"/>
    <n v="0"/>
    <n v="19500"/>
    <x v="1"/>
    <n v="19500"/>
  </r>
  <r>
    <s v="T01091"/>
    <d v="2025-02-13T00:00:00"/>
    <s v="BR002"/>
    <s v="P024"/>
    <s v="C0155"/>
    <n v="1"/>
    <n v="20"/>
    <n v="245000"/>
    <x v="1"/>
    <n v="196000"/>
  </r>
  <r>
    <s v="T00797"/>
    <d v="2025-05-26T00:00:00"/>
    <s v="BR002"/>
    <s v="P013"/>
    <s v="C0069"/>
    <n v="1"/>
    <n v="5"/>
    <n v="22000"/>
    <x v="1"/>
    <n v="20900"/>
  </r>
  <r>
    <s v="T01165"/>
    <d v="2025-08-14T00:00:00"/>
    <s v="BR004"/>
    <s v="P022"/>
    <s v="C0155"/>
    <n v="1"/>
    <n v="5"/>
    <n v="5200"/>
    <x v="3"/>
    <n v="4940"/>
  </r>
  <r>
    <s v="T00175"/>
    <d v="2025-05-11T00:00:00"/>
    <s v="BR004"/>
    <s v="P012"/>
    <s v="C0137"/>
    <n v="1"/>
    <n v="5"/>
    <n v="28000"/>
    <x v="3"/>
    <n v="26600"/>
  </r>
  <r>
    <s v="T00767"/>
    <d v="2025-11-22T00:00:00"/>
    <s v="BR002"/>
    <s v="P011"/>
    <s v="C0086"/>
    <n v="1"/>
    <n v="10"/>
    <n v="74000"/>
    <x v="1"/>
    <n v="66600"/>
  </r>
  <r>
    <s v="T00246"/>
    <d v="2025-04-20T00:00:00"/>
    <s v="BR001"/>
    <s v="P018"/>
    <s v="C0032"/>
    <n v="2"/>
    <n v="0"/>
    <n v="18000"/>
    <x v="2"/>
    <n v="36000"/>
  </r>
  <r>
    <s v="T01213"/>
    <d v="2025-02-10T00:00:00"/>
    <s v="BR004"/>
    <s v="P005"/>
    <s v="C0029"/>
    <n v="1"/>
    <n v="5"/>
    <n v="95000"/>
    <x v="3"/>
    <n v="90250"/>
  </r>
  <r>
    <s v="T00146"/>
    <d v="2025-09-09T00:00:00"/>
    <s v="BR001"/>
    <s v="P004"/>
    <s v="C0188"/>
    <n v="3"/>
    <n v="0"/>
    <n v="38000"/>
    <x v="2"/>
    <n v="114000"/>
  </r>
  <r>
    <s v="T00091"/>
    <d v="2025-03-28T00:00:00"/>
    <s v="BR001"/>
    <s v="P011"/>
    <s v="C0073"/>
    <n v="3"/>
    <n v="5"/>
    <n v="74000"/>
    <x v="2"/>
    <n v="210900"/>
  </r>
  <r>
    <s v="T00683"/>
    <d v="2025-02-24T00:00:00"/>
    <s v="BR003"/>
    <s v="P003"/>
    <s v="C0201"/>
    <n v="2"/>
    <n v="0"/>
    <n v="45000"/>
    <x v="0"/>
    <n v="90000"/>
  </r>
  <r>
    <s v="T00311"/>
    <d v="2025-07-21T00:00:00"/>
    <s v="BR001"/>
    <s v="P012"/>
    <s v="C0089"/>
    <n v="1"/>
    <n v="0"/>
    <n v="28000"/>
    <x v="2"/>
    <n v="28000"/>
  </r>
  <r>
    <s v="T00094"/>
    <d v="2025-10-01T00:00:00"/>
    <s v="BR002"/>
    <s v="P024"/>
    <s v="C0009"/>
    <n v="1"/>
    <n v="15"/>
    <n v="245000"/>
    <x v="1"/>
    <n v="208250"/>
  </r>
  <r>
    <s v="T01390"/>
    <d v="2025-12-17T00:00:00"/>
    <s v="BR001"/>
    <s v="P019"/>
    <s v="C0169"/>
    <n v="2"/>
    <n v="0"/>
    <n v="21000"/>
    <x v="2"/>
    <n v="42000"/>
  </r>
  <r>
    <s v="T00925"/>
    <d v="2025-07-07T00:00:00"/>
    <s v="BR001"/>
    <s v="P005"/>
    <s v="C0163"/>
    <n v="1"/>
    <n v="20"/>
    <n v="95000"/>
    <x v="2"/>
    <n v="76000"/>
  </r>
  <r>
    <s v="T01181"/>
    <d v="2025-10-18T00:00:00"/>
    <s v="BR001"/>
    <s v="P006"/>
    <s v="C0036"/>
    <n v="1"/>
    <n v="0"/>
    <n v="78000"/>
    <x v="2"/>
    <n v="78000"/>
  </r>
  <r>
    <s v="T01036"/>
    <d v="2025-08-03T00:00:00"/>
    <s v="BR001"/>
    <s v="P024"/>
    <s v="C0186"/>
    <n v="2"/>
    <n v="5"/>
    <n v="245000"/>
    <x v="2"/>
    <n v="465500"/>
  </r>
  <r>
    <s v="T00244"/>
    <d v="2025-02-06T00:00:00"/>
    <s v="BR004"/>
    <s v="P023"/>
    <s v="C0086"/>
    <n v="1"/>
    <n v="15"/>
    <n v="195000"/>
    <x v="3"/>
    <n v="165750"/>
  </r>
  <r>
    <s v="T00215"/>
    <d v="2025-08-28T00:00:00"/>
    <s v="BR003"/>
    <s v="P009"/>
    <s v="C0174"/>
    <n v="1"/>
    <n v="10"/>
    <n v="265000"/>
    <x v="0"/>
    <n v="238500"/>
  </r>
  <r>
    <s v="T00999"/>
    <d v="2025-12-02T00:00:00"/>
    <s v="BR002"/>
    <s v="P025"/>
    <s v="C0080"/>
    <n v="3"/>
    <n v="0"/>
    <n v="175000"/>
    <x v="1"/>
    <n v="525000"/>
  </r>
  <r>
    <s v="T00854"/>
    <d v="2025-12-27T00:00:00"/>
    <s v="BR002"/>
    <s v="P017"/>
    <s v="C0186"/>
    <n v="2"/>
    <n v="5"/>
    <n v="24000"/>
    <x v="1"/>
    <n v="45600"/>
  </r>
  <r>
    <s v="T00426"/>
    <d v="2025-04-03T00:00:00"/>
    <s v="BR002"/>
    <s v="P024"/>
    <s v="C0176"/>
    <n v="1"/>
    <n v="0"/>
    <n v="245000"/>
    <x v="1"/>
    <n v="245000"/>
  </r>
  <r>
    <s v="T01229"/>
    <d v="2025-05-20T00:00:00"/>
    <s v="BR002"/>
    <s v="P001"/>
    <s v="C0067"/>
    <n v="1"/>
    <n v="0"/>
    <n v="185000"/>
    <x v="1"/>
    <n v="185000"/>
  </r>
  <r>
    <s v="T00227"/>
    <d v="2025-09-28T00:00:00"/>
    <s v="BR003"/>
    <s v="P025"/>
    <s v="C0061"/>
    <n v="3"/>
    <n v="5"/>
    <n v="175000"/>
    <x v="0"/>
    <n v="498750"/>
  </r>
  <r>
    <s v="T01141"/>
    <d v="2025-12-03T00:00:00"/>
    <s v="BR002"/>
    <s v="P011"/>
    <s v="C0154"/>
    <n v="1"/>
    <n v="20"/>
    <n v="74000"/>
    <x v="1"/>
    <n v="59200"/>
  </r>
  <r>
    <s v="T00001"/>
    <d v="2025-05-20T00:00:00"/>
    <s v="BR001"/>
    <s v="P021"/>
    <s v="C0074"/>
    <n v="5"/>
    <n v="0"/>
    <n v="6500"/>
    <x v="2"/>
    <n v="32500"/>
  </r>
  <r>
    <s v="T00402"/>
    <d v="2025-12-09T00:00:00"/>
    <s v="BR003"/>
    <s v="P002"/>
    <s v="C0180"/>
    <n v="1"/>
    <n v="10"/>
    <n v="320000"/>
    <x v="0"/>
    <n v="288000"/>
  </r>
  <r>
    <s v="T00085"/>
    <d v="2025-08-02T00:00:00"/>
    <s v="BR002"/>
    <s v="P018"/>
    <s v="C0037"/>
    <n v="1"/>
    <n v="0"/>
    <n v="18000"/>
    <x v="1"/>
    <n v="18000"/>
  </r>
  <r>
    <s v="T00163"/>
    <d v="2025-10-11T00:00:00"/>
    <s v="BR003"/>
    <s v="P008"/>
    <s v="C0151"/>
    <n v="3"/>
    <n v="0"/>
    <n v="410000"/>
    <x v="0"/>
    <n v="1230000"/>
  </r>
  <r>
    <s v="T00115"/>
    <d v="2025-06-23T00:00:00"/>
    <s v="BR001"/>
    <s v="P001"/>
    <s v="C0106"/>
    <n v="1"/>
    <n v="0"/>
    <n v="185000"/>
    <x v="2"/>
    <n v="185000"/>
  </r>
  <r>
    <s v="T00671"/>
    <d v="2025-08-28T00:00:00"/>
    <s v="BR003"/>
    <s v="P014"/>
    <s v="C0097"/>
    <n v="1"/>
    <n v="0"/>
    <n v="285000"/>
    <x v="0"/>
    <n v="285000"/>
  </r>
  <r>
    <s v="T01070"/>
    <d v="2025-12-13T00:00:00"/>
    <s v="BR002"/>
    <s v="P010"/>
    <s v="C0076"/>
    <n v="1"/>
    <n v="25"/>
    <n v="62000"/>
    <x v="1"/>
    <n v="46500"/>
  </r>
  <r>
    <s v="T00890"/>
    <d v="2025-02-08T00:00:00"/>
    <s v="BR002"/>
    <s v="P014"/>
    <s v="C0090"/>
    <n v="2"/>
    <n v="10"/>
    <n v="285000"/>
    <x v="1"/>
    <n v="513000"/>
  </r>
  <r>
    <s v="T00626"/>
    <d v="2025-09-10T00:00:00"/>
    <s v="BR001"/>
    <s v="P020"/>
    <s v="C0176"/>
    <n v="1"/>
    <n v="0"/>
    <n v="8500"/>
    <x v="2"/>
    <n v="8500"/>
  </r>
  <r>
    <s v="T00953"/>
    <d v="2025-11-08T00:00:00"/>
    <s v="BR004"/>
    <s v="P023"/>
    <s v="C0014"/>
    <n v="1"/>
    <n v="10"/>
    <n v="195000"/>
    <x v="3"/>
    <n v="175500"/>
  </r>
  <r>
    <s v="T00808"/>
    <d v="2025-12-14T00:00:00"/>
    <s v="BR004"/>
    <s v="P002"/>
    <s v="C0168"/>
    <n v="1"/>
    <n v="15"/>
    <n v="320000"/>
    <x v="3"/>
    <n v="272000"/>
  </r>
  <r>
    <s v="T00259"/>
    <d v="2025-06-01T00:00:00"/>
    <s v="BR003"/>
    <s v="P015"/>
    <s v="C0065"/>
    <n v="1"/>
    <n v="15"/>
    <n v="15000"/>
    <x v="0"/>
    <n v="12750"/>
  </r>
  <r>
    <s v="T00625"/>
    <d v="2025-05-12T00:00:00"/>
    <s v="BR001"/>
    <s v="P016"/>
    <s v="C0007"/>
    <n v="1"/>
    <n v="10"/>
    <n v="19500"/>
    <x v="2"/>
    <n v="17550"/>
  </r>
  <r>
    <s v="T00827"/>
    <d v="2025-09-11T00:00:00"/>
    <s v="BR003"/>
    <s v="P004"/>
    <s v="C0017"/>
    <n v="1"/>
    <n v="0"/>
    <n v="38000"/>
    <x v="0"/>
    <n v="38000"/>
  </r>
  <r>
    <s v="T00235"/>
    <d v="2025-05-10T00:00:00"/>
    <s v="BR003"/>
    <s v="P024"/>
    <s v="C0169"/>
    <n v="1"/>
    <n v="15"/>
    <n v="245000"/>
    <x v="0"/>
    <n v="208250"/>
  </r>
  <r>
    <s v="T00136"/>
    <d v="2025-05-18T00:00:00"/>
    <s v="BR001"/>
    <s v="P015"/>
    <s v="C0149"/>
    <n v="2"/>
    <n v="0"/>
    <n v="15000"/>
    <x v="2"/>
    <n v="30000"/>
  </r>
  <r>
    <s v="T00617"/>
    <d v="2025-12-08T00:00:00"/>
    <s v="BR001"/>
    <s v="P004"/>
    <s v="C0016"/>
    <n v="1"/>
    <n v="20"/>
    <n v="38000"/>
    <x v="2"/>
    <n v="30400"/>
  </r>
  <r>
    <s v="T00837"/>
    <d v="2025-08-15T00:00:00"/>
    <s v="BR002"/>
    <s v="P018"/>
    <s v="C0185"/>
    <n v="3"/>
    <n v="15"/>
    <n v="18000"/>
    <x v="1"/>
    <n v="45900"/>
  </r>
  <r>
    <s v="T00843"/>
    <d v="2025-09-08T00:00:00"/>
    <s v="BR001"/>
    <s v="P021"/>
    <s v="C0133"/>
    <n v="1"/>
    <n v="5"/>
    <n v="6500"/>
    <x v="2"/>
    <n v="6175"/>
  </r>
  <r>
    <s v="T00960"/>
    <d v="2025-11-18T00:00:00"/>
    <s v="BR004"/>
    <s v="P009"/>
    <s v="C0049"/>
    <n v="1"/>
    <n v="20"/>
    <n v="265000"/>
    <x v="3"/>
    <n v="212000"/>
  </r>
  <r>
    <s v="T00593"/>
    <d v="2025-10-03T00:00:00"/>
    <s v="BR003"/>
    <s v="P024"/>
    <s v="C0180"/>
    <n v="1"/>
    <n v="0"/>
    <n v="245000"/>
    <x v="0"/>
    <n v="245000"/>
  </r>
  <r>
    <s v="T00344"/>
    <d v="2025-06-24T00:00:00"/>
    <s v="BR001"/>
    <s v="P025"/>
    <s v="C0138"/>
    <n v="1"/>
    <n v="10"/>
    <n v="175000"/>
    <x v="2"/>
    <n v="157500"/>
  </r>
  <r>
    <s v="T01154"/>
    <d v="2025-12-15T00:00:00"/>
    <s v="BR001"/>
    <s v="P021"/>
    <s v="C0099"/>
    <n v="1"/>
    <n v="5"/>
    <n v="6500"/>
    <x v="2"/>
    <n v="6175"/>
  </r>
  <r>
    <s v="T00294"/>
    <d v="2025-05-24T00:00:00"/>
    <s v="BR004"/>
    <s v="P007"/>
    <s v="C0212"/>
    <n v="1"/>
    <n v="10"/>
    <n v="145000"/>
    <x v="3"/>
    <n v="130500"/>
  </r>
  <r>
    <s v="T00365"/>
    <d v="2025-11-08T00:00:00"/>
    <s v="BR002"/>
    <s v="P009"/>
    <s v="C0075"/>
    <n v="1"/>
    <n v="25"/>
    <n v="265000"/>
    <x v="1"/>
    <n v="198750"/>
  </r>
  <r>
    <s v="T00179"/>
    <d v="2025-02-13T00:00:00"/>
    <s v="BR001"/>
    <s v="P017"/>
    <s v="C0112"/>
    <n v="1"/>
    <n v="0"/>
    <n v="24000"/>
    <x v="2"/>
    <n v="24000"/>
  </r>
  <r>
    <s v="T00660"/>
    <d v="2025-08-06T00:00:00"/>
    <s v="BR004"/>
    <s v="P012"/>
    <s v="C0071"/>
    <n v="1"/>
    <n v="0"/>
    <n v="28000"/>
    <x v="3"/>
    <n v="28000"/>
  </r>
  <r>
    <s v="T00997"/>
    <d v="2025-03-10T00:00:00"/>
    <s v="BR001"/>
    <s v="P018"/>
    <s v="C0037"/>
    <n v="1"/>
    <n v="0"/>
    <n v="18000"/>
    <x v="2"/>
    <n v="18000"/>
  </r>
  <r>
    <s v="T00015"/>
    <d v="2025-08-21T00:00:00"/>
    <s v="BR002"/>
    <s v="P021"/>
    <s v="C0153"/>
    <n v="1"/>
    <n v="0"/>
    <n v="6500"/>
    <x v="1"/>
    <n v="6500"/>
  </r>
  <r>
    <s v="T00166"/>
    <d v="2025-11-11T00:00:00"/>
    <s v="BR002"/>
    <s v="P006"/>
    <s v="C0047"/>
    <n v="2"/>
    <n v="0"/>
    <n v="78000"/>
    <x v="1"/>
    <n v="156000"/>
  </r>
  <r>
    <s v="T00060"/>
    <d v="2025-01-25T00:00:00"/>
    <s v="BR004"/>
    <s v="P019"/>
    <s v="C0189"/>
    <n v="3"/>
    <n v="0"/>
    <n v="21000"/>
    <x v="3"/>
    <n v="63000"/>
  </r>
  <r>
    <s v="T00710"/>
    <d v="2025-03-20T00:00:00"/>
    <s v="BR003"/>
    <s v="P006"/>
    <s v="C0208"/>
    <n v="1"/>
    <n v="0"/>
    <n v="78000"/>
    <x v="0"/>
    <n v="78000"/>
  </r>
  <r>
    <s v="T00677"/>
    <d v="2025-12-03T00:00:00"/>
    <s v="BR001"/>
    <s v="P024"/>
    <s v="C0196"/>
    <n v="1"/>
    <n v="20"/>
    <n v="245000"/>
    <x v="2"/>
    <n v="196000"/>
  </r>
  <r>
    <s v="T00781"/>
    <d v="2025-10-28T00:00:00"/>
    <s v="BR002"/>
    <s v="P008"/>
    <s v="C0118"/>
    <n v="1"/>
    <n v="0"/>
    <n v="410000"/>
    <x v="1"/>
    <n v="410000"/>
  </r>
  <r>
    <s v="T00425"/>
    <d v="2025-01-07T00:00:00"/>
    <s v="BR002"/>
    <s v="P008"/>
    <s v="C0019"/>
    <n v="1"/>
    <n v="15"/>
    <n v="410000"/>
    <x v="1"/>
    <n v="348500"/>
  </r>
  <r>
    <s v="T00293"/>
    <d v="2025-02-20T00:00:00"/>
    <s v="BR003"/>
    <s v="P021"/>
    <s v="C0021"/>
    <n v="1"/>
    <n v="15"/>
    <n v="6500"/>
    <x v="0"/>
    <n v="5525"/>
  </r>
  <r>
    <s v="T01066"/>
    <d v="2025-06-08T00:00:00"/>
    <s v="BR002"/>
    <s v="P018"/>
    <s v="C0143"/>
    <n v="1"/>
    <n v="15"/>
    <n v="18000"/>
    <x v="1"/>
    <n v="15300"/>
  </r>
  <r>
    <s v="T01250"/>
    <d v="2025-05-13T00:00:00"/>
    <s v="BR001"/>
    <s v="P006"/>
    <s v="C0140"/>
    <n v="1"/>
    <n v="5"/>
    <n v="78000"/>
    <x v="2"/>
    <n v="74100"/>
  </r>
  <r>
    <s v="T00330"/>
    <d v="2025-02-09T00:00:00"/>
    <s v="BR001"/>
    <s v="P019"/>
    <s v="C0083"/>
    <n v="1"/>
    <n v="0"/>
    <n v="21000"/>
    <x v="2"/>
    <n v="21000"/>
  </r>
  <r>
    <s v="T00430"/>
    <d v="2025-06-07T00:00:00"/>
    <s v="BR001"/>
    <s v="P018"/>
    <s v="C0180"/>
    <n v="1"/>
    <n v="0"/>
    <n v="18000"/>
    <x v="2"/>
    <n v="18000"/>
  </r>
  <r>
    <s v="T01013"/>
    <d v="2025-02-21T00:00:00"/>
    <s v="BR001"/>
    <s v="P019"/>
    <s v="C0173"/>
    <n v="1"/>
    <n v="0"/>
    <n v="21000"/>
    <x v="2"/>
    <n v="21000"/>
  </r>
  <r>
    <s v="T00080"/>
    <d v="2025-01-23T00:00:00"/>
    <s v="BR001"/>
    <s v="P007"/>
    <s v="C0039"/>
    <n v="1"/>
    <n v="10"/>
    <n v="145000"/>
    <x v="2"/>
    <n v="130500"/>
  </r>
  <r>
    <s v="T01053"/>
    <d v="2025-02-13T00:00:00"/>
    <s v="BR003"/>
    <s v="P023"/>
    <s v="C0099"/>
    <n v="1"/>
    <n v="5"/>
    <n v="195000"/>
    <x v="0"/>
    <n v="185250"/>
  </r>
  <r>
    <s v="T00938"/>
    <d v="2025-12-21T00:00:00"/>
    <s v="BR001"/>
    <s v="P016"/>
    <s v="C0214"/>
    <n v="2"/>
    <n v="10"/>
    <n v="19500"/>
    <x v="2"/>
    <n v="35100"/>
  </r>
  <r>
    <s v="T00835"/>
    <d v="2025-04-26T00:00:00"/>
    <s v="BR001"/>
    <s v="P017"/>
    <s v="C0005"/>
    <n v="1"/>
    <n v="0"/>
    <n v="24000"/>
    <x v="2"/>
    <n v="24000"/>
  </r>
  <r>
    <s v="T00750"/>
    <d v="2025-07-23T00:00:00"/>
    <s v="BR004"/>
    <s v="P025"/>
    <s v="C0073"/>
    <n v="1"/>
    <n v="0"/>
    <n v="175000"/>
    <x v="3"/>
    <n v="175000"/>
  </r>
  <r>
    <s v="T00891"/>
    <d v="2025-11-27T00:00:00"/>
    <s v="BR002"/>
    <s v="P012"/>
    <s v="C0029"/>
    <n v="1"/>
    <n v="5"/>
    <n v="28000"/>
    <x v="1"/>
    <n v="26600"/>
  </r>
  <r>
    <s v="T00255"/>
    <d v="2025-11-21T00:00:00"/>
    <s v="BR002"/>
    <s v="P008"/>
    <s v="C0199"/>
    <n v="1"/>
    <n v="5"/>
    <n v="410000"/>
    <x v="1"/>
    <n v="389500"/>
  </r>
  <r>
    <s v="T01369"/>
    <d v="2025-04-22T00:00:00"/>
    <s v="BR004"/>
    <s v="P022"/>
    <s v="C0085"/>
    <n v="1"/>
    <n v="5"/>
    <n v="5200"/>
    <x v="3"/>
    <n v="4940"/>
  </r>
  <r>
    <s v="T00137"/>
    <d v="2025-06-05T00:00:00"/>
    <s v="BR001"/>
    <s v="P014"/>
    <s v="C0119"/>
    <n v="2"/>
    <n v="0"/>
    <n v="285000"/>
    <x v="2"/>
    <n v="570000"/>
  </r>
  <r>
    <s v="T00853"/>
    <d v="2025-12-10T00:00:00"/>
    <s v="BR002"/>
    <s v="P001"/>
    <s v="C0171"/>
    <n v="2"/>
    <n v="20"/>
    <n v="185000"/>
    <x v="1"/>
    <n v="296000"/>
  </r>
  <r>
    <s v="T00724"/>
    <d v="2025-11-17T00:00:00"/>
    <s v="BR004"/>
    <s v="P022"/>
    <s v="C0165"/>
    <n v="2"/>
    <n v="5"/>
    <n v="5200"/>
    <x v="3"/>
    <n v="9880"/>
  </r>
  <r>
    <s v="T00860"/>
    <d v="2025-06-10T00:00:00"/>
    <s v="BR002"/>
    <s v="P013"/>
    <s v="C0202"/>
    <n v="1"/>
    <n v="25"/>
    <n v="22000"/>
    <x v="1"/>
    <n v="16500"/>
  </r>
  <r>
    <s v="T00970"/>
    <d v="2025-10-09T00:00:00"/>
    <s v="BR001"/>
    <s v="P021"/>
    <s v="C0053"/>
    <n v="3"/>
    <n v="0"/>
    <n v="6500"/>
    <x v="2"/>
    <n v="19500"/>
  </r>
  <r>
    <s v="T00497"/>
    <d v="2025-01-04T00:00:00"/>
    <s v="BR001"/>
    <s v="P020"/>
    <s v="C0016"/>
    <n v="1"/>
    <n v="0"/>
    <n v="8500"/>
    <x v="2"/>
    <n v="8500"/>
  </r>
  <r>
    <s v="T00951"/>
    <d v="2025-11-14T00:00:00"/>
    <s v="BR003"/>
    <s v="P012"/>
    <s v="C0140"/>
    <n v="1"/>
    <n v="10"/>
    <n v="28000"/>
    <x v="0"/>
    <n v="25200"/>
  </r>
  <r>
    <s v="T00806"/>
    <d v="2025-09-21T00:00:00"/>
    <s v="BR003"/>
    <s v="P006"/>
    <s v="C0218"/>
    <n v="2"/>
    <n v="0"/>
    <n v="78000"/>
    <x v="0"/>
    <n v="156000"/>
  </r>
  <r>
    <s v="T00130"/>
    <d v="2025-03-17T00:00:00"/>
    <s v="BR003"/>
    <s v="P021"/>
    <s v="C0198"/>
    <n v="1"/>
    <n v="10"/>
    <n v="6500"/>
    <x v="0"/>
    <n v="5850"/>
  </r>
  <r>
    <s v="T00338"/>
    <d v="2025-03-11T00:00:00"/>
    <s v="BR001"/>
    <s v="P003"/>
    <s v="C0219"/>
    <n v="1"/>
    <n v="20"/>
    <n v="45000"/>
    <x v="2"/>
    <n v="36000"/>
  </r>
  <r>
    <s v="T01396"/>
    <d v="2025-07-15T00:00:00"/>
    <s v="BR001"/>
    <s v="P016"/>
    <s v="C0194"/>
    <n v="3"/>
    <n v="10"/>
    <n v="19500"/>
    <x v="2"/>
    <n v="52650"/>
  </r>
  <r>
    <s v="T00609"/>
    <d v="2025-12-12T00:00:00"/>
    <s v="BR001"/>
    <s v="P002"/>
    <s v="C0212"/>
    <n v="1"/>
    <n v="5"/>
    <n v="320000"/>
    <x v="2"/>
    <n v="304000"/>
  </r>
  <r>
    <s v="T00196"/>
    <d v="2025-03-14T00:00:00"/>
    <s v="BR001"/>
    <s v="P016"/>
    <s v="C0049"/>
    <n v="1"/>
    <n v="0"/>
    <n v="19500"/>
    <x v="2"/>
    <n v="19500"/>
  </r>
  <r>
    <s v="T00910"/>
    <d v="2025-05-02T00:00:00"/>
    <s v="BR004"/>
    <s v="P015"/>
    <s v="C0085"/>
    <n v="1"/>
    <n v="20"/>
    <n v="15000"/>
    <x v="3"/>
    <n v="12000"/>
  </r>
  <r>
    <s v="T00585"/>
    <d v="2025-05-15T00:00:00"/>
    <s v="BR002"/>
    <s v="P016"/>
    <s v="C0190"/>
    <n v="1"/>
    <n v="25"/>
    <n v="19500"/>
    <x v="1"/>
    <n v="14625"/>
  </r>
  <r>
    <s v="T00104"/>
    <d v="2025-10-02T00:00:00"/>
    <s v="BR001"/>
    <s v="P012"/>
    <s v="C0074"/>
    <n v="3"/>
    <n v="0"/>
    <n v="28000"/>
    <x v="2"/>
    <n v="84000"/>
  </r>
  <r>
    <s v="T01293"/>
    <d v="2025-03-07T00:00:00"/>
    <s v="BR001"/>
    <s v="P017"/>
    <s v="C0057"/>
    <n v="1"/>
    <n v="5"/>
    <n v="24000"/>
    <x v="2"/>
    <n v="22800"/>
  </r>
  <r>
    <s v="T01307"/>
    <d v="2025-02-05T00:00:00"/>
    <s v="BR004"/>
    <s v="P011"/>
    <s v="C0212"/>
    <n v="1"/>
    <n v="0"/>
    <n v="74000"/>
    <x v="3"/>
    <n v="74000"/>
  </r>
  <r>
    <s v="T00720"/>
    <d v="2025-08-26T00:00:00"/>
    <s v="BR001"/>
    <s v="P001"/>
    <s v="C0016"/>
    <n v="1"/>
    <n v="0"/>
    <n v="185000"/>
    <x v="2"/>
    <n v="185000"/>
  </r>
  <r>
    <s v="T00885"/>
    <d v="2025-03-15T00:00:00"/>
    <s v="BR001"/>
    <s v="P018"/>
    <s v="C0116"/>
    <n v="1"/>
    <n v="20"/>
    <n v="18000"/>
    <x v="2"/>
    <n v="14400"/>
  </r>
  <r>
    <s v="T00777"/>
    <d v="2025-01-24T00:00:00"/>
    <s v="BR001"/>
    <s v="P021"/>
    <s v="C0141"/>
    <n v="1"/>
    <n v="0"/>
    <n v="6500"/>
    <x v="2"/>
    <n v="6500"/>
  </r>
  <r>
    <s v="T00850"/>
    <d v="2025-04-15T00:00:00"/>
    <s v="BR003"/>
    <s v="P011"/>
    <s v="C0124"/>
    <n v="1"/>
    <n v="0"/>
    <n v="74000"/>
    <x v="0"/>
    <n v="74000"/>
  </r>
  <r>
    <s v="T00895"/>
    <d v="2025-01-02T00:00:00"/>
    <s v="BR002"/>
    <s v="P017"/>
    <s v="C0086"/>
    <n v="1"/>
    <n v="0"/>
    <n v="24000"/>
    <x v="1"/>
    <n v="24000"/>
  </r>
  <r>
    <s v="T00228"/>
    <d v="2025-05-04T00:00:00"/>
    <s v="BR001"/>
    <s v="P006"/>
    <s v="C0130"/>
    <n v="1"/>
    <n v="10"/>
    <n v="78000"/>
    <x v="2"/>
    <n v="70200"/>
  </r>
  <r>
    <s v="T01317"/>
    <d v="2025-09-02T00:00:00"/>
    <s v="BR001"/>
    <s v="P007"/>
    <s v="C0165"/>
    <n v="2"/>
    <n v="5"/>
    <n v="145000"/>
    <x v="2"/>
    <n v="275500"/>
  </r>
  <r>
    <s v="T00127"/>
    <d v="2025-05-05T00:00:00"/>
    <s v="BR002"/>
    <s v="P003"/>
    <s v="C0100"/>
    <n v="2"/>
    <n v="10"/>
    <n v="45000"/>
    <x v="1"/>
    <n v="81000"/>
  </r>
  <r>
    <s v="T00406"/>
    <d v="2025-03-15T00:00:00"/>
    <s v="BR002"/>
    <s v="P005"/>
    <s v="C0003"/>
    <n v="1"/>
    <n v="0"/>
    <n v="95000"/>
    <x v="1"/>
    <n v="95000"/>
  </r>
  <r>
    <s v="T00776"/>
    <d v="2025-12-10T00:00:00"/>
    <s v="BR001"/>
    <s v="P015"/>
    <s v="C0082"/>
    <n v="1"/>
    <n v="10"/>
    <n v="15000"/>
    <x v="2"/>
    <n v="13500"/>
  </r>
  <r>
    <s v="T00822"/>
    <d v="2025-04-25T00:00:00"/>
    <s v="BR001"/>
    <s v="P015"/>
    <s v="C0101"/>
    <n v="1"/>
    <n v="20"/>
    <n v="15000"/>
    <x v="2"/>
    <n v="12000"/>
  </r>
  <r>
    <s v="T00712"/>
    <d v="2025-12-28T00:00:00"/>
    <s v="BR004"/>
    <s v="P019"/>
    <s v="C0092"/>
    <n v="1"/>
    <n v="10"/>
    <n v="21000"/>
    <x v="3"/>
    <n v="18900"/>
  </r>
  <r>
    <s v="T01321"/>
    <d v="2025-11-17T00:00:00"/>
    <s v="BR001"/>
    <s v="P009"/>
    <s v="C0179"/>
    <n v="1"/>
    <n v="5"/>
    <n v="265000"/>
    <x v="2"/>
    <n v="251750"/>
  </r>
  <r>
    <s v="T01061"/>
    <d v="2025-08-26T00:00:00"/>
    <s v="BR001"/>
    <s v="P013"/>
    <s v="C0034"/>
    <n v="1"/>
    <n v="10"/>
    <n v="22000"/>
    <x v="2"/>
    <n v="19800"/>
  </r>
  <r>
    <s v="T00304"/>
    <d v="2025-02-20T00:00:00"/>
    <s v="BR001"/>
    <s v="P010"/>
    <s v="C0135"/>
    <n v="1"/>
    <n v="0"/>
    <n v="62000"/>
    <x v="2"/>
    <n v="62000"/>
  </r>
  <r>
    <s v="T00268"/>
    <d v="2025-04-19T00:00:00"/>
    <s v="BR002"/>
    <s v="P006"/>
    <s v="C0096"/>
    <n v="1"/>
    <n v="0"/>
    <n v="78000"/>
    <x v="1"/>
    <n v="78000"/>
  </r>
  <r>
    <s v="T00546"/>
    <d v="2025-11-04T00:00:00"/>
    <s v="BR001"/>
    <s v="P024"/>
    <s v="C0206"/>
    <n v="1"/>
    <n v="10"/>
    <n v="245000"/>
    <x v="2"/>
    <n v="220500"/>
  </r>
  <r>
    <s v="T00213"/>
    <d v="2025-09-25T00:00:00"/>
    <s v="BR003"/>
    <s v="P016"/>
    <s v="C0088"/>
    <n v="2"/>
    <n v="20"/>
    <n v="19500"/>
    <x v="0"/>
    <n v="31200"/>
  </r>
  <r>
    <s v="T00897"/>
    <d v="2025-01-17T00:00:00"/>
    <s v="BR001"/>
    <s v="P017"/>
    <s v="C0120"/>
    <n v="1"/>
    <n v="10"/>
    <n v="24000"/>
    <x v="2"/>
    <n v="21600"/>
  </r>
  <r>
    <s v="T00917"/>
    <d v="2025-05-25T00:00:00"/>
    <s v="BR002"/>
    <s v="P020"/>
    <s v="C0173"/>
    <n v="2"/>
    <n v="0"/>
    <n v="8500"/>
    <x v="1"/>
    <n v="17000"/>
  </r>
  <r>
    <s v="T00676"/>
    <d v="2025-11-11T00:00:00"/>
    <s v="BR002"/>
    <s v="P018"/>
    <s v="C0139"/>
    <n v="1"/>
    <n v="0"/>
    <n v="18000"/>
    <x v="1"/>
    <n v="18000"/>
  </r>
  <r>
    <s v="T00815"/>
    <d v="2025-09-16T00:00:00"/>
    <s v="BR002"/>
    <s v="P018"/>
    <s v="C0097"/>
    <n v="5"/>
    <n v="0"/>
    <n v="18000"/>
    <x v="1"/>
    <n v="90000"/>
  </r>
  <r>
    <s v="T00343"/>
    <d v="2025-12-28T00:00:00"/>
    <s v="BR002"/>
    <s v="P007"/>
    <s v="C0085"/>
    <n v="1"/>
    <n v="10"/>
    <n v="145000"/>
    <x v="1"/>
    <n v="130500"/>
  </r>
  <r>
    <s v="T00550"/>
    <d v="2025-11-16T00:00:00"/>
    <s v="BR003"/>
    <s v="P005"/>
    <s v="C0080"/>
    <n v="1"/>
    <n v="0"/>
    <n v="95000"/>
    <x v="0"/>
    <n v="95000"/>
  </r>
  <r>
    <s v="T00967"/>
    <d v="2025-12-02T00:00:00"/>
    <s v="BR003"/>
    <s v="P001"/>
    <s v="C0146"/>
    <n v="3"/>
    <n v="10"/>
    <n v="185000"/>
    <x v="0"/>
    <n v="499500"/>
  </r>
  <r>
    <s v="T00296"/>
    <d v="2025-06-27T00:00:00"/>
    <s v="BR002"/>
    <s v="P018"/>
    <s v="C0038"/>
    <n v="1"/>
    <n v="10"/>
    <n v="18000"/>
    <x v="1"/>
    <n v="16200"/>
  </r>
  <r>
    <s v="T00696"/>
    <d v="2025-12-21T00:00:00"/>
    <s v="BR003"/>
    <s v="P002"/>
    <s v="C0121"/>
    <n v="2"/>
    <n v="10"/>
    <n v="320000"/>
    <x v="0"/>
    <n v="576000"/>
  </r>
  <r>
    <s v="T00074"/>
    <d v="2025-06-22T00:00:00"/>
    <s v="BR002"/>
    <s v="P013"/>
    <s v="C0017"/>
    <n v="3"/>
    <n v="10"/>
    <n v="22000"/>
    <x v="1"/>
    <n v="59400"/>
  </r>
  <r>
    <s v="T00606"/>
    <d v="2025-08-25T00:00:00"/>
    <s v="BR002"/>
    <s v="P019"/>
    <s v="C0091"/>
    <n v="1"/>
    <n v="0"/>
    <n v="21000"/>
    <x v="1"/>
    <n v="21000"/>
  </r>
  <r>
    <s v="T00105"/>
    <d v="2025-06-07T00:00:00"/>
    <s v="BR003"/>
    <s v="P005"/>
    <s v="C0148"/>
    <n v="1"/>
    <n v="0"/>
    <n v="95000"/>
    <x v="0"/>
    <n v="95000"/>
  </r>
  <r>
    <s v="T00646"/>
    <d v="2025-07-15T00:00:00"/>
    <s v="BR001"/>
    <s v="P019"/>
    <s v="C0068"/>
    <n v="2"/>
    <n v="0"/>
    <n v="21000"/>
    <x v="2"/>
    <n v="42000"/>
  </r>
  <r>
    <s v="T00755"/>
    <d v="2025-07-08T00:00:00"/>
    <s v="BR001"/>
    <s v="P001"/>
    <s v="C0116"/>
    <n v="3"/>
    <n v="5"/>
    <n v="185000"/>
    <x v="2"/>
    <n v="527250"/>
  </r>
  <r>
    <s v="T01041"/>
    <d v="2025-09-14T00:00:00"/>
    <s v="BR003"/>
    <s v="P014"/>
    <s v="C0152"/>
    <n v="2"/>
    <n v="10"/>
    <n v="285000"/>
    <x v="0"/>
    <n v="513000"/>
  </r>
  <r>
    <s v="T00440"/>
    <d v="2025-03-05T00:00:00"/>
    <s v="BR001"/>
    <s v="P013"/>
    <s v="C0037"/>
    <n v="2"/>
    <n v="0"/>
    <n v="22000"/>
    <x v="2"/>
    <n v="44000"/>
  </r>
  <r>
    <s v="T01020"/>
    <d v="2025-03-11T00:00:00"/>
    <s v="BR004"/>
    <s v="P010"/>
    <s v="C0027"/>
    <n v="1"/>
    <n v="20"/>
    <n v="62000"/>
    <x v="3"/>
    <n v="49600"/>
  </r>
  <r>
    <s v="T00092"/>
    <d v="2025-05-17T00:00:00"/>
    <s v="BR001"/>
    <s v="P003"/>
    <s v="C0153"/>
    <n v="1"/>
    <n v="0"/>
    <n v="45000"/>
    <x v="2"/>
    <n v="45000"/>
  </r>
  <r>
    <s v="T01113"/>
    <d v="2025-04-22T00:00:00"/>
    <s v="BR002"/>
    <s v="P005"/>
    <s v="C0137"/>
    <n v="1"/>
    <n v="15"/>
    <n v="95000"/>
    <x v="1"/>
    <n v="80750"/>
  </r>
  <r>
    <s v="T01225"/>
    <d v="2025-06-16T00:00:00"/>
    <s v="BR001"/>
    <s v="P007"/>
    <s v="C0193"/>
    <n v="1"/>
    <n v="0"/>
    <n v="145000"/>
    <x v="2"/>
    <n v="145000"/>
  </r>
  <r>
    <s v="T00909"/>
    <d v="2025-07-05T00:00:00"/>
    <s v="BR002"/>
    <s v="P020"/>
    <s v="C0054"/>
    <n v="1"/>
    <n v="0"/>
    <n v="8500"/>
    <x v="1"/>
    <n v="8500"/>
  </r>
  <r>
    <s v="T00103"/>
    <d v="2025-01-25T00:00:00"/>
    <s v="BR001"/>
    <s v="P003"/>
    <s v="C0171"/>
    <n v="2"/>
    <n v="20"/>
    <n v="45000"/>
    <x v="2"/>
    <n v="72000"/>
  </r>
  <r>
    <s v="T00239"/>
    <d v="2025-12-05T00:00:00"/>
    <s v="BR003"/>
    <s v="P020"/>
    <s v="C0076"/>
    <n v="3"/>
    <n v="10"/>
    <n v="8500"/>
    <x v="0"/>
    <n v="22950"/>
  </r>
  <r>
    <s v="T01394"/>
    <d v="2025-12-17T00:00:00"/>
    <s v="BR003"/>
    <s v="P021"/>
    <s v="C0055"/>
    <n v="1"/>
    <n v="5"/>
    <n v="6500"/>
    <x v="0"/>
    <n v="6175"/>
  </r>
  <r>
    <s v="T00943"/>
    <d v="2025-12-20T00:00:00"/>
    <s v="BR002"/>
    <s v="P018"/>
    <s v="C0004"/>
    <n v="1"/>
    <n v="10"/>
    <n v="18000"/>
    <x v="1"/>
    <n v="16200"/>
  </r>
  <r>
    <s v="T00939"/>
    <d v="2025-05-15T00:00:00"/>
    <s v="BR003"/>
    <s v="P008"/>
    <s v="C0111"/>
    <n v="2"/>
    <n v="0"/>
    <n v="410000"/>
    <x v="0"/>
    <n v="820000"/>
  </r>
  <r>
    <s v="T00006"/>
    <d v="2025-07-10T00:00:00"/>
    <s v="BR001"/>
    <s v="P020"/>
    <s v="C0115"/>
    <n v="2"/>
    <n v="5"/>
    <n v="8500"/>
    <x v="2"/>
    <n v="16150"/>
  </r>
  <r>
    <s v="T01270"/>
    <d v="2025-08-07T00:00:00"/>
    <s v="BR004"/>
    <s v="P019"/>
    <s v="C0195"/>
    <n v="1"/>
    <n v="10"/>
    <n v="21000"/>
    <x v="3"/>
    <n v="18900"/>
  </r>
  <r>
    <s v="T00966"/>
    <d v="2025-01-16T00:00:00"/>
    <s v="BR001"/>
    <s v="P001"/>
    <s v="C0098"/>
    <n v="2"/>
    <n v="15"/>
    <n v="185000"/>
    <x v="2"/>
    <n v="314500"/>
  </r>
  <r>
    <s v="T00019"/>
    <d v="2025-11-07T00:00:00"/>
    <s v="BR003"/>
    <s v="P002"/>
    <s v="C0037"/>
    <n v="1"/>
    <n v="5"/>
    <n v="320000"/>
    <x v="0"/>
    <n v="304000"/>
  </r>
  <r>
    <s v="T00122"/>
    <d v="2025-11-27T00:00:00"/>
    <s v="BR003"/>
    <s v="P018"/>
    <s v="C0020"/>
    <n v="1"/>
    <n v="0"/>
    <n v="18000"/>
    <x v="0"/>
    <n v="18000"/>
  </r>
  <r>
    <s v="T00662"/>
    <d v="2025-10-15T00:00:00"/>
    <s v="BR002"/>
    <s v="P011"/>
    <s v="C0154"/>
    <n v="1"/>
    <n v="0"/>
    <n v="74000"/>
    <x v="1"/>
    <n v="74000"/>
  </r>
  <r>
    <s v="T01180"/>
    <d v="2025-10-21T00:00:00"/>
    <s v="BR003"/>
    <s v="P001"/>
    <s v="C0156"/>
    <n v="3"/>
    <n v="0"/>
    <n v="185000"/>
    <x v="0"/>
    <n v="555000"/>
  </r>
  <r>
    <s v="T00275"/>
    <d v="2025-12-10T00:00:00"/>
    <s v="BR002"/>
    <s v="P014"/>
    <s v="C0156"/>
    <n v="1"/>
    <n v="0"/>
    <n v="285000"/>
    <x v="1"/>
    <n v="285000"/>
  </r>
  <r>
    <s v="T00434"/>
    <d v="2025-07-05T00:00:00"/>
    <s v="BR001"/>
    <s v="P022"/>
    <s v="C0004"/>
    <n v="1"/>
    <n v="10"/>
    <n v="5200"/>
    <x v="2"/>
    <n v="4680"/>
  </r>
  <r>
    <s v="T00812"/>
    <d v="2025-05-06T00:00:00"/>
    <s v="BR003"/>
    <s v="P021"/>
    <s v="C0018"/>
    <n v="1"/>
    <n v="0"/>
    <n v="6500"/>
    <x v="0"/>
    <n v="6500"/>
  </r>
  <r>
    <s v="T01308"/>
    <d v="2025-11-04T00:00:00"/>
    <s v="BR003"/>
    <s v="P002"/>
    <s v="C0160"/>
    <n v="1"/>
    <n v="15"/>
    <n v="320000"/>
    <x v="0"/>
    <n v="272000"/>
  </r>
  <r>
    <s v="T01322"/>
    <d v="2025-05-05T00:00:00"/>
    <s v="BR001"/>
    <s v="P007"/>
    <s v="C0045"/>
    <n v="1"/>
    <n v="5"/>
    <n v="145000"/>
    <x v="2"/>
    <n v="137750"/>
  </r>
  <r>
    <s v="T00182"/>
    <d v="2025-01-27T00:00:00"/>
    <s v="BR001"/>
    <s v="P017"/>
    <s v="C0180"/>
    <n v="1"/>
    <n v="0"/>
    <n v="24000"/>
    <x v="2"/>
    <n v="24000"/>
  </r>
  <r>
    <s v="T00185"/>
    <d v="2025-01-02T00:00:00"/>
    <s v="BR004"/>
    <s v="P016"/>
    <s v="C0104"/>
    <n v="1"/>
    <n v="0"/>
    <n v="19500"/>
    <x v="3"/>
    <n v="19500"/>
  </r>
  <r>
    <s v="T00407"/>
    <d v="2025-09-08T00:00:00"/>
    <s v="BR001"/>
    <s v="P016"/>
    <s v="C0024"/>
    <n v="1"/>
    <n v="0"/>
    <n v="19500"/>
    <x v="2"/>
    <n v="19500"/>
  </r>
  <r>
    <s v="T00866"/>
    <d v="2025-08-27T00:00:00"/>
    <s v="BR002"/>
    <s v="P018"/>
    <s v="C0166"/>
    <n v="1"/>
    <n v="0"/>
    <n v="18000"/>
    <x v="1"/>
    <n v="18000"/>
  </r>
  <r>
    <s v="T00521"/>
    <s v="16/09/2025"/>
    <s v="BR001"/>
    <s v="P010"/>
    <s v="C0054"/>
    <n v="1"/>
    <n v="0"/>
    <n v="62000"/>
    <x v="2"/>
    <n v="62000"/>
  </r>
  <r>
    <s v="T01004"/>
    <d v="2025-12-27T00:00:00"/>
    <s v="BR003"/>
    <s v="P016"/>
    <s v="C0100"/>
    <n v="5"/>
    <n v="10"/>
    <n v="19500"/>
    <x v="0"/>
    <n v="87750"/>
  </r>
  <r>
    <s v="T00381"/>
    <d v="2025-04-10T00:00:00"/>
    <s v="BR003"/>
    <s v="P020"/>
    <s v="C0058"/>
    <n v="1"/>
    <n v="0"/>
    <n v="8500"/>
    <x v="0"/>
    <n v="8500"/>
  </r>
  <r>
    <s v="T00428"/>
    <d v="2025-11-25T00:00:00"/>
    <s v="BR003"/>
    <s v="P003"/>
    <s v="C0218"/>
    <n v="1"/>
    <n v="15"/>
    <n v="45000"/>
    <x v="0"/>
    <n v="38250"/>
  </r>
  <r>
    <s v="T00079"/>
    <s v="14/07/2025"/>
    <s v="BR003"/>
    <s v="P004"/>
    <s v="C0121"/>
    <n v="1"/>
    <n v="0"/>
    <n v="38000"/>
    <x v="0"/>
    <n v="38000"/>
  </r>
  <r>
    <s v="T01010"/>
    <d v="2025-08-12T00:00:00"/>
    <s v="BR002"/>
    <s v="P008"/>
    <s v="C0015"/>
    <n v="2"/>
    <n v="25"/>
    <n v="410000"/>
    <x v="1"/>
    <n v="615000"/>
  </r>
  <r>
    <s v="T01380"/>
    <d v="2025-11-23T00:00:00"/>
    <s v="BR001"/>
    <s v="P008"/>
    <s v="C0127"/>
    <n v="2"/>
    <n v="0"/>
    <n v="410000"/>
    <x v="2"/>
    <n v="820000"/>
  </r>
  <r>
    <s v="T00608"/>
    <d v="2025-09-04T00:00:00"/>
    <s v="BR003"/>
    <s v="P001"/>
    <s v="C0138"/>
    <n v="1"/>
    <n v="0"/>
    <n v="185000"/>
    <x v="0"/>
    <n v="185000"/>
  </r>
  <r>
    <s v="T01351"/>
    <d v="2025-08-20T00:00:00"/>
    <s v="BR001"/>
    <s v="P007"/>
    <s v="C0197"/>
    <n v="1"/>
    <n v="0"/>
    <n v="145000"/>
    <x v="2"/>
    <n v="145000"/>
  </r>
  <r>
    <s v="T01393"/>
    <d v="2025-10-16T00:00:00"/>
    <s v="BR002"/>
    <s v="P018"/>
    <s v="C0015"/>
    <n v="1"/>
    <n v="5"/>
    <n v="18000"/>
    <x v="1"/>
    <n v="17100"/>
  </r>
  <r>
    <s v="T01276"/>
    <d v="2025-12-16T00:00:00"/>
    <s v="BR001"/>
    <s v="P002"/>
    <s v="C0131"/>
    <n v="1"/>
    <n v="10"/>
    <n v="320000"/>
    <x v="2"/>
    <n v="288000"/>
  </r>
  <r>
    <s v="T01058"/>
    <d v="2025-02-01T00:00:00"/>
    <s v="BR002"/>
    <s v="P010"/>
    <s v="C0205"/>
    <n v="1"/>
    <n v="0"/>
    <n v="62000"/>
    <x v="1"/>
    <n v="62000"/>
  </r>
  <r>
    <s v="T01092"/>
    <d v="2025-05-18T00:00:00"/>
    <s v="BR001"/>
    <s v="P011"/>
    <s v="C0044"/>
    <n v="1"/>
    <n v="0"/>
    <n v="74000"/>
    <x v="2"/>
    <n v="74000"/>
  </r>
  <r>
    <s v="T01102"/>
    <d v="2025-03-23T00:00:00"/>
    <s v="BR001"/>
    <s v="P017"/>
    <s v="C0171"/>
    <n v="1"/>
    <n v="0"/>
    <n v="24000"/>
    <x v="2"/>
    <n v="24000"/>
  </r>
  <r>
    <s v="T01130"/>
    <d v="2025-10-05T00:00:00"/>
    <s v="BR001"/>
    <s v="P023"/>
    <s v="C0191"/>
    <n v="1"/>
    <n v="10"/>
    <n v="195000"/>
    <x v="2"/>
    <n v="175500"/>
  </r>
  <r>
    <s v="T01231"/>
    <d v="2025-12-28T00:00:00"/>
    <s v="BR003"/>
    <s v="P007"/>
    <s v="C0142"/>
    <n v="1"/>
    <n v="10"/>
    <n v="145000"/>
    <x v="0"/>
    <n v="130500"/>
  </r>
  <r>
    <s v="T00959"/>
    <d v="2025-12-03T00:00:00"/>
    <s v="BR001"/>
    <s v="P020"/>
    <s v="C0092"/>
    <n v="1"/>
    <n v="15"/>
    <n v="8500"/>
    <x v="2"/>
    <n v="7225"/>
  </r>
  <r>
    <s v="T00560"/>
    <d v="2025-08-25T00:00:00"/>
    <s v="BR001"/>
    <s v="P005"/>
    <s v="C0140"/>
    <n v="1"/>
    <n v="5"/>
    <n v="95000"/>
    <x v="2"/>
    <n v="90250"/>
  </r>
  <r>
    <s v="T00847"/>
    <d v="2025-04-25T00:00:00"/>
    <s v="BR002"/>
    <s v="P008"/>
    <s v="C0166"/>
    <n v="1"/>
    <n v="0"/>
    <n v="410000"/>
    <x v="1"/>
    <n v="410000"/>
  </r>
  <r>
    <s v="T00691"/>
    <d v="2025-12-07T00:00:00"/>
    <s v="BR004"/>
    <s v="P018"/>
    <s v="C0212"/>
    <n v="2"/>
    <n v="0"/>
    <n v="18000"/>
    <x v="3"/>
    <n v="36000"/>
  </r>
  <r>
    <s v="T01358"/>
    <d v="2025-04-19T00:00:00"/>
    <s v="BR003"/>
    <s v="P002"/>
    <s v="C0165"/>
    <n v="5"/>
    <n v="0"/>
    <n v="320000"/>
    <x v="0"/>
    <n v="1600000"/>
  </r>
  <r>
    <s v="T01306"/>
    <d v="2025-06-04T00:00:00"/>
    <s v="BR001"/>
    <s v="P008"/>
    <s v="C0010"/>
    <n v="1"/>
    <n v="0"/>
    <n v="410000"/>
    <x v="2"/>
    <n v="410000"/>
  </r>
  <r>
    <s v="T00437"/>
    <d v="2025-09-01T00:00:00"/>
    <s v="BR003"/>
    <s v="P004"/>
    <s v="C0178"/>
    <n v="1"/>
    <n v="5"/>
    <n v="38000"/>
    <x v="0"/>
    <n v="36100"/>
  </r>
  <r>
    <s v="T00491"/>
    <d v="2025-06-20T00:00:00"/>
    <s v="BR001"/>
    <s v="P004"/>
    <s v="C0119"/>
    <n v="1"/>
    <n v="20"/>
    <n v="38000"/>
    <x v="2"/>
    <n v="30400"/>
  </r>
  <r>
    <s v="T01398"/>
    <d v="2025-01-11T00:00:00"/>
    <s v="BR001"/>
    <s v="P021"/>
    <s v="C0203"/>
    <n v="1"/>
    <n v="0"/>
    <n v="6500"/>
    <x v="2"/>
    <n v="6500"/>
  </r>
  <r>
    <s v="T01285"/>
    <d v="2025-12-09T00:00:00"/>
    <s v="BR001"/>
    <s v="P022"/>
    <s v="C0073"/>
    <n v="1"/>
    <n v="20"/>
    <n v="5200"/>
    <x v="2"/>
    <n v="4160"/>
  </r>
  <r>
    <s v="T00070"/>
    <d v="2025-08-16T00:00:00"/>
    <s v="BR001"/>
    <s v="P002"/>
    <s v="C0029"/>
    <n v="2"/>
    <n v="20"/>
    <n v="320000"/>
    <x v="2"/>
    <n v="512000"/>
  </r>
  <r>
    <s v="T00809"/>
    <d v="2025-05-12T00:00:00"/>
    <s v="BR002"/>
    <s v="P005"/>
    <s v="C0214"/>
    <n v="1"/>
    <n v="0"/>
    <n v="95000"/>
    <x v="1"/>
    <n v="95000"/>
  </r>
  <r>
    <s v="T01185"/>
    <d v="2025-01-20T00:00:00"/>
    <s v="BR003"/>
    <s v="P024"/>
    <s v="C0027"/>
    <n v="1"/>
    <n v="0"/>
    <n v="245000"/>
    <x v="0"/>
    <n v="245000"/>
  </r>
  <r>
    <s v="T00012"/>
    <d v="2025-02-09T00:00:00"/>
    <s v="BR004"/>
    <s v="P014"/>
    <s v="C0010"/>
    <n v="1"/>
    <n v="0"/>
    <n v="285000"/>
    <x v="3"/>
    <n v="285000"/>
  </r>
  <r>
    <s v="T00145"/>
    <d v="2025-10-03T00:00:00"/>
    <s v="BR001"/>
    <s v="P023"/>
    <s v="C0017"/>
    <n v="5"/>
    <n v="0"/>
    <n v="195000"/>
    <x v="2"/>
    <n v="975000"/>
  </r>
  <r>
    <s v="T00918"/>
    <d v="2025-12-23T00:00:00"/>
    <s v="BR001"/>
    <s v="P018"/>
    <s v="C0078"/>
    <n v="2"/>
    <n v="5"/>
    <n v="18000"/>
    <x v="2"/>
    <n v="34200"/>
  </r>
  <r>
    <s v="T00640"/>
    <d v="2025-06-26T00:00:00"/>
    <s v="BR001"/>
    <s v="P015"/>
    <s v="C0108"/>
    <n v="1"/>
    <n v="10"/>
    <n v="15000"/>
    <x v="2"/>
    <n v="13500"/>
  </r>
  <r>
    <s v="T00177"/>
    <s v="23/06/2025"/>
    <s v="BR002"/>
    <s v="P009"/>
    <s v="C0164"/>
    <n v="1"/>
    <n v="0"/>
    <n v="265000"/>
    <x v="1"/>
    <n v="265000"/>
  </r>
  <r>
    <s v="T00995"/>
    <d v="2025-09-25T00:00:00"/>
    <s v="BR001"/>
    <s v="P017"/>
    <s v="C0008"/>
    <n v="1"/>
    <n v="15"/>
    <n v="24000"/>
    <x v="2"/>
    <n v="20400"/>
  </r>
  <r>
    <s v="T00441"/>
    <d v="2025-05-05T00:00:00"/>
    <s v="BR001"/>
    <s v="P019"/>
    <s v="C0034"/>
    <n v="1"/>
    <n v="15"/>
    <n v="21000"/>
    <x v="2"/>
    <n v="17850"/>
  </r>
  <r>
    <s v="T00522"/>
    <d v="2025-05-03T00:00:00"/>
    <s v="BR001"/>
    <s v="P023"/>
    <s v="C0034"/>
    <n v="2"/>
    <n v="5"/>
    <n v="195000"/>
    <x v="2"/>
    <n v="370500"/>
  </r>
  <r>
    <s v="T01386"/>
    <d v="2025-07-24T00:00:00"/>
    <s v="BR001"/>
    <s v="P020"/>
    <s v="C0163"/>
    <n v="2"/>
    <n v="0"/>
    <n v="8500"/>
    <x v="2"/>
    <n v="17000"/>
  </r>
  <r>
    <s v="T01005"/>
    <d v="2025-10-16T00:00:00"/>
    <s v="BR001"/>
    <s v="P025"/>
    <s v="C0218"/>
    <n v="1"/>
    <n v="0"/>
    <n v="175000"/>
    <x v="2"/>
    <n v="175000"/>
  </r>
  <r>
    <s v="T00144"/>
    <d v="2025-02-28T00:00:00"/>
    <s v="BR004"/>
    <s v="P005"/>
    <s v="C0055"/>
    <n v="1"/>
    <n v="0"/>
    <n v="95000"/>
    <x v="3"/>
    <n v="95000"/>
  </r>
  <r>
    <s v="T00754"/>
    <d v="2025-08-02T00:00:00"/>
    <s v="BR001"/>
    <s v="P010"/>
    <s v="C0136"/>
    <n v="1"/>
    <n v="0"/>
    <n v="62000"/>
    <x v="2"/>
    <n v="62000"/>
  </r>
  <r>
    <s v="T00520"/>
    <d v="2025-12-05T00:00:00"/>
    <s v="BR004"/>
    <s v="P003"/>
    <s v="C0208"/>
    <n v="1"/>
    <n v="10"/>
    <n v="45000"/>
    <x v="3"/>
    <n v="40500"/>
  </r>
  <r>
    <s v="T00823"/>
    <d v="2025-12-18T00:00:00"/>
    <s v="BR003"/>
    <s v="P010"/>
    <s v="C0187"/>
    <n v="1"/>
    <n v="10"/>
    <n v="62000"/>
    <x v="0"/>
    <n v="55800"/>
  </r>
  <r>
    <s v="T00429"/>
    <d v="2025-12-07T00:00:00"/>
    <s v="BR003"/>
    <s v="P019"/>
    <s v="C0109"/>
    <n v="2"/>
    <n v="10"/>
    <n v="21000"/>
    <x v="0"/>
    <n v="37800"/>
  </r>
  <r>
    <s v="T00613"/>
    <d v="2025-03-19T00:00:00"/>
    <s v="BR003"/>
    <s v="P022"/>
    <s v="C0043"/>
    <n v="1"/>
    <n v="0"/>
    <n v="5200"/>
    <x v="0"/>
    <n v="5200"/>
  </r>
  <r>
    <s v="T01033"/>
    <d v="2025-05-10T00:00:00"/>
    <s v="BR003"/>
    <s v="P004"/>
    <s v="C0100"/>
    <n v="1"/>
    <n v="0"/>
    <n v="38000"/>
    <x v="0"/>
    <n v="38000"/>
  </r>
  <r>
    <s v="T00157"/>
    <d v="2025-12-19T00:00:00"/>
    <s v="BR002"/>
    <s v="P002"/>
    <s v="C0199"/>
    <n v="1"/>
    <n v="25"/>
    <n v="320000"/>
    <x v="1"/>
    <n v="240000"/>
  </r>
  <r>
    <s v="T00540"/>
    <d v="2025-06-28T00:00:00"/>
    <s v="BR001"/>
    <s v="P010"/>
    <s v="C0218"/>
    <n v="1"/>
    <n v="0"/>
    <n v="62000"/>
    <x v="2"/>
    <n v="62000"/>
  </r>
  <r>
    <s v="T00462"/>
    <d v="2025-11-19T00:00:00"/>
    <s v="BR004"/>
    <s v="P016"/>
    <s v="C0072"/>
    <n v="1"/>
    <n v="5"/>
    <n v="19500"/>
    <x v="3"/>
    <n v="18525"/>
  </r>
  <r>
    <s v="T00577"/>
    <d v="2025-02-13T00:00:00"/>
    <s v="BR001"/>
    <s v="P018"/>
    <s v="C0203"/>
    <n v="2"/>
    <n v="0"/>
    <n v="18000"/>
    <x v="2"/>
    <n v="36000"/>
  </r>
  <r>
    <s v="T00256"/>
    <d v="2025-05-15T00:00:00"/>
    <s v="BR004"/>
    <s v="P002"/>
    <s v="C0054"/>
    <n v="1"/>
    <n v="0"/>
    <n v="320000"/>
    <x v="3"/>
    <n v="320000"/>
  </r>
  <r>
    <s v="T00980"/>
    <d v="2025-03-25T00:00:00"/>
    <s v="BR001"/>
    <s v="P010"/>
    <s v="C0177"/>
    <n v="2"/>
    <n v="0"/>
    <n v="62000"/>
    <x v="2"/>
    <n v="124000"/>
  </r>
  <r>
    <s v="T01186"/>
    <d v="2025-01-18T00:00:00"/>
    <s v="BR001"/>
    <s v="P001"/>
    <s v="C0217"/>
    <n v="2"/>
    <n v="10"/>
    <n v="185000"/>
    <x v="2"/>
    <n v="333000"/>
  </r>
  <r>
    <s v="T01007"/>
    <d v="2025-12-02T00:00:00"/>
    <s v="BR001"/>
    <s v="P003"/>
    <s v="C0039"/>
    <n v="1"/>
    <n v="10"/>
    <n v="45000"/>
    <x v="2"/>
    <n v="40500"/>
  </r>
  <r>
    <s v="T00561"/>
    <d v="2025-04-27T00:00:00"/>
    <s v="BR004"/>
    <s v="P019"/>
    <s v="C0009"/>
    <n v="5"/>
    <n v="0"/>
    <n v="21000"/>
    <x v="3"/>
    <n v="105000"/>
  </r>
  <r>
    <s v="T00209"/>
    <d v="2025-04-13T00:00:00"/>
    <s v="BR001"/>
    <s v="P024"/>
    <s v="C0140"/>
    <n v="2"/>
    <n v="0"/>
    <n v="245000"/>
    <x v="2"/>
    <n v="490000"/>
  </r>
  <r>
    <s v="T00911"/>
    <d v="2025-04-10T00:00:00"/>
    <s v="BR003"/>
    <s v="P014"/>
    <s v="C0036"/>
    <n v="2"/>
    <n v="15"/>
    <n v="285000"/>
    <x v="0"/>
    <n v="484500"/>
  </r>
  <r>
    <s v="T00002"/>
    <d v="2025-01-16T00:00:00"/>
    <s v="BR001"/>
    <s v="P006"/>
    <s v="C0145"/>
    <n v="1"/>
    <n v="10"/>
    <n v="78000"/>
    <x v="2"/>
    <n v="70200"/>
  </r>
  <r>
    <s v="T00270"/>
    <d v="2025-02-21T00:00:00"/>
    <s v="BR001"/>
    <s v="P008"/>
    <s v="C0044"/>
    <n v="1"/>
    <n v="0"/>
    <n v="410000"/>
    <x v="2"/>
    <n v="410000"/>
  </r>
  <r>
    <s v="T00266"/>
    <d v="2025-11-03T00:00:00"/>
    <s v="BR002"/>
    <s v="P003"/>
    <s v="C0007"/>
    <n v="1"/>
    <n v="0"/>
    <n v="45000"/>
    <x v="1"/>
    <n v="45000"/>
  </r>
  <r>
    <s v="T00915"/>
    <d v="2025-10-27T00:00:00"/>
    <s v="BR001"/>
    <s v="P025"/>
    <s v="C0063"/>
    <n v="1"/>
    <n v="15"/>
    <n v="175000"/>
    <x v="2"/>
    <n v="148750"/>
  </r>
  <r>
    <s v="T00231"/>
    <d v="2025-12-23T00:00:00"/>
    <s v="BR001"/>
    <s v="P001"/>
    <s v="C0056"/>
    <n v="3"/>
    <n v="5"/>
    <n v="185000"/>
    <x v="2"/>
    <n v="527250"/>
  </r>
  <r>
    <s v="T01383"/>
    <d v="2025-02-25T00:00:00"/>
    <s v="BR004"/>
    <s v="P023"/>
    <s v="C0079"/>
    <n v="1"/>
    <n v="0"/>
    <n v="195000"/>
    <x v="3"/>
    <n v="195000"/>
  </r>
  <r>
    <s v="T01120"/>
    <d v="2025-11-10T00:00:00"/>
    <s v="BR001"/>
    <s v="P022"/>
    <s v="C0009"/>
    <n v="1"/>
    <n v="0"/>
    <n v="5200"/>
    <x v="2"/>
    <n v="5200"/>
  </r>
  <r>
    <s v="T01378"/>
    <d v="2025-05-05T00:00:00"/>
    <s v="BR001"/>
    <s v="P004"/>
    <s v="C0157"/>
    <n v="2"/>
    <n v="5"/>
    <n v="38000"/>
    <x v="2"/>
    <n v="72200"/>
  </r>
  <r>
    <s v="T00865"/>
    <d v="2025-07-06T00:00:00"/>
    <s v="BR001"/>
    <s v="P012"/>
    <s v="C0060"/>
    <n v="1"/>
    <n v="5"/>
    <n v="28000"/>
    <x v="2"/>
    <n v="26600"/>
  </r>
  <r>
    <s v="T01067"/>
    <d v="2025-02-25T00:00:00"/>
    <s v="BR001"/>
    <s v="P001"/>
    <s v="C0218"/>
    <n v="1"/>
    <n v="0"/>
    <n v="185000"/>
    <x v="2"/>
    <n v="185000"/>
  </r>
  <r>
    <s v="T00874"/>
    <d v="2025-02-18T00:00:00"/>
    <s v="BR001"/>
    <s v="P018"/>
    <s v="C0130"/>
    <n v="1"/>
    <n v="0"/>
    <n v="18000"/>
    <x v="2"/>
    <n v="18000"/>
  </r>
  <r>
    <s v="T01254"/>
    <d v="2025-04-27T00:00:00"/>
    <s v="BR001"/>
    <s v="P009"/>
    <s v="C0089"/>
    <n v="3"/>
    <n v="0"/>
    <n v="265000"/>
    <x v="2"/>
    <n v="795000"/>
  </r>
  <r>
    <s v="T00399"/>
    <d v="2025-03-16T00:00:00"/>
    <s v="BR001"/>
    <s v="P013"/>
    <s v="C0095"/>
    <n v="1"/>
    <n v="0"/>
    <n v="22000"/>
    <x v="2"/>
    <n v="22000"/>
  </r>
  <r>
    <s v="T01279"/>
    <d v="2025-01-22T00:00:00"/>
    <s v="BR002"/>
    <s v="P015"/>
    <s v="C0173"/>
    <n v="1"/>
    <n v="10"/>
    <n v="15000"/>
    <x v="1"/>
    <n v="13500"/>
  </r>
  <r>
    <s v="T00046"/>
    <d v="2025-09-14T00:00:00"/>
    <s v="BR002"/>
    <s v="P005"/>
    <s v="C0045"/>
    <n v="1"/>
    <n v="0"/>
    <n v="95000"/>
    <x v="1"/>
    <n v="95000"/>
  </r>
  <r>
    <s v="T00162"/>
    <d v="2025-06-12T00:00:00"/>
    <s v="BR001"/>
    <s v="P011"/>
    <s v="C0082"/>
    <n v="2"/>
    <n v="0"/>
    <n v="74000"/>
    <x v="2"/>
    <n v="148000"/>
  </r>
  <r>
    <s v="T00992"/>
    <d v="2025-04-06T00:00:00"/>
    <s v="BR001"/>
    <s v="P003"/>
    <s v="C0119"/>
    <n v="2"/>
    <n v="15"/>
    <n v="45000"/>
    <x v="2"/>
    <n v="76500"/>
  </r>
  <r>
    <s v="T00728"/>
    <d v="2025-03-12T00:00:00"/>
    <s v="BR001"/>
    <s v="P014"/>
    <s v="C0115"/>
    <n v="2"/>
    <n v="0"/>
    <n v="285000"/>
    <x v="2"/>
    <n v="570000"/>
  </r>
  <r>
    <s v="T00630"/>
    <d v="2025-03-16T00:00:00"/>
    <s v="BR004"/>
    <s v="P024"/>
    <s v="C0150"/>
    <n v="1"/>
    <n v="20"/>
    <n v="245000"/>
    <x v="3"/>
    <n v="196000"/>
  </r>
  <r>
    <s v="T00289"/>
    <d v="2025-11-01T00:00:00"/>
    <s v="BR001"/>
    <s v="P020"/>
    <s v="C0021"/>
    <n v="2"/>
    <n v="10"/>
    <n v="8500"/>
    <x v="2"/>
    <n v="15300"/>
  </r>
  <r>
    <s v="T01060"/>
    <d v="2025-01-22T00:00:00"/>
    <s v="BR004"/>
    <s v="P010"/>
    <s v="C0209"/>
    <n v="1"/>
    <n v="0"/>
    <n v="62000"/>
    <x v="3"/>
    <n v="62000"/>
  </r>
  <r>
    <s v="T01367"/>
    <d v="2025-02-05T00:00:00"/>
    <s v="BR002"/>
    <s v="P005"/>
    <s v="C0216"/>
    <n v="1"/>
    <n v="0"/>
    <n v="95000"/>
    <x v="1"/>
    <n v="95000"/>
  </r>
  <r>
    <s v="T00576"/>
    <d v="2025-02-22T00:00:00"/>
    <s v="BR003"/>
    <s v="P002"/>
    <s v="C0133"/>
    <n v="1"/>
    <n v="0"/>
    <n v="320000"/>
    <x v="0"/>
    <n v="320000"/>
  </r>
  <r>
    <s v="T00851"/>
    <d v="2025-08-08T00:00:00"/>
    <s v="BR001"/>
    <s v="P025"/>
    <s v="C0019"/>
    <n v="2"/>
    <n v="10"/>
    <n v="175000"/>
    <x v="2"/>
    <n v="315000"/>
  </r>
  <r>
    <s v="T00912"/>
    <d v="2025-08-27T00:00:00"/>
    <s v="BR001"/>
    <s v="P022"/>
    <s v="C0049"/>
    <n v="1"/>
    <n v="20"/>
    <n v="5200"/>
    <x v="2"/>
    <n v="4160"/>
  </r>
  <r>
    <s v="T01255"/>
    <d v="2025-05-11T00:00:00"/>
    <s v="BR001"/>
    <s v="P001"/>
    <s v="C0106"/>
    <n v="3"/>
    <n v="0"/>
    <n v="185000"/>
    <x v="2"/>
    <n v="555000"/>
  </r>
  <r>
    <s v="T01272"/>
    <d v="2025-10-12T00:00:00"/>
    <s v="BR002"/>
    <s v="P020"/>
    <s v="C0188"/>
    <n v="3"/>
    <n v="0"/>
    <n v="8500"/>
    <x v="1"/>
    <n v="25500"/>
  </r>
  <r>
    <s v="T00933"/>
    <d v="2025-07-10T00:00:00"/>
    <s v="BR002"/>
    <s v="P019"/>
    <s v="C0198"/>
    <n v="1"/>
    <n v="0"/>
    <n v="21000"/>
    <x v="1"/>
    <n v="21000"/>
  </r>
  <r>
    <s v="T01101"/>
    <d v="2025-07-10T00:00:00"/>
    <s v="BR002"/>
    <s v="P022"/>
    <s v="C0115"/>
    <n v="1"/>
    <n v="0"/>
    <n v="5200"/>
    <x v="1"/>
    <n v="5200"/>
  </r>
  <r>
    <s v="T01208"/>
    <d v="2025-09-20T00:00:00"/>
    <s v="BR001"/>
    <s v="P006"/>
    <s v="C0013"/>
    <n v="1"/>
    <n v="10"/>
    <n v="78000"/>
    <x v="2"/>
    <n v="70200"/>
  </r>
  <r>
    <s v="T00248"/>
    <d v="2025-12-13T00:00:00"/>
    <s v="BR001"/>
    <s v="P020"/>
    <s v="C0010"/>
    <n v="1"/>
    <n v="30"/>
    <n v="8500"/>
    <x v="2"/>
    <n v="5950"/>
  </r>
  <r>
    <s v="T00477"/>
    <d v="2025-09-22T00:00:00"/>
    <s v="BR001"/>
    <s v="P001"/>
    <s v="C0082"/>
    <n v="1"/>
    <n v="10"/>
    <n v="185000"/>
    <x v="2"/>
    <n v="166500"/>
  </r>
  <r>
    <s v="T00086"/>
    <d v="2025-11-15T00:00:00"/>
    <s v="BR001"/>
    <s v="P016"/>
    <s v="C0082"/>
    <n v="1"/>
    <n v="0"/>
    <n v="19500"/>
    <x v="2"/>
    <n v="19500"/>
  </r>
  <r>
    <s v="T00470"/>
    <d v="2025-07-17T00:00:00"/>
    <s v="BR003"/>
    <s v="P005"/>
    <s v="C0153"/>
    <n v="1"/>
    <n v="0"/>
    <n v="95000"/>
    <x v="0"/>
    <n v="95000"/>
  </r>
  <r>
    <s v="T00226"/>
    <d v="2025-02-23T00:00:00"/>
    <s v="BR002"/>
    <s v="P024"/>
    <s v="C0037"/>
    <n v="1"/>
    <n v="20"/>
    <n v="245000"/>
    <x v="1"/>
    <n v="196000"/>
  </r>
  <r>
    <s v="T00775"/>
    <d v="2025-11-22T00:00:00"/>
    <s v="BR001"/>
    <s v="P013"/>
    <s v="C0209"/>
    <n v="1"/>
    <n v="5"/>
    <n v="22000"/>
    <x v="2"/>
    <n v="20900"/>
  </r>
  <r>
    <s v="T00332"/>
    <d v="2025-12-06T00:00:00"/>
    <s v="BR001"/>
    <s v="P015"/>
    <s v="C0031"/>
    <n v="1"/>
    <n v="5"/>
    <n v="15000"/>
    <x v="2"/>
    <n v="14250"/>
  </r>
  <r>
    <s v="T00234"/>
    <d v="2025-11-11T00:00:00"/>
    <s v="BR003"/>
    <s v="P025"/>
    <s v="C0195"/>
    <n v="1"/>
    <n v="10"/>
    <n v="175000"/>
    <x v="0"/>
    <n v="157500"/>
  </r>
  <r>
    <s v="T00589"/>
    <d v="2025-09-10T00:00:00"/>
    <s v="BR003"/>
    <s v="P019"/>
    <s v="C0017"/>
    <n v="1"/>
    <n v="10"/>
    <n v="21000"/>
    <x v="0"/>
    <n v="18900"/>
  </r>
  <r>
    <s v="T00476"/>
    <d v="2025-10-14T00:00:00"/>
    <s v="BR003"/>
    <s v="P002"/>
    <s v="C0079"/>
    <n v="1"/>
    <n v="0"/>
    <n v="320000"/>
    <x v="0"/>
    <n v="320000"/>
  </r>
  <r>
    <s v="T00600"/>
    <d v="2025-11-22T00:00:00"/>
    <s v="BR001"/>
    <s v="P005"/>
    <s v="C0123"/>
    <n v="1"/>
    <n v="25"/>
    <n v="95000"/>
    <x v="2"/>
    <n v="71250"/>
  </r>
  <r>
    <s v="T00422"/>
    <d v="2025-05-26T00:00:00"/>
    <s v="BR004"/>
    <s v="P010"/>
    <s v="C0137"/>
    <n v="1"/>
    <n v="0"/>
    <n v="62000"/>
    <x v="3"/>
    <n v="62000"/>
  </r>
  <r>
    <s v="T00183"/>
    <d v="2025-12-21T00:00:00"/>
    <s v="BR003"/>
    <s v="P011"/>
    <s v="C0156"/>
    <n v="1"/>
    <n v="0"/>
    <n v="74000"/>
    <x v="0"/>
    <n v="74000"/>
  </r>
  <r>
    <s v="T00989"/>
    <d v="2025-04-15T00:00:00"/>
    <s v="BR001"/>
    <s v="P012"/>
    <s v="C0184"/>
    <n v="3"/>
    <n v="5"/>
    <n v="28000"/>
    <x v="2"/>
    <n v="79800"/>
  </r>
  <r>
    <s v="T01001"/>
    <d v="2025-07-11T00:00:00"/>
    <s v="BR001"/>
    <s v="P025"/>
    <s v="C0135"/>
    <n v="1"/>
    <n v="0"/>
    <n v="175000"/>
    <x v="2"/>
    <n v="175000"/>
  </r>
  <r>
    <s v="T00050"/>
    <d v="2025-06-01T00:00:00"/>
    <s v="BR004"/>
    <s v="P003"/>
    <s v="C0156"/>
    <n v="2"/>
    <n v="15"/>
    <n v="45000"/>
    <x v="3"/>
    <n v="76500"/>
  </r>
  <r>
    <s v="T01313"/>
    <d v="2025-11-07T00:00:00"/>
    <s v="BR001"/>
    <s v="P012"/>
    <s v="C0100"/>
    <n v="1"/>
    <n v="10"/>
    <n v="28000"/>
    <x v="2"/>
    <n v="25200"/>
  </r>
  <r>
    <s v="T01030"/>
    <d v="2025-06-14T00:00:00"/>
    <s v="BR001"/>
    <s v="P006"/>
    <s v="C0019"/>
    <n v="1"/>
    <n v="0"/>
    <n v="78000"/>
    <x v="2"/>
    <n v="78000"/>
  </r>
  <r>
    <s v="T00530"/>
    <d v="2025-07-18T00:00:00"/>
    <s v="BR001"/>
    <s v="P018"/>
    <s v="C0190"/>
    <n v="1"/>
    <n v="0"/>
    <n v="18000"/>
    <x v="2"/>
    <n v="18000"/>
  </r>
  <r>
    <s v="T01259"/>
    <d v="2025-12-07T00:00:00"/>
    <s v="BR002"/>
    <s v="P022"/>
    <s v="C0153"/>
    <n v="2"/>
    <n v="5"/>
    <n v="5200"/>
    <x v="1"/>
    <n v="9880"/>
  </r>
  <r>
    <s v="T00487"/>
    <d v="2025-12-19T00:00:00"/>
    <s v="BR002"/>
    <s v="P022"/>
    <s v="C0102"/>
    <n v="3"/>
    <n v="30"/>
    <n v="5200"/>
    <x v="1"/>
    <n v="10920"/>
  </r>
  <r>
    <s v="T00498"/>
    <d v="2025-12-26T00:00:00"/>
    <s v="BR001"/>
    <s v="P016"/>
    <s v="C0140"/>
    <n v="1"/>
    <n v="10"/>
    <n v="19500"/>
    <x v="2"/>
    <n v="17550"/>
  </r>
  <r>
    <s v="T00107"/>
    <d v="2025-04-18T00:00:00"/>
    <s v="BR003"/>
    <s v="P023"/>
    <s v="C0073"/>
    <n v="1"/>
    <n v="0"/>
    <n v="195000"/>
    <x v="0"/>
    <n v="195000"/>
  </r>
  <r>
    <s v="T00444"/>
    <d v="2025-12-26T00:00:00"/>
    <s v="BR001"/>
    <s v="P012"/>
    <s v="C0095"/>
    <n v="1"/>
    <n v="0"/>
    <n v="28000"/>
    <x v="2"/>
    <n v="28000"/>
  </r>
  <r>
    <s v="T00647"/>
    <d v="2025-03-03T00:00:00"/>
    <s v="BR003"/>
    <s v="P003"/>
    <s v="C0092"/>
    <n v="1"/>
    <n v="10"/>
    <n v="45000"/>
    <x v="0"/>
    <n v="40500"/>
  </r>
  <r>
    <s v="T01037"/>
    <d v="2025-08-11T00:00:00"/>
    <s v="BR001"/>
    <s v="P022"/>
    <s v="C0093"/>
    <n v="1"/>
    <n v="10"/>
    <n v="5200"/>
    <x v="2"/>
    <n v="4680"/>
  </r>
  <r>
    <s v="T00727"/>
    <d v="2025-12-02T00:00:00"/>
    <s v="BR001"/>
    <s v="P015"/>
    <s v="C0058"/>
    <n v="2"/>
    <n v="0"/>
    <n v="15000"/>
    <x v="2"/>
    <n v="30000"/>
  </r>
  <r>
    <s v="T00191"/>
    <d v="2025-08-04T00:00:00"/>
    <s v="BR001"/>
    <s v="P020"/>
    <s v="C0078"/>
    <n v="1"/>
    <n v="5"/>
    <n v="8500"/>
    <x v="2"/>
    <n v="8075"/>
  </r>
  <r>
    <s v="T00283"/>
    <d v="2025-11-10T00:00:00"/>
    <s v="BR002"/>
    <s v="P017"/>
    <s v="C0047"/>
    <n v="1"/>
    <n v="10"/>
    <n v="24000"/>
    <x v="1"/>
    <n v="21600"/>
  </r>
  <r>
    <s v="T00030"/>
    <d v="2025-11-27T00:00:00"/>
    <s v="BR001"/>
    <s v="P008"/>
    <s v="C0084"/>
    <n v="1"/>
    <n v="15"/>
    <n v="410000"/>
    <x v="2"/>
    <n v="348500"/>
  </r>
  <r>
    <s v="T00170"/>
    <d v="2025-11-13T00:00:00"/>
    <s v="BR003"/>
    <s v="P021"/>
    <s v="C0212"/>
    <n v="1"/>
    <n v="0"/>
    <n v="6500"/>
    <x v="0"/>
    <n v="6500"/>
  </r>
  <r>
    <s v="T01002"/>
    <d v="2025-11-10T00:00:00"/>
    <s v="BR002"/>
    <s v="P025"/>
    <s v="C0136"/>
    <n v="3"/>
    <n v="10"/>
    <n v="175000"/>
    <x v="1"/>
    <n v="472500"/>
  </r>
  <r>
    <s v="T01205"/>
    <d v="2025-11-09T00:00:00"/>
    <s v="BR001"/>
    <s v="P020"/>
    <s v="C0137"/>
    <n v="1"/>
    <n v="20"/>
    <n v="8500"/>
    <x v="2"/>
    <n v="6800"/>
  </r>
  <r>
    <s v="T00101"/>
    <d v="2025-06-21T00:00:00"/>
    <s v="BR002"/>
    <s v="P023"/>
    <s v="C0045"/>
    <n v="2"/>
    <n v="0"/>
    <n v="195000"/>
    <x v="1"/>
    <n v="390000"/>
  </r>
  <r>
    <s v="T00198"/>
    <d v="2025-11-05T00:00:00"/>
    <s v="BR002"/>
    <s v="P002"/>
    <s v="C0196"/>
    <n v="1"/>
    <n v="15"/>
    <n v="320000"/>
    <x v="1"/>
    <n v="272000"/>
  </r>
  <r>
    <s v="T00496"/>
    <d v="2025-11-20T00:00:00"/>
    <s v="BR002"/>
    <s v="P021"/>
    <s v="C0024"/>
    <n v="2"/>
    <n v="5"/>
    <n v="6500"/>
    <x v="1"/>
    <n v="12350"/>
  </r>
  <r>
    <s v="T00648"/>
    <d v="2025-07-28T00:00:00"/>
    <s v="BR002"/>
    <s v="P016"/>
    <s v="C0142"/>
    <n v="1"/>
    <n v="0"/>
    <n v="19500"/>
    <x v="1"/>
    <n v="19500"/>
  </r>
  <r>
    <s v="T00988"/>
    <d v="2025-12-06T00:00:00"/>
    <s v="BR001"/>
    <s v="P001"/>
    <s v="C0176"/>
    <n v="1"/>
    <n v="10"/>
    <n v="185000"/>
    <x v="2"/>
    <n v="166500"/>
  </r>
  <r>
    <s v="T00045"/>
    <d v="2025-03-02T00:00:00"/>
    <s v="BR003"/>
    <s v="P023"/>
    <s v="C0014"/>
    <n v="3"/>
    <n v="0"/>
    <n v="195000"/>
    <x v="0"/>
    <n v="585000"/>
  </r>
  <r>
    <s v="T00711"/>
    <d v="2025-07-11T00:00:00"/>
    <s v="BR003"/>
    <s v="P025"/>
    <s v="C0195"/>
    <n v="1"/>
    <n v="25"/>
    <n v="175000"/>
    <x v="0"/>
    <n v="131250"/>
  </r>
  <r>
    <s v="T00374"/>
    <d v="2025-06-10T00:00:00"/>
    <s v="BR002"/>
    <s v="P020"/>
    <s v="C0177"/>
    <n v="1"/>
    <n v="10"/>
    <n v="8500"/>
    <x v="1"/>
    <n v="7650"/>
  </r>
  <r>
    <s v="T00679"/>
    <d v="2025-12-17T00:00:00"/>
    <s v="BR003"/>
    <s v="P017"/>
    <s v="C0072"/>
    <n v="1"/>
    <n v="20"/>
    <n v="24000"/>
    <x v="0"/>
    <n v="19200"/>
  </r>
  <r>
    <s v="T00567"/>
    <d v="2025-12-27T00:00:00"/>
    <s v="BR001"/>
    <s v="P017"/>
    <s v="C0111"/>
    <n v="5"/>
    <n v="25"/>
    <n v="24000"/>
    <x v="2"/>
    <n v="90000"/>
  </r>
  <r>
    <s v="T00848"/>
    <d v="2025-01-24T00:00:00"/>
    <s v="BR003"/>
    <s v="P012"/>
    <s v="C0104"/>
    <n v="1"/>
    <n v="5"/>
    <n v="28000"/>
    <x v="0"/>
    <n v="26600"/>
  </r>
  <r>
    <s v="T00461"/>
    <d v="2025-03-17T00:00:00"/>
    <s v="BR004"/>
    <s v="P022"/>
    <s v="C0063"/>
    <n v="2"/>
    <n v="0"/>
    <n v="5200"/>
    <x v="3"/>
    <n v="10400"/>
  </r>
  <r>
    <s v="T01156"/>
    <d v="2025-02-17T00:00:00"/>
    <s v="BR003"/>
    <s v="P002"/>
    <s v="C0205"/>
    <n v="2"/>
    <n v="0"/>
    <n v="320000"/>
    <x v="0"/>
    <n v="640000"/>
  </r>
  <r>
    <s v="T00040"/>
    <d v="2025-04-18T00:00:00"/>
    <s v="BR001"/>
    <s v="P015"/>
    <s v="C0005"/>
    <n v="2"/>
    <n v="0"/>
    <n v="15000"/>
    <x v="2"/>
    <n v="30000"/>
  </r>
  <r>
    <s v="T00435"/>
    <d v="2025-01-26T00:00:00"/>
    <s v="BR002"/>
    <s v="P018"/>
    <s v="C0100"/>
    <n v="1"/>
    <n v="5"/>
    <n v="18000"/>
    <x v="1"/>
    <n v="17100"/>
  </r>
  <r>
    <s v="T00974"/>
    <d v="2025-05-03T00:00:00"/>
    <s v="BR001"/>
    <s v="P023"/>
    <s v="C0104"/>
    <n v="2"/>
    <n v="10"/>
    <n v="195000"/>
    <x v="2"/>
    <n v="351000"/>
  </r>
  <r>
    <s v="T01240"/>
    <d v="2025-04-18T00:00:00"/>
    <s v="BR004"/>
    <s v="P001"/>
    <s v="C0107"/>
    <n v="1"/>
    <n v="5"/>
    <n v="185000"/>
    <x v="3"/>
    <n v="175750"/>
  </r>
  <r>
    <s v="T01008"/>
    <d v="2025-10-07T00:00:00"/>
    <s v="BR001"/>
    <s v="P002"/>
    <s v="C0189"/>
    <n v="5"/>
    <n v="0"/>
    <n v="320000"/>
    <x v="2"/>
    <n v="1600000"/>
  </r>
  <r>
    <s v="T00457"/>
    <d v="2025-07-17T00:00:00"/>
    <s v="BR001"/>
    <s v="P008"/>
    <s v="C0078"/>
    <n v="1"/>
    <n v="5"/>
    <n v="410000"/>
    <x v="2"/>
    <n v="389500"/>
  </r>
  <r>
    <s v="T00261"/>
    <d v="2025-02-15T00:00:00"/>
    <s v="BR002"/>
    <s v="P001"/>
    <s v="C0047"/>
    <n v="1"/>
    <n v="0"/>
    <n v="185000"/>
    <x v="1"/>
    <n v="185000"/>
  </r>
  <r>
    <s v="T00036"/>
    <d v="2025-03-23T00:00:00"/>
    <s v="BR001"/>
    <s v="P013"/>
    <s v="C0217"/>
    <n v="1"/>
    <n v="20"/>
    <n v="22000"/>
    <x v="2"/>
    <n v="17600"/>
  </r>
  <r>
    <s v="T00828"/>
    <d v="2025-12-25T00:00:00"/>
    <s v="BR001"/>
    <s v="P011"/>
    <s v="C0088"/>
    <n v="2"/>
    <n v="20"/>
    <n v="74000"/>
    <x v="2"/>
    <n v="118400"/>
  </r>
  <r>
    <s v="T00310"/>
    <d v="2025-11-04T00:00:00"/>
    <s v="BR003"/>
    <s v="P019"/>
    <s v="C0172"/>
    <n v="1"/>
    <n v="10"/>
    <n v="21000"/>
    <x v="0"/>
    <n v="18900"/>
  </r>
  <r>
    <s v="T00277"/>
    <d v="2025-03-28T00:00:00"/>
    <s v="BR001"/>
    <s v="P001"/>
    <s v="C0148"/>
    <n v="1"/>
    <n v="0"/>
    <n v="185000"/>
    <x v="2"/>
    <n v="185000"/>
  </r>
  <r>
    <s v="T00637"/>
    <d v="2025-01-18T00:00:00"/>
    <s v="BR001"/>
    <s v="P013"/>
    <s v="C0219"/>
    <n v="1"/>
    <n v="0"/>
    <n v="22000"/>
    <x v="2"/>
    <n v="22000"/>
  </r>
  <r>
    <s v="T00655"/>
    <d v="2025-06-14T00:00:00"/>
    <s v="BR002"/>
    <s v="P015"/>
    <s v="C0112"/>
    <n v="1"/>
    <n v="0"/>
    <n v="15000"/>
    <x v="1"/>
    <n v="15000"/>
  </r>
  <r>
    <s v="T00623"/>
    <d v="2025-09-07T00:00:00"/>
    <s v="BR002"/>
    <s v="P012"/>
    <s v="C0141"/>
    <n v="1"/>
    <n v="0"/>
    <n v="28000"/>
    <x v="1"/>
    <n v="28000"/>
  </r>
  <r>
    <s v="T00845"/>
    <d v="2025-06-20T00:00:00"/>
    <s v="BR003"/>
    <s v="P007"/>
    <s v="C0033"/>
    <n v="1"/>
    <n v="0"/>
    <n v="145000"/>
    <x v="0"/>
    <n v="145000"/>
  </r>
  <r>
    <s v="T00394"/>
    <d v="2025-06-19T00:00:00"/>
    <s v="BR003"/>
    <s v="P013"/>
    <s v="C0143"/>
    <n v="2"/>
    <n v="0"/>
    <n v="22000"/>
    <x v="0"/>
    <n v="44000"/>
  </r>
  <r>
    <s v="T00108"/>
    <d v="2025-10-05T00:00:00"/>
    <s v="BR001"/>
    <s v="P017"/>
    <s v="C0067"/>
    <n v="5"/>
    <n v="0"/>
    <n v="24000"/>
    <x v="2"/>
    <n v="120000"/>
  </r>
  <r>
    <s v="T00350"/>
    <d v="2025-02-03T00:00:00"/>
    <s v="BR001"/>
    <s v="P011"/>
    <s v="C0087"/>
    <n v="1"/>
    <n v="0"/>
    <n v="74000"/>
    <x v="2"/>
    <n v="74000"/>
  </r>
  <r>
    <s v="T00525"/>
    <d v="2025-03-14T00:00:00"/>
    <s v="BR002"/>
    <s v="P006"/>
    <s v="C0003"/>
    <n v="1"/>
    <n v="0"/>
    <n v="78000"/>
    <x v="1"/>
    <n v="78000"/>
  </r>
  <r>
    <s v="T00785"/>
    <d v="2025-06-05T00:00:00"/>
    <s v="BR002"/>
    <s v="P023"/>
    <s v="C0039"/>
    <n v="1"/>
    <n v="0"/>
    <n v="195000"/>
    <x v="1"/>
    <n v="195000"/>
  </r>
  <r>
    <s v="T00048"/>
    <d v="2025-03-20T00:00:00"/>
    <s v="BR003"/>
    <s v="P023"/>
    <s v="C0083"/>
    <n v="1"/>
    <n v="0"/>
    <n v="195000"/>
    <x v="0"/>
    <n v="195000"/>
  </r>
  <r>
    <s v="T00204"/>
    <d v="2025-08-21T00:00:00"/>
    <s v="BR002"/>
    <s v="P023"/>
    <s v="C0193"/>
    <n v="1"/>
    <n v="0"/>
    <n v="195000"/>
    <x v="1"/>
    <n v="195000"/>
  </r>
  <r>
    <s v="T00022"/>
    <d v="2025-10-08T00:00:00"/>
    <s v="BR001"/>
    <s v="P013"/>
    <s v="C0155"/>
    <n v="2"/>
    <n v="0"/>
    <n v="22000"/>
    <x v="2"/>
    <n v="44000"/>
  </r>
  <r>
    <s v="T00403"/>
    <d v="2025-10-23T00:00:00"/>
    <s v="BR002"/>
    <s v="P006"/>
    <s v="C0181"/>
    <n v="1"/>
    <n v="0"/>
    <n v="78000"/>
    <x v="1"/>
    <n v="78000"/>
  </r>
  <r>
    <s v="T01108"/>
    <d v="2025-07-03T00:00:00"/>
    <s v="BR001"/>
    <s v="P017"/>
    <s v="C0141"/>
    <n v="1"/>
    <n v="0"/>
    <n v="24000"/>
    <x v="2"/>
    <n v="24000"/>
  </r>
  <r>
    <s v="T01155"/>
    <d v="2025-03-22T00:00:00"/>
    <s v="BR003"/>
    <s v="P022"/>
    <s v="C0035"/>
    <n v="1"/>
    <n v="10"/>
    <n v="5200"/>
    <x v="0"/>
    <n v="4680"/>
  </r>
  <r>
    <s v="T00990"/>
    <d v="2025-12-23T00:00:00"/>
    <s v="BR003"/>
    <s v="P012"/>
    <s v="C0192"/>
    <n v="1"/>
    <n v="10"/>
    <n v="28000"/>
    <x v="0"/>
    <n v="25200"/>
  </r>
  <r>
    <s v="T00742"/>
    <d v="2025-05-07T00:00:00"/>
    <s v="BR003"/>
    <s v="P021"/>
    <s v="C0220"/>
    <n v="1"/>
    <n v="10"/>
    <n v="6500"/>
    <x v="0"/>
    <n v="5850"/>
  </r>
  <r>
    <s v="T01311"/>
    <d v="2025-07-25T00:00:00"/>
    <s v="BR002"/>
    <s v="P013"/>
    <s v="C0176"/>
    <n v="1"/>
    <n v="0"/>
    <n v="22000"/>
    <x v="1"/>
    <n v="22000"/>
  </r>
  <r>
    <s v="T01148"/>
    <d v="2025-01-27T00:00:00"/>
    <s v="BR004"/>
    <s v="P021"/>
    <s v="C0177"/>
    <n v="2"/>
    <n v="10"/>
    <n v="6500"/>
    <x v="3"/>
    <n v="11700"/>
  </r>
  <r>
    <s v="T00034"/>
    <d v="2025-07-23T00:00:00"/>
    <s v="BR001"/>
    <s v="P007"/>
    <s v="C0084"/>
    <n v="1"/>
    <n v="5"/>
    <n v="145000"/>
    <x v="2"/>
    <n v="137750"/>
  </r>
  <r>
    <s v="T00788"/>
    <d v="2025-06-21T00:00:00"/>
    <s v="BR001"/>
    <s v="P006"/>
    <s v="C0212"/>
    <n v="2"/>
    <n v="5"/>
    <n v="78000"/>
    <x v="2"/>
    <n v="148200"/>
  </r>
  <r>
    <s v="T00924"/>
    <d v="2025-07-09T00:00:00"/>
    <s v="BR001"/>
    <s v="P004"/>
    <s v="C0206"/>
    <n v="2"/>
    <n v="0"/>
    <n v="38000"/>
    <x v="2"/>
    <n v="76000"/>
  </r>
  <r>
    <s v="T01044"/>
    <d v="2025-03-12T00:00:00"/>
    <s v="BR002"/>
    <s v="P016"/>
    <s v="C0002"/>
    <n v="1"/>
    <n v="0"/>
    <n v="19500"/>
    <x v="1"/>
    <n v="19500"/>
  </r>
  <r>
    <s v="T01353"/>
    <d v="2025-01-09T00:00:00"/>
    <s v="BR004"/>
    <s v="P008"/>
    <s v="C0111"/>
    <n v="1"/>
    <n v="0"/>
    <n v="410000"/>
    <x v="3"/>
    <n v="410000"/>
  </r>
  <r>
    <s v="T01244"/>
    <d v="2025-11-04T00:00:00"/>
    <s v="BR001"/>
    <s v="P008"/>
    <s v="C0020"/>
    <n v="2"/>
    <n v="25"/>
    <n v="410000"/>
    <x v="2"/>
    <n v="615000"/>
  </r>
  <r>
    <s v="T00580"/>
    <d v="2025-12-21T00:00:00"/>
    <s v="BR003"/>
    <s v="P016"/>
    <s v="C0070"/>
    <n v="1"/>
    <n v="0"/>
    <n v="19500"/>
    <x v="0"/>
    <n v="19500"/>
  </r>
  <r>
    <s v="T00482"/>
    <d v="2025-06-11T00:00:00"/>
    <s v="BR002"/>
    <s v="P011"/>
    <s v="C0205"/>
    <n v="1"/>
    <n v="0"/>
    <n v="74000"/>
    <x v="1"/>
    <n v="74000"/>
  </r>
  <r>
    <s v="T00932"/>
    <d v="2025-08-25T00:00:00"/>
    <s v="BR001"/>
    <s v="P011"/>
    <s v="C0206"/>
    <n v="1"/>
    <n v="0"/>
    <n v="74000"/>
    <x v="2"/>
    <n v="74000"/>
  </r>
  <r>
    <s v="T00357"/>
    <d v="2025-02-22T00:00:00"/>
    <s v="BR001"/>
    <s v="P008"/>
    <s v="C0077"/>
    <n v="1"/>
    <n v="0"/>
    <n v="410000"/>
    <x v="2"/>
    <n v="410000"/>
  </r>
  <r>
    <s v="T01249"/>
    <d v="2025-04-10T00:00:00"/>
    <s v="BR001"/>
    <s v="P006"/>
    <s v="C0196"/>
    <n v="5"/>
    <n v="0"/>
    <n v="78000"/>
    <x v="2"/>
    <n v="390000"/>
  </r>
  <r>
    <s v="T00760"/>
    <d v="2025-06-17T00:00:00"/>
    <s v="BR001"/>
    <s v="P011"/>
    <s v="C0089"/>
    <n v="2"/>
    <n v="0"/>
    <n v="74000"/>
    <x v="2"/>
    <n v="148000"/>
  </r>
  <r>
    <s v="T00093"/>
    <d v="2025-04-27T00:00:00"/>
    <s v="BR001"/>
    <s v="P020"/>
    <s v="C0140"/>
    <n v="1"/>
    <n v="0"/>
    <n v="8500"/>
    <x v="2"/>
    <n v="8500"/>
  </r>
  <r>
    <s v="T01176"/>
    <d v="2025-08-10T00:00:00"/>
    <s v="BR001"/>
    <s v="P013"/>
    <s v="C0003"/>
    <n v="1"/>
    <n v="0"/>
    <n v="22000"/>
    <x v="2"/>
    <n v="22000"/>
  </r>
  <r>
    <s v="T01342"/>
    <d v="2025-12-27T00:00:00"/>
    <s v="BR001"/>
    <s v="P007"/>
    <s v="C0033"/>
    <n v="1"/>
    <n v="5"/>
    <n v="145000"/>
    <x v="2"/>
    <n v="137750"/>
  </r>
  <r>
    <s v="T00804"/>
    <d v="2025-01-17T00:00:00"/>
    <s v="BR004"/>
    <s v="P021"/>
    <s v="C0111"/>
    <n v="1"/>
    <n v="0"/>
    <n v="6500"/>
    <x v="3"/>
    <n v="6500"/>
  </r>
  <r>
    <s v="T00746"/>
    <d v="2025-01-05T00:00:00"/>
    <s v="BR001"/>
    <s v="P014"/>
    <s v="C0201"/>
    <n v="3"/>
    <n v="0"/>
    <n v="285000"/>
    <x v="2"/>
    <n v="855000"/>
  </r>
  <r>
    <s v="T00280"/>
    <d v="2025-10-13T00:00:00"/>
    <s v="BR001"/>
    <s v="P004"/>
    <s v="C0032"/>
    <n v="1"/>
    <n v="5"/>
    <n v="38000"/>
    <x v="2"/>
    <n v="36100"/>
  </r>
  <r>
    <s v="T00765"/>
    <d v="2025-10-13T00:00:00"/>
    <s v="BR002"/>
    <s v="P021"/>
    <s v="C0120"/>
    <n v="2"/>
    <n v="0"/>
    <n v="6500"/>
    <x v="1"/>
    <n v="13000"/>
  </r>
  <r>
    <s v="T00605"/>
    <d v="2025-05-07T00:00:00"/>
    <s v="BR001"/>
    <s v="P023"/>
    <s v="C0147"/>
    <n v="1"/>
    <n v="0"/>
    <n v="195000"/>
    <x v="2"/>
    <n v="195000"/>
  </r>
  <r>
    <s v="T01391"/>
    <d v="2025-04-18T00:00:00"/>
    <s v="BR003"/>
    <s v="P002"/>
    <s v="C0085"/>
    <n v="2"/>
    <n v="0"/>
    <n v="320000"/>
    <x v="0"/>
    <n v="640000"/>
  </r>
  <r>
    <s v="T00401"/>
    <d v="2025-08-14T00:00:00"/>
    <s v="BR001"/>
    <s v="P021"/>
    <s v="C0040"/>
    <n v="2"/>
    <n v="0"/>
    <n v="6500"/>
    <x v="2"/>
    <n v="13000"/>
  </r>
  <r>
    <s v="T00258"/>
    <d v="2025-08-22T00:00:00"/>
    <s v="BR001"/>
    <s v="P001"/>
    <s v="C0213"/>
    <n v="1"/>
    <n v="5"/>
    <n v="185000"/>
    <x v="2"/>
    <n v="175750"/>
  </r>
  <r>
    <s v="T00945"/>
    <d v="2025-03-21T00:00:00"/>
    <s v="BR001"/>
    <s v="P016"/>
    <s v="C0109"/>
    <n v="3"/>
    <n v="0"/>
    <n v="19500"/>
    <x v="2"/>
    <n v="58500"/>
  </r>
  <r>
    <s v="T01097"/>
    <d v="2025-06-23T00:00:00"/>
    <s v="BR001"/>
    <s v="P023"/>
    <s v="C0040"/>
    <n v="2"/>
    <n v="0"/>
    <n v="195000"/>
    <x v="2"/>
    <n v="390000"/>
  </r>
  <r>
    <s v="T01220"/>
    <d v="2025-11-15T00:00:00"/>
    <s v="BR004"/>
    <s v="P013"/>
    <s v="C0092"/>
    <n v="2"/>
    <n v="0"/>
    <n v="22000"/>
    <x v="3"/>
    <n v="44000"/>
  </r>
  <r>
    <s v="T01162"/>
    <d v="2025-01-06T00:00:00"/>
    <s v="BR003"/>
    <s v="P025"/>
    <s v="C0056"/>
    <n v="1"/>
    <n v="0"/>
    <n v="175000"/>
    <x v="0"/>
    <n v="175000"/>
  </r>
  <r>
    <s v="T00495"/>
    <d v="2025-01-17T00:00:00"/>
    <s v="BR001"/>
    <s v="P020"/>
    <s v="C0135"/>
    <n v="1"/>
    <n v="0"/>
    <n v="8500"/>
    <x v="2"/>
    <n v="8500"/>
  </r>
  <r>
    <s v="T00773"/>
    <d v="2025-06-04T00:00:00"/>
    <s v="BR001"/>
    <s v="P017"/>
    <s v="C0153"/>
    <n v="1"/>
    <n v="0"/>
    <n v="24000"/>
    <x v="2"/>
    <n v="24000"/>
  </r>
  <r>
    <s v="T00551"/>
    <d v="2025-12-28T00:00:00"/>
    <s v="BR001"/>
    <s v="P008"/>
    <s v="C0209"/>
    <n v="2"/>
    <n v="0"/>
    <n v="410000"/>
    <x v="2"/>
    <n v="820000"/>
  </r>
  <r>
    <s v="T00202"/>
    <d v="2025-01-23T00:00:00"/>
    <s v="BR002"/>
    <s v="P019"/>
    <s v="C0202"/>
    <n v="1"/>
    <n v="15"/>
    <n v="21000"/>
    <x v="1"/>
    <n v="17850"/>
  </r>
  <r>
    <s v="T00313"/>
    <d v="2025-11-10T00:00:00"/>
    <s v="BR004"/>
    <s v="P012"/>
    <s v="C0187"/>
    <n v="1"/>
    <n v="10"/>
    <n v="28000"/>
    <x v="3"/>
    <n v="25200"/>
  </r>
  <r>
    <s v="T00291"/>
    <d v="2025-11-22T00:00:00"/>
    <s v="BR001"/>
    <s v="P022"/>
    <s v="C0100"/>
    <n v="1"/>
    <n v="10"/>
    <n v="5200"/>
    <x v="2"/>
    <n v="4680"/>
  </r>
  <r>
    <s v="T01214"/>
    <d v="2025-07-21T00:00:00"/>
    <s v="BR001"/>
    <s v="P004"/>
    <s v="C0108"/>
    <n v="1"/>
    <n v="5"/>
    <n v="38000"/>
    <x v="2"/>
    <n v="36100"/>
  </r>
  <r>
    <s v="T00764"/>
    <d v="2025-11-12T00:00:00"/>
    <s v="BR001"/>
    <s v="P022"/>
    <s v="C0075"/>
    <n v="1"/>
    <n v="5"/>
    <n v="5200"/>
    <x v="2"/>
    <n v="4940"/>
  </r>
  <r>
    <s v="T01137"/>
    <d v="2025-06-26T00:00:00"/>
    <s v="BR001"/>
    <s v="P010"/>
    <s v="C0169"/>
    <n v="2"/>
    <n v="0"/>
    <n v="62000"/>
    <x v="2"/>
    <n v="124000"/>
  </r>
  <r>
    <s v="T00950"/>
    <d v="2025-05-10T00:00:00"/>
    <s v="BR003"/>
    <s v="P009"/>
    <s v="C0050"/>
    <n v="3"/>
    <n v="0"/>
    <n v="265000"/>
    <x v="0"/>
    <n v="795000"/>
  </r>
  <r>
    <s v="T00184"/>
    <d v="2025-08-16T00:00:00"/>
    <s v="BR004"/>
    <s v="P004"/>
    <s v="C0155"/>
    <n v="1"/>
    <n v="0"/>
    <n v="38000"/>
    <x v="3"/>
    <n v="38000"/>
  </r>
  <r>
    <s v="T01177"/>
    <d v="2025-12-28T00:00:00"/>
    <s v="BR001"/>
    <s v="P010"/>
    <s v="C0104"/>
    <n v="1"/>
    <n v="0"/>
    <n v="62000"/>
    <x v="2"/>
    <n v="62000"/>
  </r>
  <r>
    <s v="T01350"/>
    <d v="2025-04-01T00:00:00"/>
    <s v="BR002"/>
    <s v="P019"/>
    <s v="C0021"/>
    <n v="1"/>
    <n v="0"/>
    <n v="21000"/>
    <x v="1"/>
    <n v="21000"/>
  </r>
  <r>
    <s v="T01069"/>
    <d v="2025-04-12T00:00:00"/>
    <s v="BR001"/>
    <s v="P007"/>
    <s v="C0012"/>
    <n v="5"/>
    <n v="0"/>
    <n v="145000"/>
    <x v="2"/>
    <n v="725000"/>
  </r>
  <r>
    <s v="T01031"/>
    <d v="2025-11-20T00:00:00"/>
    <s v="BR004"/>
    <s v="P021"/>
    <s v="C0116"/>
    <n v="1"/>
    <n v="0"/>
    <n v="6500"/>
    <x v="3"/>
    <n v="6500"/>
  </r>
  <r>
    <s v="T00251"/>
    <d v="2025-08-16T00:00:00"/>
    <s v="BR001"/>
    <s v="P016"/>
    <s v="C0196"/>
    <n v="2"/>
    <n v="15"/>
    <n v="19500"/>
    <x v="2"/>
    <n v="33150"/>
  </r>
  <r>
    <s v="T00824"/>
    <d v="2025-05-17T00:00:00"/>
    <s v="BR004"/>
    <s v="P013"/>
    <s v="C0220"/>
    <n v="1"/>
    <n v="0"/>
    <n v="22000"/>
    <x v="3"/>
    <n v="22000"/>
  </r>
  <r>
    <s v="T01100"/>
    <d v="2025-04-20T00:00:00"/>
    <s v="BR001"/>
    <s v="P006"/>
    <s v="C0147"/>
    <n v="1"/>
    <n v="0"/>
    <n v="78000"/>
    <x v="2"/>
    <n v="78000"/>
  </r>
  <r>
    <s v="T00941"/>
    <d v="2025-08-27T00:00:00"/>
    <s v="BR001"/>
    <s v="P011"/>
    <s v="C0047"/>
    <n v="1"/>
    <n v="0"/>
    <n v="74000"/>
    <x v="2"/>
    <n v="74000"/>
  </r>
  <r>
    <s v="T00392"/>
    <d v="2025-06-18T00:00:00"/>
    <s v="BR003"/>
    <s v="P011"/>
    <s v="C0219"/>
    <n v="1"/>
    <n v="0"/>
    <n v="74000"/>
    <x v="0"/>
    <n v="74000"/>
  </r>
  <r>
    <s v="T01093"/>
    <d v="2025-01-04T00:00:00"/>
    <s v="BR001"/>
    <s v="P014"/>
    <s v="C0044"/>
    <n v="1"/>
    <n v="0"/>
    <n v="285000"/>
    <x v="2"/>
    <n v="285000"/>
  </r>
  <r>
    <s v="T01192"/>
    <d v="2025-12-06T00:00:00"/>
    <s v="BR002"/>
    <s v="P021"/>
    <s v="C0134"/>
    <n v="1"/>
    <n v="10"/>
    <n v="6500"/>
    <x v="1"/>
    <n v="5850"/>
  </r>
  <r>
    <s v="T00905"/>
    <d v="2025-11-23T00:00:00"/>
    <s v="BR003"/>
    <s v="P013"/>
    <s v="C0167"/>
    <n v="1"/>
    <n v="15"/>
    <n v="22000"/>
    <x v="0"/>
    <n v="18700"/>
  </r>
  <r>
    <s v="T00731"/>
    <d v="2025-08-21T00:00:00"/>
    <s v="BR002"/>
    <s v="P018"/>
    <s v="C0037"/>
    <n v="1"/>
    <n v="10"/>
    <n v="18000"/>
    <x v="1"/>
    <n v="16200"/>
  </r>
  <r>
    <s v="T00555"/>
    <d v="2025-01-25T00:00:00"/>
    <s v="BR001"/>
    <s v="P021"/>
    <s v="C0098"/>
    <n v="1"/>
    <n v="10"/>
    <n v="6500"/>
    <x v="2"/>
    <n v="5850"/>
  </r>
  <r>
    <s v="T00367"/>
    <d v="2025-06-20T00:00:00"/>
    <s v="BR002"/>
    <s v="P012"/>
    <s v="C0196"/>
    <n v="1"/>
    <n v="0"/>
    <n v="28000"/>
    <x v="1"/>
    <n v="28000"/>
  </r>
  <r>
    <s v="T00346"/>
    <d v="2025-09-13T00:00:00"/>
    <s v="BR002"/>
    <s v="P016"/>
    <s v="C0092"/>
    <n v="1"/>
    <n v="0"/>
    <n v="19500"/>
    <x v="1"/>
    <n v="19500"/>
  </r>
  <r>
    <s v="T00536"/>
    <d v="2025-12-14T00:00:00"/>
    <s v="BR001"/>
    <s v="P016"/>
    <s v="C0056"/>
    <n v="1"/>
    <n v="10"/>
    <n v="19500"/>
    <x v="2"/>
    <n v="17550"/>
  </r>
  <r>
    <s v="T01210"/>
    <d v="2025-11-01T00:00:00"/>
    <s v="BR001"/>
    <s v="P016"/>
    <s v="C0215"/>
    <n v="2"/>
    <n v="5"/>
    <n v="19500"/>
    <x v="2"/>
    <n v="37050"/>
  </r>
  <r>
    <s v="T01373"/>
    <d v="2025-07-23T00:00:00"/>
    <s v="BR003"/>
    <s v="P010"/>
    <s v="C0060"/>
    <n v="2"/>
    <n v="0"/>
    <n v="62000"/>
    <x v="0"/>
    <n v="124000"/>
  </r>
  <r>
    <s v="T00920"/>
    <d v="2025-02-20T00:00:00"/>
    <s v="BR004"/>
    <s v="P018"/>
    <s v="C0206"/>
    <n v="2"/>
    <n v="0"/>
    <n v="18000"/>
    <x v="3"/>
    <n v="36000"/>
  </r>
  <r>
    <s v="T00212"/>
    <d v="2025-02-23T00:00:00"/>
    <s v="BR001"/>
    <s v="P005"/>
    <s v="C0153"/>
    <n v="2"/>
    <n v="5"/>
    <n v="95000"/>
    <x v="2"/>
    <n v="180500"/>
  </r>
  <r>
    <s v="T00503"/>
    <d v="2025-07-25T00:00:00"/>
    <s v="BR002"/>
    <s v="P002"/>
    <s v="C0165"/>
    <n v="1"/>
    <n v="0"/>
    <n v="320000"/>
    <x v="1"/>
    <n v="320000"/>
  </r>
  <r>
    <s v="T00538"/>
    <d v="2025-10-22T00:00:00"/>
    <s v="BR001"/>
    <s v="P002"/>
    <s v="C0003"/>
    <n v="1"/>
    <n v="0"/>
    <n v="320000"/>
    <x v="2"/>
    <n v="320000"/>
  </r>
  <r>
    <s v="T01221"/>
    <d v="2025-11-23T00:00:00"/>
    <s v="BR001"/>
    <s v="P021"/>
    <s v="C0055"/>
    <n v="1"/>
    <n v="0"/>
    <n v="6500"/>
    <x v="2"/>
    <n v="6500"/>
  </r>
  <r>
    <s v="T00176"/>
    <d v="2025-11-24T00:00:00"/>
    <s v="BR003"/>
    <s v="P006"/>
    <s v="C0070"/>
    <n v="1"/>
    <n v="0"/>
    <n v="78000"/>
    <x v="0"/>
    <n v="78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08">
  <r>
    <s v="T01320"/>
    <d v="2025-11-11T00:00:00"/>
    <s v="BR003"/>
    <s v="P008"/>
    <s v="C0059"/>
    <n v="1"/>
    <n v="25"/>
    <n v="410000"/>
    <x v="0"/>
    <n v="307500"/>
    <x v="0"/>
  </r>
  <r>
    <s v="T00314"/>
    <d v="2025-04-02T00:00:00"/>
    <s v="BR002"/>
    <s v="P017"/>
    <s v="C0133"/>
    <n v="1"/>
    <n v="0"/>
    <n v="24000"/>
    <x v="1"/>
    <n v="24000"/>
    <x v="0"/>
  </r>
  <r>
    <s v="T00242"/>
    <d v="2025-11-22T00:00:00"/>
    <s v="BR001"/>
    <s v="P013"/>
    <s v="C0040"/>
    <n v="2"/>
    <n v="0"/>
    <n v="22000"/>
    <x v="2"/>
    <n v="44000"/>
    <x v="0"/>
  </r>
  <r>
    <s v="T00362"/>
    <d v="2025-09-27T00:00:00"/>
    <s v="BR002"/>
    <s v="P004"/>
    <s v="C0078"/>
    <n v="1"/>
    <n v="0"/>
    <n v="38000"/>
    <x v="1"/>
    <n v="38000"/>
    <x v="1"/>
  </r>
  <r>
    <s v="T01236"/>
    <d v="2025-04-05T00:00:00"/>
    <s v="BR001"/>
    <s v="P016"/>
    <s v="C0024"/>
    <n v="2"/>
    <n v="0"/>
    <n v="19500"/>
    <x v="2"/>
    <n v="39000"/>
    <x v="0"/>
  </r>
  <r>
    <s v="T01198"/>
    <d v="2025-05-02T00:00:00"/>
    <s v="BR002"/>
    <s v="P007"/>
    <s v="C0200"/>
    <n v="1"/>
    <n v="0"/>
    <n v="145000"/>
    <x v="1"/>
    <n v="145000"/>
    <x v="1"/>
  </r>
  <r>
    <s v="T00147"/>
    <d v="2025-05-25T00:00:00"/>
    <s v="BR002"/>
    <s v="P007"/>
    <s v="C0171"/>
    <n v="2"/>
    <n v="0"/>
    <n v="145000"/>
    <x v="1"/>
    <n v="290000"/>
    <x v="1"/>
  </r>
  <r>
    <s v="T00180"/>
    <d v="2025-12-13T00:00:00"/>
    <s v="BR003"/>
    <s v="P007"/>
    <s v="C0143"/>
    <n v="2"/>
    <n v="10"/>
    <n v="145000"/>
    <x v="0"/>
    <n v="261000"/>
    <x v="1"/>
  </r>
  <r>
    <s v="T00112"/>
    <d v="2025-12-04T00:00:00"/>
    <s v="BR003"/>
    <s v="P024"/>
    <s v="C0080"/>
    <n v="2"/>
    <n v="0"/>
    <n v="245000"/>
    <x v="0"/>
    <n v="490000"/>
    <x v="2"/>
  </r>
  <r>
    <s v="T01260"/>
    <d v="2025-09-16T00:00:00"/>
    <s v="BR004"/>
    <s v="P020"/>
    <s v="C0085"/>
    <n v="2"/>
    <n v="10"/>
    <n v="8500"/>
    <x v="3"/>
    <n v="15300"/>
    <x v="3"/>
  </r>
  <r>
    <s v="T00934"/>
    <d v="2025-12-08T00:00:00"/>
    <s v="BR002"/>
    <s v="P023"/>
    <s v="C0013"/>
    <n v="1"/>
    <n v="25"/>
    <n v="195000"/>
    <x v="1"/>
    <n v="146250"/>
    <x v="2"/>
  </r>
  <r>
    <s v="T01309"/>
    <d v="2025-11-12T00:00:00"/>
    <s v="BR001"/>
    <s v="P011"/>
    <s v="C0007"/>
    <n v="1"/>
    <n v="5"/>
    <n v="74000"/>
    <x v="2"/>
    <n v="70300"/>
    <x v="0"/>
  </r>
  <r>
    <s v="T00784"/>
    <d v="2025-12-19T00:00:00"/>
    <s v="BR001"/>
    <s v="P010"/>
    <s v="C0192"/>
    <n v="1"/>
    <n v="30"/>
    <n v="62000"/>
    <x v="2"/>
    <n v="43400"/>
    <x v="0"/>
  </r>
  <r>
    <s v="T01079"/>
    <d v="2025-08-03T00:00:00"/>
    <s v="BR004"/>
    <s v="P012"/>
    <s v="C0013"/>
    <n v="1"/>
    <n v="25"/>
    <n v="28000"/>
    <x v="3"/>
    <n v="21000"/>
    <x v="0"/>
  </r>
  <r>
    <s v="T01329"/>
    <d v="2025-08-13T00:00:00"/>
    <s v="BR002"/>
    <s v="P018"/>
    <s v="C0015"/>
    <n v="2"/>
    <n v="5"/>
    <n v="18000"/>
    <x v="1"/>
    <n v="34200"/>
    <x v="3"/>
  </r>
  <r>
    <s v="T00464"/>
    <d v="2025-02-17T00:00:00"/>
    <s v="BR001"/>
    <s v="P018"/>
    <s v="C0187"/>
    <n v="2"/>
    <n v="0"/>
    <n v="18000"/>
    <x v="2"/>
    <n v="36000"/>
    <x v="3"/>
  </r>
  <r>
    <s v="T00018"/>
    <d v="2025-10-26T00:00:00"/>
    <s v="BR003"/>
    <s v="P014"/>
    <s v="C0060"/>
    <n v="1"/>
    <n v="0"/>
    <n v="285000"/>
    <x v="0"/>
    <n v="285000"/>
    <x v="0"/>
  </r>
  <r>
    <s v="T00186"/>
    <d v="2025-05-12T00:00:00"/>
    <s v="BR001"/>
    <s v="P015"/>
    <s v="C0034"/>
    <n v="1"/>
    <n v="10"/>
    <n v="15000"/>
    <x v="2"/>
    <n v="13500"/>
    <x v="0"/>
  </r>
  <r>
    <s v="T00663"/>
    <d v="2025-10-27T00:00:00"/>
    <s v="BR002"/>
    <s v="P010"/>
    <s v="C0141"/>
    <n v="2"/>
    <n v="0"/>
    <n v="62000"/>
    <x v="1"/>
    <n v="124000"/>
    <x v="0"/>
  </r>
  <r>
    <s v="T01083"/>
    <d v="2025-12-12T00:00:00"/>
    <s v="BR001"/>
    <s v="P025"/>
    <s v="C0165"/>
    <n v="1"/>
    <n v="25"/>
    <n v="175000"/>
    <x v="2"/>
    <n v="131250"/>
    <x v="2"/>
  </r>
  <r>
    <s v="T00142"/>
    <d v="2025-10-24T00:00:00"/>
    <s v="BR004"/>
    <s v="P015"/>
    <s v="C0111"/>
    <n v="1"/>
    <n v="0"/>
    <n v="15000"/>
    <x v="3"/>
    <n v="15000"/>
    <x v="0"/>
  </r>
  <r>
    <s v="T01346"/>
    <d v="2025-12-19T00:00:00"/>
    <s v="BR003"/>
    <s v="P003"/>
    <s v="C0199"/>
    <n v="1"/>
    <n v="5"/>
    <n v="45000"/>
    <x v="0"/>
    <n v="42750"/>
    <x v="1"/>
  </r>
  <r>
    <s v="T00395"/>
    <d v="2025-12-24T00:00:00"/>
    <s v="BR004"/>
    <s v="P023"/>
    <s v="C0099"/>
    <n v="1"/>
    <n v="10"/>
    <n v="195000"/>
    <x v="3"/>
    <n v="175500"/>
    <x v="2"/>
  </r>
  <r>
    <s v="T00264"/>
    <d v="2025-06-18T00:00:00"/>
    <s v="BR001"/>
    <s v="P007"/>
    <s v="C0130"/>
    <n v="1"/>
    <n v="0"/>
    <n v="145000"/>
    <x v="2"/>
    <n v="145000"/>
    <x v="1"/>
  </r>
  <r>
    <s v="T00474"/>
    <d v="2025-11-02T00:00:00"/>
    <s v="BR001"/>
    <s v="P015"/>
    <s v="C0145"/>
    <n v="2"/>
    <n v="10"/>
    <n v="15000"/>
    <x v="2"/>
    <n v="27000"/>
    <x v="0"/>
  </r>
  <r>
    <s v="T01377"/>
    <d v="2025-07-14T00:00:00"/>
    <s v="BR003"/>
    <s v="P025"/>
    <s v="C0118"/>
    <n v="1"/>
    <n v="5"/>
    <n v="175000"/>
    <x v="0"/>
    <n v="166250"/>
    <x v="2"/>
  </r>
  <r>
    <s v="T00977"/>
    <d v="2025-11-24T00:00:00"/>
    <s v="BR001"/>
    <s v="P009"/>
    <s v="C0170"/>
    <n v="1"/>
    <n v="15"/>
    <n v="265000"/>
    <x v="2"/>
    <n v="225250"/>
    <x v="0"/>
  </r>
  <r>
    <s v="T00761"/>
    <d v="2025-08-20T00:00:00"/>
    <s v="BR003"/>
    <s v="P010"/>
    <s v="C0148"/>
    <n v="2"/>
    <n v="0"/>
    <n v="62000"/>
    <x v="0"/>
    <n v="124000"/>
    <x v="0"/>
  </r>
  <r>
    <s v="T00883"/>
    <d v="2025-12-25T00:00:00"/>
    <s v="BR001"/>
    <s v="P025"/>
    <s v="C0174"/>
    <n v="1"/>
    <n v="0"/>
    <n v="175000"/>
    <x v="2"/>
    <n v="175000"/>
    <x v="2"/>
  </r>
  <r>
    <s v="T00926"/>
    <d v="2025-12-27T00:00:00"/>
    <s v="BR001"/>
    <s v="P007"/>
    <s v="C0047"/>
    <n v="1"/>
    <n v="0"/>
    <n v="145000"/>
    <x v="2"/>
    <n v="145000"/>
    <x v="1"/>
  </r>
  <r>
    <s v="T00119"/>
    <d v="2025-12-01T00:00:00"/>
    <s v="BR001"/>
    <s v="P013"/>
    <s v="C0012"/>
    <n v="1"/>
    <n v="10"/>
    <n v="22000"/>
    <x v="2"/>
    <n v="19800"/>
    <x v="0"/>
  </r>
  <r>
    <s v="T01389"/>
    <d v="2025-03-05T00:00:00"/>
    <s v="BR001"/>
    <s v="P022"/>
    <s v="C0046"/>
    <n v="1"/>
    <n v="0"/>
    <n v="5200"/>
    <x v="2"/>
    <n v="5200"/>
    <x v="3"/>
  </r>
  <r>
    <s v="T00502"/>
    <d v="2025-06-21T00:00:00"/>
    <s v="BR002"/>
    <s v="P002"/>
    <s v="C0002"/>
    <n v="1"/>
    <n v="5"/>
    <n v="320000"/>
    <x v="1"/>
    <n v="304000"/>
    <x v="1"/>
  </r>
  <r>
    <s v="T00432"/>
    <d v="2025-06-11T00:00:00"/>
    <s v="BR001"/>
    <s v="P019"/>
    <s v="C0042"/>
    <n v="1"/>
    <n v="25"/>
    <n v="21000"/>
    <x v="2"/>
    <n v="15750"/>
    <x v="3"/>
  </r>
  <r>
    <s v="T00512"/>
    <d v="2025-06-14T00:00:00"/>
    <s v="BR002"/>
    <s v="P025"/>
    <s v="C0197"/>
    <n v="1"/>
    <n v="0"/>
    <n v="175000"/>
    <x v="1"/>
    <n v="175000"/>
    <x v="2"/>
  </r>
  <r>
    <s v="T00685"/>
    <d v="2025-09-21T00:00:00"/>
    <s v="BR002"/>
    <s v="P015"/>
    <s v="C0173"/>
    <n v="1"/>
    <n v="0"/>
    <n v="15000"/>
    <x v="1"/>
    <n v="15000"/>
    <x v="0"/>
  </r>
  <r>
    <s v="T00494"/>
    <d v="2025-10-15T00:00:00"/>
    <s v="BR001"/>
    <s v="P007"/>
    <s v="C0153"/>
    <n v="1"/>
    <n v="5"/>
    <n v="145000"/>
    <x v="2"/>
    <n v="137750"/>
    <x v="1"/>
  </r>
  <r>
    <s v="T00751"/>
    <d v="2025-08-03T00:00:00"/>
    <s v="BR001"/>
    <s v="P004"/>
    <s v="C0061"/>
    <n v="2"/>
    <n v="0"/>
    <n v="38000"/>
    <x v="2"/>
    <n v="76000"/>
    <x v="1"/>
  </r>
  <r>
    <s v="T00102"/>
    <d v="2025-01-15T00:00:00"/>
    <s v="BR001"/>
    <s v="P012"/>
    <s v="C0211"/>
    <n v="1"/>
    <n v="5"/>
    <n v="28000"/>
    <x v="2"/>
    <n v="26600"/>
    <x v="0"/>
  </r>
  <r>
    <s v="T01138"/>
    <d v="2025-05-18T00:00:00"/>
    <s v="BR001"/>
    <s v="P024"/>
    <s v="C0095"/>
    <n v="1"/>
    <n v="5"/>
    <n v="245000"/>
    <x v="2"/>
    <n v="232750"/>
    <x v="2"/>
  </r>
  <r>
    <s v="T00373"/>
    <d v="2025-11-15T00:00:00"/>
    <s v="BR001"/>
    <s v="P008"/>
    <s v="C0193"/>
    <n v="1"/>
    <n v="10"/>
    <n v="410000"/>
    <x v="2"/>
    <n v="369000"/>
    <x v="0"/>
  </r>
  <r>
    <s v="T00014"/>
    <d v="2025-02-26T00:00:00"/>
    <s v="BR003"/>
    <s v="P016"/>
    <s v="C0106"/>
    <n v="1"/>
    <n v="15"/>
    <n v="19500"/>
    <x v="0"/>
    <n v="16575"/>
    <x v="0"/>
  </r>
  <r>
    <s v="T01352"/>
    <d v="2025-09-16T00:00:00"/>
    <s v="BR004"/>
    <s v="P016"/>
    <s v="C0154"/>
    <n v="2"/>
    <n v="0"/>
    <n v="19500"/>
    <x v="3"/>
    <n v="39000"/>
    <x v="0"/>
  </r>
  <r>
    <s v="T01104"/>
    <d v="2025-09-07T00:00:00"/>
    <s v="BR001"/>
    <s v="P009"/>
    <s v="C0036"/>
    <n v="1"/>
    <n v="20"/>
    <n v="265000"/>
    <x v="2"/>
    <n v="212000"/>
    <x v="0"/>
  </r>
  <r>
    <s v="T00114"/>
    <d v="2025-11-26T00:00:00"/>
    <s v="BR003"/>
    <s v="P023"/>
    <s v="C0009"/>
    <n v="1"/>
    <n v="0"/>
    <n v="195000"/>
    <x v="0"/>
    <n v="195000"/>
    <x v="2"/>
  </r>
  <r>
    <s v="T01157"/>
    <d v="2025-12-12T00:00:00"/>
    <s v="BR003"/>
    <s v="P010"/>
    <s v="C0109"/>
    <n v="1"/>
    <n v="0"/>
    <n v="62000"/>
    <x v="0"/>
    <n v="62000"/>
    <x v="0"/>
  </r>
  <r>
    <s v="T00431"/>
    <d v="2025-11-27T00:00:00"/>
    <s v="BR003"/>
    <s v="P011"/>
    <s v="C0182"/>
    <n v="2"/>
    <n v="0"/>
    <n v="74000"/>
    <x v="0"/>
    <n v="148000"/>
    <x v="0"/>
  </r>
  <r>
    <s v="T00035"/>
    <d v="2025-05-10T00:00:00"/>
    <s v="BR002"/>
    <s v="P001"/>
    <s v="C0105"/>
    <n v="1"/>
    <n v="5"/>
    <n v="185000"/>
    <x v="1"/>
    <n v="175750"/>
    <x v="1"/>
  </r>
  <r>
    <s v="T00099"/>
    <d v="2025-12-17T00:00:00"/>
    <s v="BR004"/>
    <s v="P015"/>
    <s v="C0162"/>
    <n v="1"/>
    <n v="5"/>
    <n v="15000"/>
    <x v="3"/>
    <n v="14250"/>
    <x v="0"/>
  </r>
  <r>
    <s v="T01040"/>
    <d v="2025-12-20T00:00:00"/>
    <s v="BR003"/>
    <s v="P002"/>
    <s v="C0199"/>
    <n v="1"/>
    <n v="20"/>
    <n v="320000"/>
    <x v="0"/>
    <n v="256000"/>
    <x v="1"/>
  </r>
  <r>
    <s v="T00641"/>
    <d v="2025-12-12T00:00:00"/>
    <s v="BR002"/>
    <s v="P017"/>
    <s v="C0085"/>
    <n v="1"/>
    <n v="0"/>
    <n v="24000"/>
    <x v="1"/>
    <n v="24000"/>
    <x v="0"/>
  </r>
  <r>
    <s v="T00064"/>
    <d v="2025-07-15T00:00:00"/>
    <s v="BR001"/>
    <s v="P012"/>
    <s v="C0099"/>
    <n v="5"/>
    <n v="0"/>
    <n v="28000"/>
    <x v="2"/>
    <n v="140000"/>
    <x v="0"/>
  </r>
  <r>
    <s v="T00398"/>
    <d v="2025-03-27T00:00:00"/>
    <s v="BR002"/>
    <s v="P017"/>
    <s v="C0116"/>
    <n v="5"/>
    <n v="5"/>
    <n v="24000"/>
    <x v="1"/>
    <n v="114000"/>
    <x v="0"/>
  </r>
  <r>
    <s v="T01333"/>
    <d v="2025-11-10T00:00:00"/>
    <s v="BR004"/>
    <s v="P011"/>
    <s v="C0079"/>
    <n v="1"/>
    <n v="30"/>
    <n v="74000"/>
    <x v="3"/>
    <n v="51800"/>
    <x v="0"/>
  </r>
  <r>
    <s v="T00870"/>
    <d v="2025-11-28T00:00:00"/>
    <s v="BR002"/>
    <s v="P011"/>
    <s v="C0055"/>
    <n v="1"/>
    <n v="10"/>
    <n v="74000"/>
    <x v="1"/>
    <n v="66600"/>
    <x v="0"/>
  </r>
  <r>
    <s v="T00657"/>
    <d v="2025-09-13T00:00:00"/>
    <s v="BR001"/>
    <s v="P011"/>
    <s v="C0095"/>
    <n v="2"/>
    <n v="10"/>
    <n v="74000"/>
    <x v="2"/>
    <n v="133200"/>
    <x v="0"/>
  </r>
  <r>
    <s v="T00537"/>
    <d v="2025-10-28T00:00:00"/>
    <s v="BR001"/>
    <s v="P009"/>
    <s v="C0112"/>
    <n v="2"/>
    <n v="10"/>
    <n v="265000"/>
    <x v="2"/>
    <n v="477000"/>
    <x v="0"/>
  </r>
  <r>
    <s v="T01048"/>
    <d v="2025-12-20T00:00:00"/>
    <s v="BR001"/>
    <s v="P012"/>
    <s v="C0161"/>
    <n v="1"/>
    <n v="5"/>
    <n v="28000"/>
    <x v="2"/>
    <n v="26600"/>
    <x v="0"/>
  </r>
  <r>
    <s v="T00708"/>
    <d v="2025-01-21T00:00:00"/>
    <s v="BR004"/>
    <s v="P024"/>
    <s v="C0067"/>
    <n v="2"/>
    <n v="20"/>
    <n v="245000"/>
    <x v="3"/>
    <n v="392000"/>
    <x v="2"/>
  </r>
  <r>
    <s v="T00818"/>
    <d v="2025-07-05T00:00:00"/>
    <s v="BR002"/>
    <s v="P011"/>
    <s v="C0202"/>
    <n v="1"/>
    <n v="15"/>
    <n v="74000"/>
    <x v="1"/>
    <n v="62900"/>
    <x v="0"/>
  </r>
  <r>
    <s v="T00260"/>
    <d v="2025-01-26T00:00:00"/>
    <s v="BR001"/>
    <s v="P021"/>
    <s v="C0083"/>
    <n v="1"/>
    <n v="0"/>
    <n v="6500"/>
    <x v="2"/>
    <n v="6500"/>
    <x v="3"/>
  </r>
  <r>
    <s v="T00111"/>
    <d v="2025-06-16T00:00:00"/>
    <s v="BR002"/>
    <s v="P023"/>
    <s v="C0080"/>
    <n v="1"/>
    <n v="0"/>
    <n v="195000"/>
    <x v="1"/>
    <n v="195000"/>
    <x v="2"/>
  </r>
  <r>
    <s v="T01258"/>
    <d v="2025-03-11T00:00:00"/>
    <s v="BR002"/>
    <s v="P007"/>
    <s v="C0139"/>
    <n v="1"/>
    <n v="20"/>
    <n v="145000"/>
    <x v="1"/>
    <n v="116000"/>
    <x v="1"/>
  </r>
  <r>
    <s v="T00059"/>
    <d v="2025-04-25T00:00:00"/>
    <s v="BR002"/>
    <s v="P013"/>
    <s v="C0105"/>
    <n v="3"/>
    <n v="0"/>
    <n v="22000"/>
    <x v="1"/>
    <n v="66000"/>
    <x v="0"/>
  </r>
  <r>
    <s v="T00611"/>
    <d v="2025-03-22T00:00:00"/>
    <s v="BR001"/>
    <s v="P004"/>
    <s v="C0034"/>
    <n v="1"/>
    <n v="0"/>
    <n v="38000"/>
    <x v="2"/>
    <n v="38000"/>
    <x v="1"/>
  </r>
  <r>
    <s v="T00448"/>
    <d v="2025-07-05T00:00:00"/>
    <s v="BR001"/>
    <s v="P011"/>
    <s v="C0129"/>
    <n v="2"/>
    <n v="0"/>
    <n v="74000"/>
    <x v="2"/>
    <n v="148000"/>
    <x v="0"/>
  </r>
  <r>
    <s v="T00025"/>
    <d v="2025-06-09T00:00:00"/>
    <s v="BR004"/>
    <s v="P021"/>
    <s v="C0032"/>
    <n v="2"/>
    <n v="0"/>
    <n v="6500"/>
    <x v="3"/>
    <n v="13000"/>
    <x v="3"/>
  </r>
  <r>
    <s v="T00016"/>
    <d v="2025-03-19T00:00:00"/>
    <s v="BR004"/>
    <s v="P009"/>
    <s v="C0126"/>
    <n v="1"/>
    <n v="0"/>
    <n v="265000"/>
    <x v="3"/>
    <n v="265000"/>
    <x v="0"/>
  </r>
  <r>
    <s v="T00173"/>
    <d v="2025-01-14T00:00:00"/>
    <s v="BR004"/>
    <s v="P020"/>
    <s v="C0063"/>
    <n v="1"/>
    <n v="25"/>
    <n v="8500"/>
    <x v="3"/>
    <n v="6375"/>
    <x v="3"/>
  </r>
  <r>
    <s v="T00325"/>
    <d v="2025-04-26T00:00:00"/>
    <s v="BR002"/>
    <s v="P017"/>
    <s v="C0213"/>
    <n v="1"/>
    <n v="0"/>
    <n v="24000"/>
    <x v="1"/>
    <n v="24000"/>
    <x v="0"/>
  </r>
  <r>
    <s v="T00301"/>
    <d v="2025-05-08T00:00:00"/>
    <s v="BR004"/>
    <s v="P004"/>
    <s v="C0011"/>
    <n v="1"/>
    <n v="0"/>
    <n v="38000"/>
    <x v="3"/>
    <n v="38000"/>
    <x v="1"/>
  </r>
  <r>
    <s v="T00100"/>
    <d v="2025-11-20T00:00:00"/>
    <s v="BR002"/>
    <s v="P013"/>
    <s v="C0051"/>
    <n v="2"/>
    <n v="5"/>
    <n v="22000"/>
    <x v="1"/>
    <n v="41800"/>
    <x v="0"/>
  </r>
  <r>
    <s v="T00658"/>
    <d v="2025-04-01T00:00:00"/>
    <s v="BR003"/>
    <s v="P025"/>
    <s v="C0116"/>
    <n v="1"/>
    <n v="20"/>
    <n v="175000"/>
    <x v="0"/>
    <n v="140000"/>
    <x v="2"/>
  </r>
  <r>
    <s v="T00858"/>
    <d v="2025-09-15T00:00:00"/>
    <s v="BR001"/>
    <s v="P001"/>
    <s v="C0067"/>
    <n v="1"/>
    <n v="0"/>
    <n v="185000"/>
    <x v="2"/>
    <n v="185000"/>
    <x v="1"/>
  </r>
  <r>
    <s v="T01248"/>
    <d v="2025-11-04T00:00:00"/>
    <s v="BR003"/>
    <s v="P004"/>
    <s v="C0024"/>
    <n v="1"/>
    <n v="25"/>
    <n v="38000"/>
    <x v="0"/>
    <n v="28500"/>
    <x v="1"/>
  </r>
  <r>
    <s v="T01331"/>
    <d v="2025-05-24T00:00:00"/>
    <s v="BR004"/>
    <s v="P007"/>
    <s v="C0122"/>
    <n v="1"/>
    <n v="10"/>
    <n v="145000"/>
    <x v="3"/>
    <n v="130500"/>
    <x v="1"/>
  </r>
  <r>
    <s v="T00674"/>
    <d v="2025-07-11T00:00:00"/>
    <s v="BR004"/>
    <s v="P015"/>
    <s v="C0150"/>
    <n v="5"/>
    <n v="0"/>
    <n v="15000"/>
    <x v="3"/>
    <n v="75000"/>
    <x v="0"/>
  </r>
  <r>
    <s v="T01366"/>
    <d v="2025-02-13T00:00:00"/>
    <s v="BR003"/>
    <s v="P011"/>
    <s v="C0121"/>
    <n v="2"/>
    <n v="5"/>
    <n v="74000"/>
    <x v="0"/>
    <n v="140600"/>
    <x v="0"/>
  </r>
  <r>
    <s v="T01111"/>
    <d v="2025-04-03T00:00:00"/>
    <s v="BR004"/>
    <s v="P001"/>
    <s v="C0149"/>
    <n v="1"/>
    <n v="0"/>
    <n v="185000"/>
    <x v="3"/>
    <n v="185000"/>
    <x v="1"/>
  </r>
  <r>
    <s v="T01144"/>
    <d v="2025-11-24T00:00:00"/>
    <s v="BR001"/>
    <s v="P023"/>
    <s v="C0138"/>
    <n v="1"/>
    <n v="5"/>
    <n v="195000"/>
    <x v="2"/>
    <n v="185250"/>
    <x v="2"/>
  </r>
  <r>
    <s v="T00501"/>
    <d v="2025-02-21T00:00:00"/>
    <s v="BR003"/>
    <s v="P017"/>
    <s v="C0049"/>
    <n v="2"/>
    <n v="5"/>
    <n v="24000"/>
    <x v="0"/>
    <n v="45600"/>
    <x v="0"/>
  </r>
  <r>
    <s v="T01050"/>
    <d v="2025-12-21T00:00:00"/>
    <s v="BR004"/>
    <s v="P022"/>
    <s v="C0016"/>
    <n v="1"/>
    <n v="0"/>
    <n v="5200"/>
    <x v="3"/>
    <n v="5200"/>
    <x v="3"/>
  </r>
  <r>
    <s v="T01087"/>
    <d v="2025-03-04T00:00:00"/>
    <s v="BR003"/>
    <s v="P009"/>
    <s v="C0079"/>
    <n v="1"/>
    <n v="5"/>
    <n v="265000"/>
    <x v="0"/>
    <n v="251750"/>
    <x v="0"/>
  </r>
  <r>
    <s v="T00451"/>
    <d v="2025-11-19T00:00:00"/>
    <s v="BR001"/>
    <s v="P022"/>
    <s v="C0151"/>
    <n v="1"/>
    <n v="5"/>
    <n v="5200"/>
    <x v="2"/>
    <n v="4940"/>
    <x v="3"/>
  </r>
  <r>
    <s v="T00370"/>
    <d v="2025-12-21T00:00:00"/>
    <s v="BR003"/>
    <s v="P004"/>
    <s v="C0094"/>
    <n v="1"/>
    <n v="0"/>
    <n v="38000"/>
    <x v="0"/>
    <n v="38000"/>
    <x v="1"/>
  </r>
  <r>
    <s v="T00639"/>
    <d v="2025-05-22T00:00:00"/>
    <s v="BR001"/>
    <s v="P010"/>
    <s v="C0193"/>
    <n v="1"/>
    <n v="5"/>
    <n v="62000"/>
    <x v="2"/>
    <n v="58900"/>
    <x v="0"/>
  </r>
  <r>
    <s v="T00427"/>
    <d v="2025-02-27T00:00:00"/>
    <s v="BR001"/>
    <s v="P016"/>
    <s v="C0035"/>
    <n v="1"/>
    <n v="0"/>
    <n v="19500"/>
    <x v="2"/>
    <n v="19500"/>
    <x v="0"/>
  </r>
  <r>
    <s v="T01110"/>
    <d v="2025-11-23T00:00:00"/>
    <s v="BR001"/>
    <s v="P023"/>
    <s v="C0095"/>
    <n v="1"/>
    <n v="5"/>
    <n v="195000"/>
    <x v="2"/>
    <n v="185250"/>
    <x v="2"/>
  </r>
  <r>
    <s v="T00940"/>
    <d v="2025-11-03T00:00:00"/>
    <s v="BR001"/>
    <s v="P006"/>
    <s v="C0110"/>
    <n v="1"/>
    <n v="5"/>
    <n v="78000"/>
    <x v="2"/>
    <n v="74100"/>
    <x v="1"/>
  </r>
  <r>
    <s v="T01115"/>
    <d v="2025-08-11T00:00:00"/>
    <s v="BR002"/>
    <s v="P013"/>
    <s v="C0159"/>
    <n v="1"/>
    <n v="0"/>
    <n v="22000"/>
    <x v="1"/>
    <n v="22000"/>
    <x v="0"/>
  </r>
  <r>
    <s v="T00295"/>
    <d v="2025-10-16T00:00:00"/>
    <s v="BR002"/>
    <s v="P009"/>
    <s v="C0173"/>
    <n v="1"/>
    <n v="0"/>
    <n v="265000"/>
    <x v="1"/>
    <n v="265000"/>
    <x v="0"/>
  </r>
  <r>
    <s v="T00841"/>
    <d v="2025-02-22T00:00:00"/>
    <s v="BR002"/>
    <s v="P025"/>
    <s v="C0188"/>
    <n v="1"/>
    <n v="10"/>
    <n v="175000"/>
    <x v="1"/>
    <n v="157500"/>
    <x v="2"/>
  </r>
  <r>
    <s v="T00894"/>
    <d v="2025-03-14T00:00:00"/>
    <s v="BR001"/>
    <s v="P004"/>
    <s v="C0056"/>
    <n v="5"/>
    <n v="0"/>
    <n v="38000"/>
    <x v="2"/>
    <n v="190000"/>
    <x v="1"/>
  </r>
  <r>
    <s v="T00326"/>
    <d v="2025-02-18T00:00:00"/>
    <s v="BR004"/>
    <s v="P008"/>
    <s v="C0010"/>
    <n v="1"/>
    <n v="0"/>
    <n v="410000"/>
    <x v="3"/>
    <n v="410000"/>
    <x v="0"/>
  </r>
  <r>
    <s v="T00800"/>
    <d v="2025-09-05T00:00:00"/>
    <s v="BR002"/>
    <s v="P002"/>
    <s v="C0089"/>
    <n v="5"/>
    <n v="25"/>
    <n v="320000"/>
    <x v="1"/>
    <n v="1200000"/>
    <x v="1"/>
  </r>
  <r>
    <s v="T00888"/>
    <d v="2025-04-14T00:00:00"/>
    <s v="BR002"/>
    <s v="P018"/>
    <s v="C0127"/>
    <n v="1"/>
    <n v="5"/>
    <n v="18000"/>
    <x v="1"/>
    <n v="17100"/>
    <x v="3"/>
  </r>
  <r>
    <s v="T01016"/>
    <d v="2025-11-04T00:00:00"/>
    <s v="BR003"/>
    <s v="P024"/>
    <s v="C0041"/>
    <n v="1"/>
    <n v="20"/>
    <n v="245000"/>
    <x v="0"/>
    <n v="196000"/>
    <x v="2"/>
  </r>
  <r>
    <s v="T01139"/>
    <d v="2025-12-05T00:00:00"/>
    <s v="BR001"/>
    <s v="P002"/>
    <s v="C0090"/>
    <n v="2"/>
    <n v="15"/>
    <n v="320000"/>
    <x v="2"/>
    <n v="544000"/>
    <x v="1"/>
  </r>
  <r>
    <s v="T01022"/>
    <d v="2025-01-16T00:00:00"/>
    <s v="BR002"/>
    <s v="P013"/>
    <s v="C0108"/>
    <n v="1"/>
    <n v="5"/>
    <n v="22000"/>
    <x v="1"/>
    <n v="20900"/>
    <x v="0"/>
  </r>
  <r>
    <s v="T01057"/>
    <d v="2025-05-06T00:00:00"/>
    <s v="BR003"/>
    <s v="P019"/>
    <s v="C0004"/>
    <n v="2"/>
    <n v="5"/>
    <n v="21000"/>
    <x v="0"/>
    <n v="39900"/>
    <x v="3"/>
  </r>
  <r>
    <s v="T00919"/>
    <d v="2025-01-15T00:00:00"/>
    <s v="BR002"/>
    <s v="P022"/>
    <s v="C0149"/>
    <n v="1"/>
    <n v="0"/>
    <n v="5200"/>
    <x v="1"/>
    <n v="5200"/>
    <x v="3"/>
  </r>
  <r>
    <s v="T00052"/>
    <d v="2025-11-22T00:00:00"/>
    <s v="BR003"/>
    <s v="P013"/>
    <s v="C0046"/>
    <n v="1"/>
    <n v="10"/>
    <n v="22000"/>
    <x v="0"/>
    <n v="19800"/>
    <x v="0"/>
  </r>
  <r>
    <s v="T00276"/>
    <d v="2025-02-13T00:00:00"/>
    <s v="BR004"/>
    <s v="P011"/>
    <s v="C0051"/>
    <n v="1"/>
    <n v="20"/>
    <n v="74000"/>
    <x v="3"/>
    <n v="59200"/>
    <x v="0"/>
  </r>
  <r>
    <s v="T00709"/>
    <d v="2025-08-21T00:00:00"/>
    <s v="BR003"/>
    <s v="P017"/>
    <s v="C0062"/>
    <n v="1"/>
    <n v="0"/>
    <n v="24000"/>
    <x v="0"/>
    <n v="24000"/>
    <x v="0"/>
  </r>
  <r>
    <s v="T00799"/>
    <s v="27/09/2025"/>
    <s v="BR003"/>
    <s v="P015"/>
    <s v="C0168"/>
    <n v="1"/>
    <n v="15"/>
    <n v="15000"/>
    <x v="0"/>
    <n v="12750"/>
    <x v="0"/>
  </r>
  <r>
    <s v="T00416"/>
    <d v="2025-11-04T00:00:00"/>
    <s v="BR002"/>
    <s v="P007"/>
    <s v="C0204"/>
    <n v="2"/>
    <n v="5"/>
    <n v="145000"/>
    <x v="1"/>
    <n v="275500"/>
    <x v="1"/>
  </r>
  <r>
    <s v="T00447"/>
    <d v="2025-12-28T00:00:00"/>
    <s v="BR002"/>
    <s v="P021"/>
    <s v="C0194"/>
    <n v="1"/>
    <n v="0"/>
    <n v="6500"/>
    <x v="1"/>
    <n v="6500"/>
    <x v="3"/>
  </r>
  <r>
    <s v="T00542"/>
    <d v="2025-03-10T00:00:00"/>
    <s v="BR002"/>
    <s v="P007"/>
    <s v="C0015"/>
    <n v="1"/>
    <n v="10"/>
    <n v="145000"/>
    <x v="1"/>
    <n v="130500"/>
    <x v="1"/>
  </r>
  <r>
    <s v="T00393"/>
    <d v="2025-04-14T00:00:00"/>
    <s v="BR002"/>
    <s v="P017"/>
    <s v="C0188"/>
    <n v="1"/>
    <n v="0"/>
    <n v="24000"/>
    <x v="1"/>
    <n v="24000"/>
    <x v="0"/>
  </r>
  <r>
    <s v="T00535"/>
    <d v="2025-12-22T00:00:00"/>
    <s v="BR003"/>
    <s v="P003"/>
    <s v="C0045"/>
    <n v="1"/>
    <n v="0"/>
    <n v="45000"/>
    <x v="0"/>
    <n v="45000"/>
    <x v="1"/>
  </r>
  <r>
    <s v="T01219"/>
    <d v="2025-11-13T00:00:00"/>
    <s v="BR001"/>
    <s v="P003"/>
    <s v="C0034"/>
    <n v="3"/>
    <n v="15"/>
    <n v="45000"/>
    <x v="2"/>
    <n v="114750"/>
    <x v="1"/>
  </r>
  <r>
    <s v="T00971"/>
    <d v="2025-08-24T00:00:00"/>
    <s v="BR003"/>
    <s v="P003"/>
    <s v="C0162"/>
    <n v="1"/>
    <n v="0"/>
    <n v="45000"/>
    <x v="0"/>
    <n v="45000"/>
    <x v="1"/>
  </r>
  <r>
    <s v="T00752"/>
    <d v="2025-09-17T00:00:00"/>
    <s v="BR002"/>
    <s v="P015"/>
    <s v="C0039"/>
    <n v="2"/>
    <n v="0"/>
    <n v="15000"/>
    <x v="1"/>
    <n v="30000"/>
    <x v="0"/>
  </r>
  <r>
    <s v="T01159"/>
    <d v="2025-03-25T00:00:00"/>
    <s v="BR001"/>
    <s v="P017"/>
    <s v="C0132"/>
    <n v="1"/>
    <n v="5"/>
    <n v="24000"/>
    <x v="2"/>
    <n v="22800"/>
    <x v="0"/>
  </r>
  <r>
    <s v="T01327"/>
    <d v="2025-09-11T00:00:00"/>
    <s v="BR003"/>
    <s v="P002"/>
    <s v="C0083"/>
    <n v="1"/>
    <n v="10"/>
    <n v="320000"/>
    <x v="0"/>
    <n v="288000"/>
    <x v="1"/>
  </r>
  <r>
    <s v="T01204"/>
    <d v="2025-05-19T00:00:00"/>
    <s v="BR002"/>
    <s v="P004"/>
    <s v="C0186"/>
    <n v="1"/>
    <n v="0"/>
    <n v="38000"/>
    <x v="1"/>
    <n v="38000"/>
    <x v="1"/>
  </r>
  <r>
    <s v="T00607"/>
    <d v="2025-10-17T00:00:00"/>
    <s v="BR004"/>
    <s v="P021"/>
    <s v="C0220"/>
    <n v="1"/>
    <n v="0"/>
    <n v="6500"/>
    <x v="3"/>
    <n v="6500"/>
    <x v="3"/>
  </r>
  <r>
    <s v="T00187"/>
    <d v="2025-03-19T00:00:00"/>
    <s v="BR001"/>
    <s v="P013"/>
    <s v="C0055"/>
    <n v="1"/>
    <n v="0"/>
    <n v="22000"/>
    <x v="2"/>
    <n v="22000"/>
    <x v="0"/>
  </r>
  <r>
    <s v="T00455"/>
    <d v="2025-06-05T00:00:00"/>
    <s v="BR001"/>
    <s v="P018"/>
    <s v="C0013"/>
    <n v="1"/>
    <n v="5"/>
    <n v="18000"/>
    <x v="2"/>
    <n v="17100"/>
    <x v="3"/>
  </r>
  <r>
    <s v="T01202"/>
    <d v="2025-11-02T00:00:00"/>
    <s v="BR002"/>
    <s v="P015"/>
    <s v="C0129"/>
    <n v="1"/>
    <n v="10"/>
    <n v="15000"/>
    <x v="1"/>
    <n v="13500"/>
    <x v="0"/>
  </r>
  <r>
    <s v="T00807"/>
    <d v="2025-10-22T00:00:00"/>
    <s v="BR001"/>
    <s v="P009"/>
    <s v="C0215"/>
    <n v="1"/>
    <n v="0"/>
    <n v="265000"/>
    <x v="2"/>
    <n v="265000"/>
    <x v="0"/>
  </r>
  <r>
    <s v="T00211"/>
    <d v="2025-02-21T00:00:00"/>
    <s v="BR001"/>
    <s v="P008"/>
    <s v="C0153"/>
    <n v="2"/>
    <n v="0"/>
    <n v="410000"/>
    <x v="2"/>
    <n v="820000"/>
    <x v="0"/>
  </r>
  <r>
    <s v="T00904"/>
    <d v="2025-09-27T00:00:00"/>
    <s v="BR001"/>
    <s v="P004"/>
    <s v="C0176"/>
    <n v="2"/>
    <n v="0"/>
    <n v="38000"/>
    <x v="2"/>
    <n v="76000"/>
    <x v="1"/>
  </r>
  <r>
    <s v="T00281"/>
    <d v="2025-11-19T00:00:00"/>
    <s v="BR002"/>
    <s v="P025"/>
    <s v="C0055"/>
    <n v="5"/>
    <n v="5"/>
    <n v="175000"/>
    <x v="1"/>
    <n v="831250"/>
    <x v="2"/>
  </r>
  <r>
    <s v="T00411"/>
    <d v="2025-12-12T00:00:00"/>
    <s v="BR001"/>
    <s v="P010"/>
    <s v="C0160"/>
    <n v="2"/>
    <n v="10"/>
    <n v="62000"/>
    <x v="2"/>
    <n v="111600"/>
    <x v="0"/>
  </r>
  <r>
    <s v="T00021"/>
    <d v="2025-05-18T00:00:00"/>
    <s v="BR002"/>
    <s v="P005"/>
    <s v="C0036"/>
    <n v="3"/>
    <n v="10"/>
    <n v="95000"/>
    <x v="1"/>
    <n v="256500"/>
    <x v="1"/>
  </r>
  <r>
    <s v="T00047"/>
    <d v="2025-12-24T00:00:00"/>
    <s v="BR003"/>
    <s v="P001"/>
    <s v="C0010"/>
    <n v="2"/>
    <n v="5"/>
    <n v="185000"/>
    <x v="0"/>
    <n v="351500"/>
    <x v="1"/>
  </r>
  <r>
    <s v="T00463"/>
    <d v="2025-03-15T00:00:00"/>
    <s v="BR001"/>
    <s v="P023"/>
    <s v="C0074"/>
    <n v="1"/>
    <n v="0"/>
    <n v="195000"/>
    <x v="2"/>
    <n v="195000"/>
    <x v="2"/>
  </r>
  <r>
    <s v="T00644"/>
    <d v="2025-05-02T00:00:00"/>
    <s v="BR003"/>
    <s v="P005"/>
    <s v="C0066"/>
    <n v="1"/>
    <n v="0"/>
    <n v="95000"/>
    <x v="0"/>
    <n v="95000"/>
    <x v="1"/>
  </r>
  <r>
    <s v="T01348"/>
    <d v="2025-12-28T00:00:00"/>
    <s v="BR004"/>
    <s v="P001"/>
    <s v="C0210"/>
    <n v="2"/>
    <n v="15"/>
    <n v="185000"/>
    <x v="3"/>
    <n v="314500"/>
    <x v="1"/>
  </r>
  <r>
    <s v="T00769"/>
    <d v="2025-03-21T00:00:00"/>
    <s v="BR001"/>
    <s v="P018"/>
    <s v="C0213"/>
    <n v="2"/>
    <n v="0"/>
    <n v="18000"/>
    <x v="2"/>
    <n v="36000"/>
    <x v="3"/>
  </r>
  <r>
    <s v="T01027"/>
    <d v="2025-07-26T00:00:00"/>
    <s v="BR002"/>
    <s v="P010"/>
    <s v="C0055"/>
    <n v="1"/>
    <n v="5"/>
    <n v="62000"/>
    <x v="1"/>
    <n v="58900"/>
    <x v="0"/>
  </r>
  <r>
    <s v="T00569"/>
    <d v="2025-10-01T00:00:00"/>
    <s v="BR002"/>
    <s v="P005"/>
    <s v="C0189"/>
    <n v="1"/>
    <n v="10"/>
    <n v="95000"/>
    <x v="1"/>
    <n v="85500"/>
    <x v="1"/>
  </r>
  <r>
    <s v="T00877"/>
    <d v="2025-08-28T00:00:00"/>
    <s v="BR001"/>
    <s v="P005"/>
    <s v="C0110"/>
    <n v="1"/>
    <n v="25"/>
    <n v="95000"/>
    <x v="2"/>
    <n v="71250"/>
    <x v="1"/>
  </r>
  <r>
    <s v="T00796"/>
    <d v="2025-08-21T00:00:00"/>
    <s v="BR002"/>
    <s v="P019"/>
    <s v="C0202"/>
    <n v="2"/>
    <n v="5"/>
    <n v="21000"/>
    <x v="1"/>
    <n v="39900"/>
    <x v="3"/>
  </r>
  <r>
    <s v="T00956"/>
    <d v="2025-07-03T00:00:00"/>
    <s v="BR003"/>
    <s v="P012"/>
    <s v="C0182"/>
    <n v="1"/>
    <n v="5"/>
    <n v="28000"/>
    <x v="0"/>
    <n v="26600"/>
    <x v="0"/>
  </r>
  <r>
    <s v="T00789"/>
    <d v="2025-09-23T00:00:00"/>
    <s v="BR002"/>
    <s v="P020"/>
    <s v="C0052"/>
    <n v="1"/>
    <n v="0"/>
    <n v="8500"/>
    <x v="1"/>
    <n v="8500"/>
    <x v="3"/>
  </r>
  <r>
    <s v="T00622"/>
    <d v="2025-01-10T00:00:00"/>
    <s v="BR003"/>
    <s v="P025"/>
    <s v="C0176"/>
    <n v="1"/>
    <n v="5"/>
    <n v="175000"/>
    <x v="0"/>
    <n v="166250"/>
    <x v="2"/>
  </r>
  <r>
    <s v="T00954"/>
    <d v="2025-12-14T00:00:00"/>
    <s v="BR001"/>
    <s v="P025"/>
    <s v="C0162"/>
    <n v="1"/>
    <n v="0"/>
    <n v="175000"/>
    <x v="2"/>
    <n v="175000"/>
    <x v="2"/>
  </r>
  <r>
    <s v="T01283"/>
    <d v="2025-12-28T00:00:00"/>
    <s v="BR003"/>
    <s v="P002"/>
    <s v="C0105"/>
    <n v="1"/>
    <n v="0"/>
    <n v="320000"/>
    <x v="0"/>
    <n v="320000"/>
    <x v="1"/>
  </r>
  <r>
    <s v="T01247"/>
    <d v="2025-01-05T00:00:00"/>
    <s v="BR003"/>
    <s v="P022"/>
    <s v="C0072"/>
    <n v="2"/>
    <n v="25"/>
    <n v="5200"/>
    <x v="0"/>
    <n v="7800"/>
    <x v="3"/>
  </r>
  <r>
    <s v="T00129"/>
    <d v="2025-07-10T00:00:00"/>
    <s v="BR003"/>
    <s v="P025"/>
    <s v="C0174"/>
    <n v="1"/>
    <n v="0"/>
    <n v="175000"/>
    <x v="0"/>
    <n v="175000"/>
    <x v="2"/>
  </r>
  <r>
    <s v="T00896"/>
    <d v="2025-02-13T00:00:00"/>
    <s v="BR001"/>
    <s v="P005"/>
    <s v="C0171"/>
    <n v="1"/>
    <n v="5"/>
    <n v="95000"/>
    <x v="2"/>
    <n v="90250"/>
    <x v="1"/>
  </r>
  <r>
    <s v="T01081"/>
    <d v="2025-07-05T00:00:00"/>
    <s v="BR002"/>
    <s v="P002"/>
    <s v="C0186"/>
    <n v="1"/>
    <n v="0"/>
    <n v="320000"/>
    <x v="1"/>
    <n v="320000"/>
    <x v="1"/>
  </r>
  <r>
    <s v="T00285"/>
    <d v="2025-03-01T00:00:00"/>
    <s v="BR001"/>
    <s v="P008"/>
    <s v="C0219"/>
    <n v="2"/>
    <n v="0"/>
    <n v="410000"/>
    <x v="2"/>
    <n v="820000"/>
    <x v="0"/>
  </r>
  <r>
    <s v="T00345"/>
    <d v="2025-04-22T00:00:00"/>
    <s v="BR004"/>
    <s v="P003"/>
    <s v="C0047"/>
    <n v="1"/>
    <n v="15"/>
    <n v="45000"/>
    <x v="3"/>
    <n v="38250"/>
    <x v="1"/>
  </r>
  <r>
    <s v="T01354"/>
    <d v="2025-11-21T00:00:00"/>
    <s v="BR003"/>
    <s v="P007"/>
    <s v="C0060"/>
    <n v="1"/>
    <n v="25"/>
    <n v="145000"/>
    <x v="0"/>
    <n v="108750"/>
    <x v="1"/>
  </r>
  <r>
    <s v="T01268"/>
    <d v="2025-05-15T00:00:00"/>
    <s v="BR001"/>
    <s v="P012"/>
    <s v="C0069"/>
    <n v="1"/>
    <n v="5"/>
    <n v="28000"/>
    <x v="2"/>
    <n v="26600"/>
    <x v="0"/>
  </r>
  <r>
    <s v="T00229"/>
    <d v="2025-02-15T00:00:00"/>
    <s v="BR003"/>
    <s v="P025"/>
    <s v="C0160"/>
    <n v="1"/>
    <n v="0"/>
    <n v="175000"/>
    <x v="0"/>
    <n v="175000"/>
    <x v="2"/>
  </r>
  <r>
    <s v="T01343"/>
    <d v="2025-02-12T00:00:00"/>
    <s v="BR001"/>
    <s v="P009"/>
    <s v="C0078"/>
    <n v="1"/>
    <n v="5"/>
    <n v="265000"/>
    <x v="2"/>
    <n v="251750"/>
    <x v="0"/>
  </r>
  <r>
    <s v="T00559"/>
    <d v="2025-12-14T00:00:00"/>
    <s v="BR002"/>
    <s v="P016"/>
    <s v="C0188"/>
    <n v="2"/>
    <n v="15"/>
    <n v="19500"/>
    <x v="1"/>
    <n v="33150"/>
    <x v="0"/>
  </r>
  <r>
    <s v="T01199"/>
    <d v="2025-07-27T00:00:00"/>
    <s v="BR002"/>
    <s v="P014"/>
    <s v="C0075"/>
    <n v="2"/>
    <n v="10"/>
    <n v="285000"/>
    <x v="1"/>
    <n v="513000"/>
    <x v="0"/>
  </r>
  <r>
    <s v="T00598"/>
    <d v="2025-03-03T00:00:00"/>
    <s v="BR001"/>
    <s v="P011"/>
    <s v="C0088"/>
    <n v="2"/>
    <n v="15"/>
    <n v="74000"/>
    <x v="2"/>
    <n v="125800"/>
    <x v="0"/>
  </r>
  <r>
    <s v="T00991"/>
    <d v="2025-02-21T00:00:00"/>
    <s v="BR002"/>
    <s v="P025"/>
    <s v="C0086"/>
    <n v="2"/>
    <n v="5"/>
    <n v="175000"/>
    <x v="1"/>
    <n v="332500"/>
    <x v="2"/>
  </r>
  <r>
    <s v="T00433"/>
    <d v="2025-03-25T00:00:00"/>
    <s v="BR001"/>
    <s v="P011"/>
    <s v="C0047"/>
    <n v="2"/>
    <n v="0"/>
    <n v="74000"/>
    <x v="2"/>
    <n v="148000"/>
    <x v="0"/>
  </r>
  <r>
    <s v="T00340"/>
    <d v="2025-12-15T00:00:00"/>
    <s v="BR001"/>
    <s v="P017"/>
    <s v="C0025"/>
    <n v="1"/>
    <n v="0"/>
    <n v="24000"/>
    <x v="2"/>
    <n v="24000"/>
    <x v="0"/>
  </r>
  <r>
    <s v="T01310"/>
    <d v="2025-12-18T00:00:00"/>
    <s v="BR001"/>
    <s v="P013"/>
    <s v="C0044"/>
    <n v="2"/>
    <n v="5"/>
    <n v="22000"/>
    <x v="2"/>
    <n v="41800"/>
    <x v="0"/>
  </r>
  <r>
    <s v="T01184"/>
    <d v="2025-05-10T00:00:00"/>
    <s v="BR002"/>
    <s v="P025"/>
    <s v="C0113"/>
    <n v="1"/>
    <n v="0"/>
    <n v="175000"/>
    <x v="1"/>
    <n v="175000"/>
    <x v="2"/>
  </r>
  <r>
    <s v="T00766"/>
    <d v="2025-12-14T00:00:00"/>
    <s v="BR001"/>
    <s v="P014"/>
    <s v="C0016"/>
    <n v="1"/>
    <n v="10"/>
    <n v="285000"/>
    <x v="2"/>
    <n v="256500"/>
    <x v="0"/>
  </r>
  <r>
    <s v="T00165"/>
    <d v="2025-12-13T00:00:00"/>
    <s v="BR001"/>
    <s v="P007"/>
    <s v="C0161"/>
    <n v="2"/>
    <n v="10"/>
    <n v="145000"/>
    <x v="2"/>
    <n v="261000"/>
    <x v="1"/>
  </r>
  <r>
    <s v="T00109"/>
    <d v="2025-06-10T00:00:00"/>
    <s v="BR001"/>
    <s v="P001"/>
    <s v="C0068"/>
    <n v="3"/>
    <n v="0"/>
    <n v="185000"/>
    <x v="2"/>
    <n v="555000"/>
    <x v="1"/>
  </r>
  <r>
    <s v="T00208"/>
    <d v="2025-12-28T00:00:00"/>
    <s v="BR001"/>
    <s v="P007"/>
    <s v="C0040"/>
    <n v="1"/>
    <n v="10"/>
    <n v="145000"/>
    <x v="2"/>
    <n v="130500"/>
    <x v="1"/>
  </r>
  <r>
    <s v="T00309"/>
    <s v="21/07/2025"/>
    <s v="BR001"/>
    <s v="P018"/>
    <s v="C0034"/>
    <n v="1"/>
    <n v="10"/>
    <n v="18000"/>
    <x v="2"/>
    <n v="16200"/>
    <x v="3"/>
  </r>
  <r>
    <s v="T00868"/>
    <d v="2025-11-26T00:00:00"/>
    <s v="BR001"/>
    <s v="P006"/>
    <s v="C0105"/>
    <n v="1"/>
    <n v="10"/>
    <n v="78000"/>
    <x v="2"/>
    <n v="70200"/>
    <x v="1"/>
  </r>
  <r>
    <s v="T01122"/>
    <s v="23/12/2025"/>
    <s v="BR001"/>
    <s v="P019"/>
    <s v="C0172"/>
    <n v="1"/>
    <n v="25"/>
    <n v="21000"/>
    <x v="2"/>
    <n v="15750"/>
    <x v="3"/>
  </r>
  <r>
    <s v="T00688"/>
    <d v="2025-10-08T00:00:00"/>
    <s v="BR001"/>
    <s v="P001"/>
    <s v="C0044"/>
    <n v="1"/>
    <n v="0"/>
    <n v="185000"/>
    <x v="2"/>
    <n v="185000"/>
    <x v="1"/>
  </r>
  <r>
    <s v="T01312"/>
    <d v="2025-09-05T00:00:00"/>
    <s v="BR003"/>
    <s v="P015"/>
    <s v="C0047"/>
    <n v="2"/>
    <n v="0"/>
    <n v="15000"/>
    <x v="0"/>
    <n v="30000"/>
    <x v="0"/>
  </r>
  <r>
    <s v="T00573"/>
    <d v="2025-11-12T00:00:00"/>
    <s v="BR003"/>
    <s v="P018"/>
    <s v="C0045"/>
    <n v="1"/>
    <n v="5"/>
    <n v="18000"/>
    <x v="0"/>
    <n v="17100"/>
    <x v="3"/>
  </r>
  <r>
    <s v="T00548"/>
    <d v="2025-04-07T00:00:00"/>
    <s v="BR001"/>
    <s v="P021"/>
    <s v="C0141"/>
    <n v="1"/>
    <n v="10"/>
    <n v="6500"/>
    <x v="2"/>
    <n v="5850"/>
    <x v="3"/>
  </r>
  <r>
    <s v="T00284"/>
    <d v="2025-01-10T00:00:00"/>
    <s v="BR001"/>
    <s v="P001"/>
    <s v="C0086"/>
    <n v="5"/>
    <n v="0"/>
    <n v="185000"/>
    <x v="2"/>
    <n v="925000"/>
    <x v="1"/>
  </r>
  <r>
    <s v="T01187"/>
    <d v="2025-11-03T00:00:00"/>
    <s v="BR001"/>
    <s v="P016"/>
    <s v="C0007"/>
    <n v="1"/>
    <n v="20"/>
    <n v="19500"/>
    <x v="2"/>
    <n v="15600"/>
    <x v="0"/>
  </r>
  <r>
    <s v="T01349"/>
    <d v="2025-03-21T00:00:00"/>
    <s v="BR003"/>
    <s v="P007"/>
    <s v="C0116"/>
    <n v="1"/>
    <n v="0"/>
    <n v="145000"/>
    <x v="0"/>
    <n v="145000"/>
    <x v="1"/>
  </r>
  <r>
    <s v="T01360"/>
    <d v="2025-08-06T00:00:00"/>
    <s v="BR002"/>
    <s v="P019"/>
    <s v="C0119"/>
    <n v="2"/>
    <n v="10"/>
    <n v="21000"/>
    <x v="1"/>
    <n v="37800"/>
    <x v="3"/>
  </r>
  <r>
    <s v="T00355"/>
    <d v="2025-06-15T00:00:00"/>
    <s v="BR002"/>
    <s v="P004"/>
    <s v="C0100"/>
    <n v="1"/>
    <n v="0"/>
    <n v="38000"/>
    <x v="1"/>
    <n v="38000"/>
    <x v="1"/>
  </r>
  <r>
    <s v="T01128"/>
    <d v="2025-11-04T00:00:00"/>
    <s v="BR001"/>
    <s v="P017"/>
    <s v="C0026"/>
    <n v="1"/>
    <n v="5"/>
    <n v="24000"/>
    <x v="2"/>
    <n v="22800"/>
    <x v="0"/>
  </r>
  <r>
    <s v="T00128"/>
    <d v="2025-11-16T00:00:00"/>
    <s v="BR002"/>
    <s v="P008"/>
    <s v="C0009"/>
    <n v="1"/>
    <n v="15"/>
    <n v="410000"/>
    <x v="1"/>
    <n v="348500"/>
    <x v="0"/>
  </r>
  <r>
    <s v="T00549"/>
    <d v="2025-11-05T00:00:00"/>
    <s v="BR002"/>
    <s v="P002"/>
    <s v="C0200"/>
    <n v="5"/>
    <n v="10"/>
    <n v="320000"/>
    <x v="1"/>
    <n v="1440000"/>
    <x v="1"/>
  </r>
  <r>
    <s v="T00944"/>
    <d v="2025-03-01T00:00:00"/>
    <s v="BR001"/>
    <s v="P005"/>
    <s v="C0133"/>
    <n v="3"/>
    <n v="0"/>
    <n v="95000"/>
    <x v="2"/>
    <n v="285000"/>
    <x v="1"/>
  </r>
  <r>
    <s v="T00923"/>
    <d v="2025-01-01T00:00:00"/>
    <s v="BR001"/>
    <s v="P013"/>
    <s v="C0051"/>
    <n v="1"/>
    <n v="10"/>
    <n v="22000"/>
    <x v="2"/>
    <n v="19800"/>
    <x v="0"/>
  </r>
  <r>
    <s v="T01374"/>
    <d v="2025-11-04T00:00:00"/>
    <s v="BR001"/>
    <s v="P003"/>
    <s v="C0138"/>
    <n v="2"/>
    <n v="0"/>
    <n v="45000"/>
    <x v="2"/>
    <n v="90000"/>
    <x v="1"/>
  </r>
  <r>
    <s v="T01029"/>
    <d v="2025-12-14T00:00:00"/>
    <s v="BR001"/>
    <s v="P002"/>
    <s v="C0031"/>
    <n v="1"/>
    <n v="0"/>
    <n v="320000"/>
    <x v="2"/>
    <n v="320000"/>
    <x v="1"/>
  </r>
  <r>
    <s v="T01088"/>
    <d v="2025-12-01T00:00:00"/>
    <s v="BR003"/>
    <s v="P012"/>
    <s v="C0120"/>
    <n v="2"/>
    <n v="30"/>
    <n v="28000"/>
    <x v="0"/>
    <n v="39200"/>
    <x v="0"/>
  </r>
  <r>
    <s v="T00254"/>
    <d v="2025-10-15T00:00:00"/>
    <s v="BR001"/>
    <s v="P012"/>
    <s v="C0193"/>
    <n v="1"/>
    <n v="0"/>
    <n v="28000"/>
    <x v="2"/>
    <n v="28000"/>
    <x v="0"/>
  </r>
  <r>
    <s v="T00867"/>
    <d v="2025-06-07T00:00:00"/>
    <s v="BR002"/>
    <s v="P015"/>
    <s v="C0197"/>
    <n v="5"/>
    <n v="5"/>
    <n v="15000"/>
    <x v="1"/>
    <n v="71250"/>
    <x v="0"/>
  </r>
  <r>
    <s v="T00171"/>
    <d v="2025-01-28T00:00:00"/>
    <s v="BR002"/>
    <s v="P011"/>
    <s v="C0192"/>
    <n v="3"/>
    <n v="0"/>
    <n v="74000"/>
    <x v="1"/>
    <n v="222000"/>
    <x v="0"/>
  </r>
  <r>
    <s v="T00061"/>
    <d v="2025-03-06T00:00:00"/>
    <s v="BR004"/>
    <s v="P013"/>
    <s v="C0213"/>
    <n v="1"/>
    <n v="5"/>
    <n v="22000"/>
    <x v="3"/>
    <n v="20900"/>
    <x v="0"/>
  </r>
  <r>
    <s v="T01034"/>
    <d v="2025-01-11T00:00:00"/>
    <s v="BR002"/>
    <s v="P009"/>
    <s v="C0023"/>
    <n v="1"/>
    <n v="15"/>
    <n v="265000"/>
    <x v="1"/>
    <n v="225250"/>
    <x v="0"/>
  </r>
  <r>
    <s v="T00706"/>
    <d v="2025-08-22T00:00:00"/>
    <s v="BR001"/>
    <s v="P008"/>
    <s v="C0136"/>
    <n v="3"/>
    <n v="20"/>
    <n v="410000"/>
    <x v="2"/>
    <n v="984000"/>
    <x v="0"/>
  </r>
  <r>
    <s v="T00846"/>
    <d v="2025-04-10T00:00:00"/>
    <s v="BR001"/>
    <s v="P009"/>
    <s v="C0032"/>
    <n v="1"/>
    <n v="0"/>
    <n v="265000"/>
    <x v="2"/>
    <n v="265000"/>
    <x v="0"/>
  </r>
  <r>
    <s v="T00413"/>
    <d v="2025-12-12T00:00:00"/>
    <s v="BR003"/>
    <s v="P005"/>
    <s v="C0053"/>
    <n v="1"/>
    <n v="0"/>
    <n v="95000"/>
    <x v="0"/>
    <n v="95000"/>
    <x v="1"/>
  </r>
  <r>
    <s v="T00190"/>
    <d v="2025-12-28T00:00:00"/>
    <s v="BR002"/>
    <s v="P022"/>
    <s v="C0011"/>
    <n v="2"/>
    <n v="15"/>
    <n v="5200"/>
    <x v="1"/>
    <n v="8840"/>
    <x v="3"/>
  </r>
  <r>
    <s v="T00408"/>
    <s v="28/12/2025"/>
    <s v="BR001"/>
    <s v="P006"/>
    <s v="C0178"/>
    <n v="1"/>
    <n v="5"/>
    <n v="78000"/>
    <x v="2"/>
    <n v="74100"/>
    <x v="1"/>
  </r>
  <r>
    <s v="T00415"/>
    <d v="2025-12-09T00:00:00"/>
    <s v="BR002"/>
    <s v="P018"/>
    <s v="C0147"/>
    <n v="1"/>
    <n v="10"/>
    <n v="18000"/>
    <x v="1"/>
    <n v="16200"/>
    <x v="3"/>
  </r>
  <r>
    <s v="T00250"/>
    <d v="2025-08-08T00:00:00"/>
    <s v="BR001"/>
    <s v="P014"/>
    <s v="C0166"/>
    <n v="1"/>
    <n v="0"/>
    <n v="285000"/>
    <x v="2"/>
    <n v="285000"/>
    <x v="0"/>
  </r>
  <r>
    <s v="T00485"/>
    <d v="2025-12-05T00:00:00"/>
    <s v="BR002"/>
    <s v="P005"/>
    <s v="C0038"/>
    <n v="1"/>
    <n v="10"/>
    <n v="95000"/>
    <x v="1"/>
    <n v="85500"/>
    <x v="1"/>
  </r>
  <r>
    <s v="T00368"/>
    <d v="2025-11-18T00:00:00"/>
    <s v="BR002"/>
    <s v="P019"/>
    <s v="C0083"/>
    <n v="1"/>
    <n v="10"/>
    <n v="21000"/>
    <x v="1"/>
    <n v="18900"/>
    <x v="3"/>
  </r>
  <r>
    <s v="T00331"/>
    <d v="2025-04-27T00:00:00"/>
    <s v="BR003"/>
    <s v="P008"/>
    <s v="C0192"/>
    <n v="2"/>
    <n v="0"/>
    <n v="410000"/>
    <x v="0"/>
    <n v="820000"/>
    <x v="0"/>
  </r>
  <r>
    <s v="T00390"/>
    <d v="2025-12-12T00:00:00"/>
    <s v="BR002"/>
    <s v="P011"/>
    <s v="C0199"/>
    <n v="1"/>
    <n v="10"/>
    <n v="74000"/>
    <x v="1"/>
    <n v="66600"/>
    <x v="0"/>
  </r>
  <r>
    <s v="T00618"/>
    <d v="2025-05-20T00:00:00"/>
    <s v="BR004"/>
    <s v="P010"/>
    <s v="C0167"/>
    <n v="2"/>
    <n v="0"/>
    <n v="62000"/>
    <x v="3"/>
    <n v="124000"/>
    <x v="0"/>
  </r>
  <r>
    <s v="T00263"/>
    <d v="2025-03-22T00:00:00"/>
    <s v="BR001"/>
    <s v="P001"/>
    <s v="C0034"/>
    <n v="2"/>
    <n v="0"/>
    <n v="185000"/>
    <x v="2"/>
    <n v="370000"/>
    <x v="1"/>
  </r>
  <r>
    <s v="T00378"/>
    <d v="2025-01-05T00:00:00"/>
    <s v="BR002"/>
    <s v="P008"/>
    <s v="C0106"/>
    <n v="1"/>
    <n v="0"/>
    <n v="410000"/>
    <x v="1"/>
    <n v="410000"/>
    <x v="0"/>
  </r>
  <r>
    <s v="T00958"/>
    <d v="2025-02-12T00:00:00"/>
    <s v="BR002"/>
    <s v="P003"/>
    <s v="C0081"/>
    <n v="1"/>
    <n v="15"/>
    <n v="45000"/>
    <x v="1"/>
    <n v="38250"/>
    <x v="1"/>
  </r>
  <r>
    <s v="T01363"/>
    <d v="2025-05-20T00:00:00"/>
    <s v="BR003"/>
    <s v="P025"/>
    <s v="C0055"/>
    <n v="1"/>
    <n v="15"/>
    <n v="175000"/>
    <x v="0"/>
    <n v="148750"/>
    <x v="2"/>
  </r>
  <r>
    <s v="T01318"/>
    <d v="2025-04-05T00:00:00"/>
    <s v="BR001"/>
    <s v="P022"/>
    <s v="C0092"/>
    <n v="1"/>
    <n v="20"/>
    <n v="5200"/>
    <x v="2"/>
    <n v="4160"/>
    <x v="3"/>
  </r>
  <r>
    <s v="T00733"/>
    <d v="2025-11-20T00:00:00"/>
    <s v="BR001"/>
    <s v="P007"/>
    <s v="C0016"/>
    <n v="2"/>
    <n v="10"/>
    <n v="145000"/>
    <x v="2"/>
    <n v="261000"/>
    <x v="1"/>
  </r>
  <r>
    <s v="T00028"/>
    <d v="2025-12-06T00:00:00"/>
    <s v="BR001"/>
    <s v="P008"/>
    <s v="C0095"/>
    <n v="1"/>
    <n v="5"/>
    <n v="410000"/>
    <x v="2"/>
    <n v="389500"/>
    <x v="0"/>
  </r>
  <r>
    <s v="T00619"/>
    <d v="2025-04-02T00:00:00"/>
    <s v="BR002"/>
    <s v="P008"/>
    <s v="C0208"/>
    <n v="1"/>
    <n v="25"/>
    <n v="410000"/>
    <x v="1"/>
    <n v="307500"/>
    <x v="0"/>
  </r>
  <r>
    <s v="T00651"/>
    <d v="2025-06-14T00:00:00"/>
    <s v="BR004"/>
    <s v="P014"/>
    <s v="C0019"/>
    <n v="2"/>
    <n v="5"/>
    <n v="285000"/>
    <x v="3"/>
    <n v="541500"/>
    <x v="0"/>
  </r>
  <r>
    <s v="T00763"/>
    <d v="2025-10-12T00:00:00"/>
    <s v="BR001"/>
    <s v="P008"/>
    <s v="C0106"/>
    <n v="1"/>
    <n v="0"/>
    <n v="410000"/>
    <x v="2"/>
    <n v="410000"/>
    <x v="0"/>
  </r>
  <r>
    <s v="T00409"/>
    <d v="2025-03-04T00:00:00"/>
    <s v="BR004"/>
    <s v="P008"/>
    <s v="C0196"/>
    <n v="3"/>
    <n v="0"/>
    <n v="410000"/>
    <x v="3"/>
    <n v="1230000"/>
    <x v="0"/>
  </r>
  <r>
    <s v="T00253"/>
    <d v="2025-05-08T00:00:00"/>
    <s v="BR001"/>
    <s v="P014"/>
    <s v="C0083"/>
    <n v="1"/>
    <n v="0"/>
    <n v="285000"/>
    <x v="2"/>
    <n v="285000"/>
    <x v="0"/>
  </r>
  <r>
    <s v="T00044"/>
    <d v="2025-08-20T00:00:00"/>
    <s v="BR003"/>
    <s v="P008"/>
    <s v="C0020"/>
    <n v="1"/>
    <n v="0"/>
    <n v="410000"/>
    <x v="0"/>
    <n v="410000"/>
    <x v="0"/>
  </r>
  <r>
    <s v="T00864"/>
    <d v="2025-08-14T00:00:00"/>
    <s v="BR003"/>
    <s v="P021"/>
    <s v="C0120"/>
    <n v="1"/>
    <n v="10"/>
    <n v="6500"/>
    <x v="0"/>
    <n v="5850"/>
    <x v="3"/>
  </r>
  <r>
    <s v="T01252"/>
    <d v="2025-11-20T00:00:00"/>
    <s v="BR002"/>
    <s v="P003"/>
    <s v="C0123"/>
    <n v="3"/>
    <n v="10"/>
    <n v="45000"/>
    <x v="1"/>
    <n v="121500"/>
    <x v="1"/>
  </r>
  <r>
    <s v="T00713"/>
    <d v="2025-01-11T00:00:00"/>
    <s v="BR004"/>
    <s v="P007"/>
    <s v="C0051"/>
    <n v="2"/>
    <n v="5"/>
    <n v="145000"/>
    <x v="3"/>
    <n v="275500"/>
    <x v="1"/>
  </r>
  <r>
    <s v="T01368"/>
    <d v="2025-10-27T00:00:00"/>
    <s v="BR002"/>
    <s v="P004"/>
    <s v="C0094"/>
    <n v="2"/>
    <n v="0"/>
    <n v="38000"/>
    <x v="1"/>
    <n v="76000"/>
    <x v="1"/>
  </r>
  <r>
    <s v="T00596"/>
    <d v="2025-02-02T00:00:00"/>
    <s v="BR004"/>
    <s v="P023"/>
    <s v="C0178"/>
    <n v="1"/>
    <n v="0"/>
    <n v="195000"/>
    <x v="3"/>
    <n v="195000"/>
    <x v="2"/>
  </r>
  <r>
    <s v="T00152"/>
    <d v="2025-12-26T00:00:00"/>
    <s v="BR001"/>
    <s v="P012"/>
    <s v="C0140"/>
    <n v="1"/>
    <n v="10"/>
    <n v="28000"/>
    <x v="2"/>
    <n v="25200"/>
    <x v="0"/>
  </r>
  <r>
    <s v="T01125"/>
    <d v="2025-04-12T00:00:00"/>
    <s v="BR002"/>
    <s v="P010"/>
    <s v="C0083"/>
    <n v="1"/>
    <n v="0"/>
    <n v="62000"/>
    <x v="1"/>
    <n v="62000"/>
    <x v="0"/>
  </r>
  <r>
    <s v="T00575"/>
    <d v="2025-01-19T00:00:00"/>
    <s v="BR003"/>
    <s v="P001"/>
    <s v="C0103"/>
    <n v="1"/>
    <n v="5"/>
    <n v="185000"/>
    <x v="0"/>
    <n v="175750"/>
    <x v="1"/>
  </r>
  <r>
    <s v="T00446"/>
    <d v="2025-09-22T00:00:00"/>
    <s v="BR001"/>
    <s v="P019"/>
    <s v="C0074"/>
    <n v="1"/>
    <n v="0"/>
    <n v="21000"/>
    <x v="2"/>
    <n v="21000"/>
    <x v="3"/>
  </r>
  <r>
    <s v="T00649"/>
    <d v="2025-08-11T00:00:00"/>
    <s v="BR003"/>
    <s v="P004"/>
    <s v="C0132"/>
    <n v="1"/>
    <n v="0"/>
    <n v="38000"/>
    <x v="0"/>
    <n v="38000"/>
    <x v="1"/>
  </r>
  <r>
    <s v="T01325"/>
    <d v="2025-10-11T00:00:00"/>
    <s v="BR003"/>
    <s v="P022"/>
    <s v="C0036"/>
    <n v="1"/>
    <n v="0"/>
    <n v="5200"/>
    <x v="0"/>
    <n v="5200"/>
    <x v="3"/>
  </r>
  <r>
    <s v="T00327"/>
    <d v="2025-03-12T00:00:00"/>
    <s v="BR001"/>
    <s v="P009"/>
    <s v="C0166"/>
    <n v="1"/>
    <n v="0"/>
    <n v="265000"/>
    <x v="2"/>
    <n v="265000"/>
    <x v="0"/>
  </r>
  <r>
    <s v="T00319"/>
    <d v="2025-08-11T00:00:00"/>
    <s v="BR001"/>
    <s v="P014"/>
    <s v="C0151"/>
    <n v="3"/>
    <n v="10"/>
    <n v="285000"/>
    <x v="2"/>
    <n v="769500"/>
    <x v="0"/>
  </r>
  <r>
    <s v="T00875"/>
    <d v="2025-02-04T00:00:00"/>
    <s v="BR001"/>
    <s v="P013"/>
    <s v="C0110"/>
    <n v="2"/>
    <n v="5"/>
    <n v="22000"/>
    <x v="2"/>
    <n v="41800"/>
    <x v="0"/>
  </r>
  <r>
    <s v="T01277"/>
    <d v="2025-06-27T00:00:00"/>
    <s v="BR002"/>
    <s v="P002"/>
    <s v="C0206"/>
    <n v="1"/>
    <n v="0"/>
    <n v="320000"/>
    <x v="1"/>
    <n v="320000"/>
    <x v="1"/>
  </r>
  <r>
    <s v="T00153"/>
    <d v="2025-01-09T00:00:00"/>
    <s v="BR001"/>
    <s v="P010"/>
    <s v="C0217"/>
    <n v="1"/>
    <n v="0"/>
    <n v="62000"/>
    <x v="2"/>
    <n v="62000"/>
    <x v="0"/>
  </r>
  <r>
    <s v="T00195"/>
    <d v="2025-12-24T00:00:00"/>
    <s v="BR002"/>
    <s v="P018"/>
    <s v="C0213"/>
    <n v="1"/>
    <n v="0"/>
    <n v="18000"/>
    <x v="1"/>
    <n v="18000"/>
    <x v="3"/>
  </r>
  <r>
    <s v="T00952"/>
    <d v="2025-11-20T00:00:00"/>
    <s v="BR002"/>
    <s v="P012"/>
    <s v="C0071"/>
    <n v="2"/>
    <n v="20"/>
    <n v="28000"/>
    <x v="1"/>
    <n v="44800"/>
    <x v="0"/>
  </r>
  <r>
    <s v="T00493"/>
    <d v="2025-03-10T00:00:00"/>
    <s v="BR001"/>
    <s v="P002"/>
    <s v="C0207"/>
    <n v="1"/>
    <n v="20"/>
    <n v="320000"/>
    <x v="2"/>
    <n v="256000"/>
    <x v="1"/>
  </r>
  <r>
    <s v="T00743"/>
    <d v="2025-08-11T00:00:00"/>
    <s v="BR003"/>
    <s v="P012"/>
    <s v="C0158"/>
    <n v="1"/>
    <n v="0"/>
    <n v="28000"/>
    <x v="0"/>
    <n v="28000"/>
    <x v="0"/>
  </r>
  <r>
    <s v="T01304"/>
    <d v="2025-01-22T00:00:00"/>
    <s v="BR002"/>
    <s v="P020"/>
    <s v="C0108"/>
    <n v="1"/>
    <n v="0"/>
    <n v="8500"/>
    <x v="1"/>
    <n v="8500"/>
    <x v="3"/>
  </r>
  <r>
    <s v="T00217"/>
    <d v="2025-10-02T00:00:00"/>
    <s v="BR001"/>
    <s v="P012"/>
    <s v="C0172"/>
    <n v="1"/>
    <n v="0"/>
    <n v="28000"/>
    <x v="2"/>
    <n v="28000"/>
    <x v="0"/>
  </r>
  <r>
    <s v="T01357"/>
    <d v="2025-07-02T00:00:00"/>
    <s v="BR001"/>
    <s v="P002"/>
    <s v="C0007"/>
    <n v="1"/>
    <n v="0"/>
    <n v="320000"/>
    <x v="2"/>
    <n v="320000"/>
    <x v="1"/>
  </r>
  <r>
    <s v="T00652"/>
    <d v="2025-10-19T00:00:00"/>
    <s v="BR004"/>
    <s v="P006"/>
    <s v="C0044"/>
    <n v="2"/>
    <n v="0"/>
    <n v="78000"/>
    <x v="3"/>
    <n v="156000"/>
    <x v="1"/>
  </r>
  <r>
    <s v="T00069"/>
    <d v="2025-08-03T00:00:00"/>
    <s v="BR003"/>
    <s v="P008"/>
    <s v="C0193"/>
    <n v="1"/>
    <n v="5"/>
    <n v="410000"/>
    <x v="0"/>
    <n v="389500"/>
    <x v="0"/>
  </r>
  <r>
    <s v="T00364"/>
    <d v="2025-12-04T00:00:00"/>
    <s v="BR001"/>
    <s v="P017"/>
    <s v="C0011"/>
    <n v="1"/>
    <n v="10"/>
    <n v="24000"/>
    <x v="2"/>
    <n v="21600"/>
    <x v="0"/>
  </r>
  <r>
    <s v="T00737"/>
    <d v="2025-09-26T00:00:00"/>
    <s v="BR001"/>
    <s v="P019"/>
    <s v="C0179"/>
    <n v="2"/>
    <n v="20"/>
    <n v="21000"/>
    <x v="2"/>
    <n v="33600"/>
    <x v="3"/>
  </r>
  <r>
    <s v="T00638"/>
    <d v="2025-09-27T00:00:00"/>
    <s v="BR003"/>
    <s v="P003"/>
    <s v="C0111"/>
    <n v="1"/>
    <n v="0"/>
    <n v="45000"/>
    <x v="0"/>
    <n v="45000"/>
    <x v="1"/>
  </r>
  <r>
    <s v="T01197"/>
    <d v="2025-01-19T00:00:00"/>
    <s v="BR002"/>
    <s v="P024"/>
    <s v="C0045"/>
    <n v="5"/>
    <n v="10"/>
    <n v="245000"/>
    <x v="1"/>
    <n v="1102500"/>
    <x v="2"/>
  </r>
  <r>
    <s v="T01262"/>
    <d v="2025-05-15T00:00:00"/>
    <s v="BR004"/>
    <s v="P005"/>
    <s v="C0141"/>
    <n v="2"/>
    <n v="0"/>
    <n v="95000"/>
    <x v="3"/>
    <n v="190000"/>
    <x v="1"/>
  </r>
  <r>
    <s v="T00010"/>
    <d v="2025-10-03T00:00:00"/>
    <s v="BR002"/>
    <s v="P001"/>
    <s v="C0057"/>
    <n v="2"/>
    <n v="10"/>
    <n v="185000"/>
    <x v="1"/>
    <n v="333000"/>
    <x v="1"/>
  </r>
  <r>
    <s v="T01170"/>
    <d v="2025-12-05T00:00:00"/>
    <s v="BR001"/>
    <s v="P008"/>
    <s v="C0105"/>
    <n v="1"/>
    <n v="5"/>
    <n v="410000"/>
    <x v="2"/>
    <n v="389500"/>
    <x v="0"/>
  </r>
  <r>
    <s v="T00531"/>
    <d v="2025-11-02T00:00:00"/>
    <s v="BR003"/>
    <s v="P013"/>
    <s v="C0183"/>
    <n v="1"/>
    <n v="15"/>
    <n v="22000"/>
    <x v="0"/>
    <n v="18700"/>
    <x v="0"/>
  </r>
  <r>
    <s v="T00371"/>
    <d v="2025-03-21T00:00:00"/>
    <s v="BR002"/>
    <s v="P003"/>
    <s v="C0035"/>
    <n v="2"/>
    <n v="0"/>
    <n v="45000"/>
    <x v="1"/>
    <n v="90000"/>
    <x v="1"/>
  </r>
  <r>
    <s v="T01168"/>
    <d v="2025-12-02T00:00:00"/>
    <s v="BR001"/>
    <s v="P005"/>
    <s v="C0169"/>
    <n v="1"/>
    <n v="0"/>
    <n v="95000"/>
    <x v="2"/>
    <n v="95000"/>
    <x v="1"/>
  </r>
  <r>
    <s v="T01075"/>
    <d v="2025-03-12T00:00:00"/>
    <s v="BR001"/>
    <s v="P019"/>
    <s v="C0146"/>
    <n v="5"/>
    <n v="0"/>
    <n v="21000"/>
    <x v="2"/>
    <n v="105000"/>
    <x v="3"/>
  </r>
  <r>
    <s v="T00749"/>
    <d v="2025-12-26T00:00:00"/>
    <s v="BR003"/>
    <s v="P004"/>
    <s v="C0156"/>
    <n v="1"/>
    <n v="10"/>
    <n v="38000"/>
    <x v="0"/>
    <n v="34200"/>
    <x v="1"/>
  </r>
  <r>
    <s v="T00286"/>
    <d v="2025-12-27T00:00:00"/>
    <s v="BR001"/>
    <s v="P020"/>
    <s v="C0153"/>
    <n v="3"/>
    <n v="15"/>
    <n v="8500"/>
    <x v="2"/>
    <n v="21675"/>
    <x v="3"/>
  </r>
  <r>
    <s v="T00241"/>
    <d v="2025-12-14T00:00:00"/>
    <s v="BR002"/>
    <s v="P010"/>
    <s v="C0103"/>
    <n v="1"/>
    <n v="10"/>
    <n v="62000"/>
    <x v="1"/>
    <n v="55800"/>
    <x v="0"/>
  </r>
  <r>
    <s v="T00200"/>
    <d v="2025-02-11T00:00:00"/>
    <s v="BR004"/>
    <s v="P004"/>
    <s v="C0045"/>
    <n v="1"/>
    <n v="0"/>
    <n v="38000"/>
    <x v="3"/>
    <n v="38000"/>
    <x v="1"/>
  </r>
  <r>
    <s v="T00684"/>
    <d v="2025-04-27T00:00:00"/>
    <s v="BR001"/>
    <s v="P001"/>
    <s v="C0127"/>
    <n v="3"/>
    <n v="0"/>
    <n v="185000"/>
    <x v="2"/>
    <n v="555000"/>
    <x v="1"/>
  </r>
  <r>
    <s v="T00591"/>
    <d v="2025-07-25T00:00:00"/>
    <s v="BR003"/>
    <s v="P004"/>
    <s v="C0079"/>
    <n v="1"/>
    <n v="0"/>
    <n v="38000"/>
    <x v="0"/>
    <n v="38000"/>
    <x v="1"/>
  </r>
  <r>
    <s v="T00205"/>
    <d v="2025-01-03T00:00:00"/>
    <s v="BR002"/>
    <s v="P001"/>
    <s v="C0025"/>
    <n v="3"/>
    <n v="0"/>
    <n v="185000"/>
    <x v="1"/>
    <n v="555000"/>
    <x v="1"/>
  </r>
  <r>
    <s v="T01152"/>
    <d v="2025-01-21T00:00:00"/>
    <s v="BR004"/>
    <s v="P019"/>
    <s v="C0123"/>
    <n v="2"/>
    <n v="10"/>
    <n v="21000"/>
    <x v="3"/>
    <n v="37800"/>
    <x v="3"/>
  </r>
  <r>
    <s v="T00188"/>
    <d v="2025-02-11T00:00:00"/>
    <s v="BR001"/>
    <s v="P016"/>
    <s v="C0071"/>
    <n v="1"/>
    <n v="0"/>
    <n v="19500"/>
    <x v="2"/>
    <n v="19500"/>
    <x v="0"/>
  </r>
  <r>
    <s v="T00886"/>
    <d v="2025-12-17T00:00:00"/>
    <s v="BR001"/>
    <s v="P006"/>
    <s v="C0051"/>
    <n v="2"/>
    <n v="0"/>
    <n v="78000"/>
    <x v="2"/>
    <n v="156000"/>
    <x v="1"/>
  </r>
  <r>
    <s v="T00397"/>
    <d v="2025-11-21T00:00:00"/>
    <s v="BR004"/>
    <s v="P005"/>
    <s v="C0119"/>
    <n v="1"/>
    <n v="0"/>
    <n v="95000"/>
    <x v="3"/>
    <n v="95000"/>
    <x v="1"/>
  </r>
  <r>
    <s v="T00927"/>
    <d v="2025-06-18T00:00:00"/>
    <s v="BR002"/>
    <s v="P017"/>
    <s v="C0112"/>
    <n v="2"/>
    <n v="5"/>
    <n v="24000"/>
    <x v="1"/>
    <n v="45600"/>
    <x v="0"/>
  </r>
  <r>
    <s v="T00526"/>
    <d v="2025-09-04T00:00:00"/>
    <s v="BR003"/>
    <s v="P004"/>
    <s v="C0052"/>
    <n v="1"/>
    <n v="15"/>
    <n v="38000"/>
    <x v="0"/>
    <n v="32300"/>
    <x v="1"/>
  </r>
  <r>
    <s v="T01330"/>
    <d v="2025-09-20T00:00:00"/>
    <s v="BR001"/>
    <s v="P014"/>
    <s v="C0200"/>
    <n v="1"/>
    <n v="0"/>
    <n v="285000"/>
    <x v="2"/>
    <n v="285000"/>
    <x v="0"/>
  </r>
  <r>
    <s v="T01124"/>
    <d v="2025-03-26T00:00:00"/>
    <s v="BR001"/>
    <s v="P008"/>
    <s v="C0079"/>
    <n v="1"/>
    <n v="0"/>
    <n v="410000"/>
    <x v="2"/>
    <n v="410000"/>
    <x v="0"/>
  </r>
  <r>
    <s v="T01295"/>
    <d v="2025-09-10T00:00:00"/>
    <s v="BR001"/>
    <s v="P007"/>
    <s v="C0035"/>
    <n v="1"/>
    <n v="20"/>
    <n v="145000"/>
    <x v="2"/>
    <n v="116000"/>
    <x v="1"/>
  </r>
  <r>
    <s v="T01365"/>
    <d v="2025-06-27T00:00:00"/>
    <s v="BR003"/>
    <s v="P024"/>
    <s v="C0086"/>
    <n v="1"/>
    <n v="5"/>
    <n v="245000"/>
    <x v="0"/>
    <n v="232750"/>
    <x v="2"/>
  </r>
  <r>
    <s v="T00351"/>
    <d v="2025-08-26T00:00:00"/>
    <s v="BR002"/>
    <s v="P012"/>
    <s v="C0021"/>
    <n v="1"/>
    <n v="20"/>
    <n v="28000"/>
    <x v="1"/>
    <n v="22400"/>
    <x v="0"/>
  </r>
  <r>
    <s v="T00110"/>
    <d v="2025-12-15T00:00:00"/>
    <s v="BR003"/>
    <s v="P024"/>
    <s v="C0112"/>
    <n v="1"/>
    <n v="15"/>
    <n v="245000"/>
    <x v="0"/>
    <n v="208250"/>
    <x v="2"/>
  </r>
  <r>
    <s v="T01222"/>
    <d v="2025-05-06T00:00:00"/>
    <s v="BR002"/>
    <s v="P008"/>
    <s v="C0173"/>
    <n v="1"/>
    <n v="0"/>
    <n v="410000"/>
    <x v="1"/>
    <n v="410000"/>
    <x v="0"/>
  </r>
  <r>
    <s v="T00123"/>
    <d v="2025-09-15T00:00:00"/>
    <s v="BR002"/>
    <s v="P013"/>
    <s v="C0089"/>
    <n v="1"/>
    <n v="0"/>
    <n v="22000"/>
    <x v="1"/>
    <n v="22000"/>
    <x v="0"/>
  </r>
  <r>
    <s v="T00694"/>
    <d v="2025-08-25T00:00:00"/>
    <s v="BR002"/>
    <s v="P008"/>
    <s v="C0158"/>
    <n v="1"/>
    <n v="0"/>
    <n v="410000"/>
    <x v="1"/>
    <n v="410000"/>
    <x v="0"/>
  </r>
  <r>
    <s v="T00582"/>
    <d v="2025-12-24T00:00:00"/>
    <s v="BR003"/>
    <s v="P018"/>
    <s v="C0184"/>
    <n v="1"/>
    <n v="20"/>
    <n v="18000"/>
    <x v="0"/>
    <n v="14400"/>
    <x v="3"/>
  </r>
  <r>
    <s v="T00384"/>
    <d v="2025-10-04T00:00:00"/>
    <s v="BR001"/>
    <s v="P019"/>
    <s v="C0051"/>
    <n v="2"/>
    <n v="5"/>
    <n v="21000"/>
    <x v="2"/>
    <n v="39900"/>
    <x v="3"/>
  </r>
  <r>
    <s v="T00821"/>
    <d v="2025-03-17T00:00:00"/>
    <s v="BR001"/>
    <s v="P012"/>
    <s v="C0106"/>
    <n v="1"/>
    <n v="0"/>
    <n v="28000"/>
    <x v="2"/>
    <n v="28000"/>
    <x v="0"/>
  </r>
  <r>
    <s v="T01286"/>
    <d v="2025-02-12T00:00:00"/>
    <s v="BR003"/>
    <s v="P008"/>
    <s v="C0099"/>
    <n v="1"/>
    <n v="0"/>
    <n v="410000"/>
    <x v="0"/>
    <n v="410000"/>
    <x v="0"/>
  </r>
  <r>
    <s v="T00519"/>
    <d v="2025-09-12T00:00:00"/>
    <s v="BR001"/>
    <s v="P019"/>
    <s v="C0114"/>
    <n v="2"/>
    <n v="10"/>
    <n v="21000"/>
    <x v="2"/>
    <n v="37800"/>
    <x v="3"/>
  </r>
  <r>
    <s v="T01011"/>
    <d v="2025-12-28T00:00:00"/>
    <s v="BR004"/>
    <s v="P009"/>
    <s v="C0097"/>
    <n v="1"/>
    <n v="0"/>
    <n v="265000"/>
    <x v="3"/>
    <n v="265000"/>
    <x v="0"/>
  </r>
  <r>
    <s v="T00565"/>
    <d v="2025-11-01T00:00:00"/>
    <s v="BR003"/>
    <s v="P017"/>
    <s v="C0174"/>
    <n v="2"/>
    <n v="20"/>
    <n v="24000"/>
    <x v="0"/>
    <n v="38400"/>
    <x v="0"/>
  </r>
  <r>
    <s v="T01289"/>
    <d v="2025-05-02T00:00:00"/>
    <s v="BR001"/>
    <s v="P013"/>
    <s v="C0151"/>
    <n v="1"/>
    <n v="0"/>
    <n v="22000"/>
    <x v="2"/>
    <n v="22000"/>
    <x v="0"/>
  </r>
  <r>
    <s v="T01194"/>
    <d v="2025-03-20T00:00:00"/>
    <s v="BR003"/>
    <s v="P007"/>
    <s v="C0156"/>
    <n v="2"/>
    <n v="0"/>
    <n v="145000"/>
    <x v="0"/>
    <n v="290000"/>
    <x v="1"/>
  </r>
  <r>
    <s v="T00068"/>
    <d v="2025-11-27T00:00:00"/>
    <s v="BR001"/>
    <s v="P010"/>
    <s v="C0219"/>
    <n v="1"/>
    <n v="5"/>
    <n v="62000"/>
    <x v="2"/>
    <n v="58900"/>
    <x v="0"/>
  </r>
  <r>
    <s v="T00699"/>
    <d v="2025-12-21T00:00:00"/>
    <s v="BR003"/>
    <s v="P021"/>
    <s v="C0031"/>
    <n v="1"/>
    <n v="5"/>
    <n v="6500"/>
    <x v="0"/>
    <n v="6175"/>
    <x v="3"/>
  </r>
  <r>
    <s v="T00352"/>
    <d v="2025-08-13T00:00:00"/>
    <s v="BR001"/>
    <s v="P022"/>
    <s v="C0066"/>
    <n v="2"/>
    <n v="5"/>
    <n v="5200"/>
    <x v="2"/>
    <n v="9880"/>
    <x v="3"/>
  </r>
  <r>
    <s v="T00705"/>
    <d v="2025-07-15T00:00:00"/>
    <s v="BR001"/>
    <s v="P003"/>
    <s v="C0203"/>
    <n v="1"/>
    <n v="5"/>
    <n v="45000"/>
    <x v="2"/>
    <n v="42750"/>
    <x v="1"/>
  </r>
  <r>
    <s v="T00782"/>
    <d v="2025-11-05T00:00:00"/>
    <s v="BR002"/>
    <s v="P024"/>
    <s v="C0197"/>
    <n v="1"/>
    <n v="5"/>
    <n v="245000"/>
    <x v="1"/>
    <n v="232750"/>
    <x v="2"/>
  </r>
  <r>
    <s v="T00599"/>
    <d v="2025-11-09T00:00:00"/>
    <s v="BR002"/>
    <s v="P006"/>
    <s v="C0195"/>
    <n v="3"/>
    <n v="5"/>
    <n v="78000"/>
    <x v="1"/>
    <n v="222300"/>
    <x v="1"/>
  </r>
  <r>
    <s v="T01218"/>
    <d v="2025-11-26T00:00:00"/>
    <s v="BR002"/>
    <s v="P022"/>
    <s v="C0063"/>
    <n v="1"/>
    <n v="10"/>
    <n v="5200"/>
    <x v="1"/>
    <n v="4680"/>
    <x v="3"/>
  </r>
  <r>
    <s v="T00922"/>
    <d v="2025-07-03T00:00:00"/>
    <s v="BR001"/>
    <s v="P015"/>
    <s v="C0163"/>
    <n v="1"/>
    <n v="0"/>
    <n v="15000"/>
    <x v="2"/>
    <n v="15000"/>
    <x v="0"/>
  </r>
  <r>
    <s v="T01136"/>
    <d v="2025-01-15T00:00:00"/>
    <s v="BR001"/>
    <s v="P005"/>
    <s v="C0027"/>
    <n v="1"/>
    <n v="15"/>
    <n v="95000"/>
    <x v="2"/>
    <n v="80750"/>
    <x v="1"/>
  </r>
  <r>
    <s v="T01273"/>
    <d v="2025-07-02T00:00:00"/>
    <s v="BR002"/>
    <s v="P009"/>
    <s v="C0169"/>
    <n v="1"/>
    <n v="0"/>
    <n v="265000"/>
    <x v="1"/>
    <n v="265000"/>
    <x v="0"/>
  </r>
  <r>
    <s v="T00612"/>
    <d v="2025-07-22T00:00:00"/>
    <s v="BR003"/>
    <s v="P023"/>
    <s v="C0115"/>
    <n v="2"/>
    <n v="0"/>
    <n v="195000"/>
    <x v="0"/>
    <n v="390000"/>
    <x v="2"/>
  </r>
  <r>
    <s v="T00347"/>
    <d v="2025-10-28T00:00:00"/>
    <s v="BR003"/>
    <s v="P024"/>
    <s v="C0207"/>
    <n v="1"/>
    <n v="10"/>
    <n v="245000"/>
    <x v="0"/>
    <n v="220500"/>
    <x v="2"/>
  </r>
  <r>
    <s v="T00756"/>
    <d v="2025-01-23T00:00:00"/>
    <s v="BR002"/>
    <s v="P019"/>
    <s v="C0035"/>
    <n v="2"/>
    <n v="0"/>
    <n v="21000"/>
    <x v="1"/>
    <n v="42000"/>
    <x v="3"/>
  </r>
  <r>
    <s v="T00697"/>
    <d v="2025-10-06T00:00:00"/>
    <s v="BR001"/>
    <s v="P012"/>
    <s v="C0015"/>
    <n v="5"/>
    <n v="15"/>
    <n v="28000"/>
    <x v="2"/>
    <n v="119000"/>
    <x v="0"/>
  </r>
  <r>
    <s v="T01203"/>
    <d v="2025-09-25T00:00:00"/>
    <s v="BR002"/>
    <s v="P022"/>
    <s v="C0140"/>
    <n v="2"/>
    <n v="0"/>
    <n v="5200"/>
    <x v="1"/>
    <n v="10400"/>
    <x v="3"/>
  </r>
  <r>
    <s v="T01114"/>
    <d v="2025-07-28T00:00:00"/>
    <s v="BR003"/>
    <s v="P022"/>
    <s v="C0117"/>
    <n v="1"/>
    <n v="0"/>
    <n v="5200"/>
    <x v="0"/>
    <n v="5200"/>
    <x v="3"/>
  </r>
  <r>
    <s v="T00126"/>
    <d v="2025-09-27T00:00:00"/>
    <s v="BR003"/>
    <s v="P011"/>
    <s v="C0114"/>
    <n v="1"/>
    <n v="5"/>
    <n v="74000"/>
    <x v="0"/>
    <n v="70300"/>
    <x v="0"/>
  </r>
  <r>
    <s v="T00840"/>
    <d v="2025-08-12T00:00:00"/>
    <s v="BR001"/>
    <s v="P011"/>
    <s v="C0079"/>
    <n v="1"/>
    <n v="0"/>
    <n v="74000"/>
    <x v="2"/>
    <n v="74000"/>
    <x v="0"/>
  </r>
  <r>
    <s v="T00636"/>
    <d v="2025-11-08T00:00:00"/>
    <s v="BR003"/>
    <s v="P009"/>
    <s v="C0052"/>
    <n v="2"/>
    <n v="15"/>
    <n v="265000"/>
    <x v="0"/>
    <n v="450500"/>
    <x v="0"/>
  </r>
  <r>
    <s v="T00716"/>
    <d v="2025-01-03T00:00:00"/>
    <s v="BR003"/>
    <s v="P010"/>
    <s v="C0054"/>
    <n v="1"/>
    <n v="20"/>
    <n v="62000"/>
    <x v="0"/>
    <n v="49600"/>
    <x v="0"/>
  </r>
  <r>
    <s v="T01211"/>
    <d v="2025-04-21T00:00:00"/>
    <s v="BR001"/>
    <s v="P002"/>
    <s v="C0018"/>
    <n v="1"/>
    <n v="10"/>
    <n v="320000"/>
    <x v="2"/>
    <n v="288000"/>
    <x v="1"/>
  </r>
  <r>
    <s v="T00290"/>
    <d v="2025-06-28T00:00:00"/>
    <s v="BR001"/>
    <s v="P022"/>
    <s v="C0154"/>
    <n v="1"/>
    <n v="0"/>
    <n v="5200"/>
    <x v="2"/>
    <n v="5200"/>
    <x v="3"/>
  </r>
  <r>
    <s v="T00963"/>
    <d v="2025-02-01T00:00:00"/>
    <s v="BR001"/>
    <s v="P021"/>
    <s v="C0111"/>
    <n v="1"/>
    <n v="0"/>
    <n v="6500"/>
    <x v="2"/>
    <n v="6500"/>
    <x v="3"/>
  </r>
  <r>
    <s v="T00745"/>
    <d v="2025-01-17T00:00:00"/>
    <s v="BR001"/>
    <s v="P008"/>
    <s v="C0165"/>
    <n v="1"/>
    <n v="5"/>
    <n v="410000"/>
    <x v="2"/>
    <n v="389500"/>
    <x v="0"/>
  </r>
  <r>
    <s v="T00736"/>
    <d v="2025-11-19T00:00:00"/>
    <s v="BR001"/>
    <s v="P005"/>
    <s v="C0095"/>
    <n v="1"/>
    <n v="0"/>
    <n v="95000"/>
    <x v="2"/>
    <n v="95000"/>
    <x v="1"/>
  </r>
  <r>
    <s v="T00054"/>
    <d v="2025-03-01T00:00:00"/>
    <s v="BR001"/>
    <s v="P024"/>
    <s v="C0196"/>
    <n v="1"/>
    <n v="10"/>
    <n v="245000"/>
    <x v="2"/>
    <n v="220500"/>
    <x v="2"/>
  </r>
  <r>
    <s v="T00936"/>
    <d v="2025-06-08T00:00:00"/>
    <s v="BR003"/>
    <s v="P024"/>
    <s v="C0001"/>
    <n v="1"/>
    <n v="10"/>
    <n v="245000"/>
    <x v="0"/>
    <n v="220500"/>
    <x v="2"/>
  </r>
  <r>
    <s v="T00703"/>
    <d v="2025-04-25T00:00:00"/>
    <s v="BR003"/>
    <s v="P005"/>
    <s v="C0160"/>
    <n v="2"/>
    <n v="0"/>
    <n v="95000"/>
    <x v="0"/>
    <n v="190000"/>
    <x v="1"/>
  </r>
  <r>
    <s v="T00041"/>
    <d v="2025-03-16T00:00:00"/>
    <s v="BR003"/>
    <s v="P021"/>
    <s v="C0067"/>
    <n v="2"/>
    <n v="5"/>
    <n v="6500"/>
    <x v="0"/>
    <n v="12350"/>
    <x v="3"/>
  </r>
  <r>
    <s v="T00620"/>
    <d v="2025-06-01T00:00:00"/>
    <s v="BR002"/>
    <s v="P009"/>
    <s v="C0175"/>
    <n v="1"/>
    <n v="15"/>
    <n v="265000"/>
    <x v="1"/>
    <n v="225250"/>
    <x v="0"/>
  </r>
  <r>
    <s v="T00913"/>
    <d v="2025-02-16T00:00:00"/>
    <s v="BR001"/>
    <s v="P020"/>
    <s v="C0122"/>
    <n v="5"/>
    <n v="0"/>
    <n v="8500"/>
    <x v="2"/>
    <n v="42500"/>
    <x v="3"/>
  </r>
  <r>
    <s v="T00475"/>
    <d v="2025-12-28T00:00:00"/>
    <s v="BR002"/>
    <s v="P020"/>
    <s v="C0150"/>
    <n v="1"/>
    <n v="15"/>
    <n v="8500"/>
    <x v="1"/>
    <n v="7225"/>
    <x v="3"/>
  </r>
  <r>
    <s v="T01196"/>
    <d v="2025-06-27T00:00:00"/>
    <s v="BR003"/>
    <s v="P019"/>
    <s v="C0063"/>
    <n v="2"/>
    <n v="10"/>
    <n v="21000"/>
    <x v="0"/>
    <n v="37800"/>
    <x v="3"/>
  </r>
  <r>
    <s v="T00084"/>
    <d v="2025-11-27T00:00:00"/>
    <s v="BR002"/>
    <s v="P007"/>
    <s v="C0183"/>
    <n v="1"/>
    <n v="15"/>
    <n v="145000"/>
    <x v="1"/>
    <n v="123250"/>
    <x v="1"/>
  </r>
  <r>
    <s v="T00116"/>
    <d v="2025-04-06T00:00:00"/>
    <s v="BR002"/>
    <s v="P001"/>
    <s v="C0171"/>
    <n v="1"/>
    <n v="0"/>
    <n v="185000"/>
    <x v="1"/>
    <n v="185000"/>
    <x v="1"/>
  </r>
  <r>
    <s v="T01086"/>
    <d v="2025-05-08T00:00:00"/>
    <s v="BR001"/>
    <s v="P003"/>
    <s v="C0163"/>
    <n v="1"/>
    <n v="0"/>
    <n v="45000"/>
    <x v="2"/>
    <n v="45000"/>
    <x v="1"/>
  </r>
  <r>
    <s v="T00329"/>
    <d v="2025-03-17T00:00:00"/>
    <s v="BR002"/>
    <s v="P015"/>
    <s v="C0183"/>
    <n v="1"/>
    <n v="0"/>
    <n v="15000"/>
    <x v="1"/>
    <n v="15000"/>
    <x v="0"/>
  </r>
  <r>
    <s v="T00678"/>
    <d v="2025-11-21T00:00:00"/>
    <s v="BR002"/>
    <s v="P017"/>
    <s v="C0117"/>
    <n v="1"/>
    <n v="10"/>
    <n v="24000"/>
    <x v="1"/>
    <n v="21600"/>
    <x v="0"/>
  </r>
  <r>
    <s v="T00588"/>
    <d v="2025-05-12T00:00:00"/>
    <s v="BR001"/>
    <s v="P014"/>
    <s v="C0006"/>
    <n v="2"/>
    <n v="0"/>
    <n v="285000"/>
    <x v="2"/>
    <n v="570000"/>
    <x v="0"/>
  </r>
  <r>
    <s v="T00547"/>
    <d v="2025-09-17T00:00:00"/>
    <s v="BR004"/>
    <s v="P022"/>
    <s v="C0073"/>
    <n v="2"/>
    <n v="0"/>
    <n v="5200"/>
    <x v="3"/>
    <n v="10400"/>
    <x v="3"/>
  </r>
  <r>
    <s v="T01173"/>
    <d v="2025-07-08T00:00:00"/>
    <s v="BR002"/>
    <s v="P003"/>
    <s v="C0054"/>
    <n v="1"/>
    <n v="10"/>
    <n v="45000"/>
    <x v="1"/>
    <n v="40500"/>
    <x v="1"/>
  </r>
  <r>
    <s v="T00504"/>
    <d v="2025-04-18T00:00:00"/>
    <s v="BR003"/>
    <s v="P004"/>
    <s v="C0104"/>
    <n v="1"/>
    <n v="0"/>
    <n v="38000"/>
    <x v="0"/>
    <n v="38000"/>
    <x v="1"/>
  </r>
  <r>
    <s v="T01296"/>
    <d v="2025-09-03T00:00:00"/>
    <s v="BR001"/>
    <s v="P023"/>
    <s v="C0148"/>
    <n v="1"/>
    <n v="0"/>
    <n v="195000"/>
    <x v="2"/>
    <n v="195000"/>
    <x v="2"/>
  </r>
  <r>
    <s v="T01151"/>
    <d v="2025-12-05T00:00:00"/>
    <s v="BR001"/>
    <s v="P002"/>
    <s v="C0022"/>
    <n v="2"/>
    <n v="15"/>
    <n v="320000"/>
    <x v="2"/>
    <n v="544000"/>
    <x v="1"/>
  </r>
  <r>
    <s v="T00097"/>
    <d v="2025-11-14T00:00:00"/>
    <s v="BR002"/>
    <s v="P008"/>
    <s v="C0058"/>
    <n v="1"/>
    <n v="0"/>
    <n v="410000"/>
    <x v="1"/>
    <n v="410000"/>
    <x v="0"/>
  </r>
  <r>
    <s v="T00410"/>
    <d v="2025-09-22T00:00:00"/>
    <s v="BR001"/>
    <s v="P021"/>
    <s v="C0201"/>
    <n v="1"/>
    <n v="0"/>
    <n v="6500"/>
    <x v="2"/>
    <n v="6500"/>
    <x v="3"/>
  </r>
  <r>
    <s v="T01282"/>
    <d v="2025-09-01T00:00:00"/>
    <s v="BR003"/>
    <s v="P017"/>
    <s v="C0142"/>
    <n v="1"/>
    <n v="10"/>
    <n v="24000"/>
    <x v="0"/>
    <n v="21600"/>
    <x v="0"/>
  </r>
  <r>
    <s v="T01385"/>
    <d v="2025-12-16T00:00:00"/>
    <s v="BR003"/>
    <s v="P009"/>
    <s v="C0090"/>
    <n v="1"/>
    <n v="15"/>
    <n v="265000"/>
    <x v="0"/>
    <n v="225250"/>
    <x v="0"/>
  </r>
  <r>
    <s v="T00049"/>
    <d v="2025-04-09T00:00:00"/>
    <s v="BR001"/>
    <s v="P025"/>
    <s v="C0126"/>
    <n v="1"/>
    <n v="20"/>
    <n v="175000"/>
    <x v="2"/>
    <n v="140000"/>
    <x v="2"/>
  </r>
  <r>
    <s v="T00682"/>
    <d v="2025-11-12T00:00:00"/>
    <s v="BR001"/>
    <s v="P006"/>
    <s v="C0154"/>
    <n v="1"/>
    <n v="5"/>
    <n v="78000"/>
    <x v="2"/>
    <n v="74100"/>
    <x v="1"/>
  </r>
  <r>
    <s v="T01049"/>
    <d v="2025-08-09T00:00:00"/>
    <s v="BR001"/>
    <s v="P012"/>
    <s v="C0040"/>
    <n v="1"/>
    <n v="10"/>
    <n v="28000"/>
    <x v="2"/>
    <n v="25200"/>
    <x v="0"/>
  </r>
  <r>
    <s v="T00154"/>
    <s v="27/11/2025"/>
    <s v="BR004"/>
    <s v="P009"/>
    <s v="C0120"/>
    <n v="1"/>
    <n v="0"/>
    <n v="265000"/>
    <x v="3"/>
    <n v="265000"/>
    <x v="0"/>
  </r>
  <r>
    <s v="T00238"/>
    <d v="2025-02-14T00:00:00"/>
    <s v="BR001"/>
    <s v="P001"/>
    <s v="C0071"/>
    <n v="1"/>
    <n v="0"/>
    <n v="185000"/>
    <x v="2"/>
    <n v="185000"/>
    <x v="1"/>
  </r>
  <r>
    <s v="T00055"/>
    <d v="2025-04-25T00:00:00"/>
    <s v="BR004"/>
    <s v="P004"/>
    <s v="C0160"/>
    <n v="1"/>
    <n v="0"/>
    <n v="38000"/>
    <x v="3"/>
    <n v="38000"/>
    <x v="1"/>
  </r>
  <r>
    <s v="T00124"/>
    <d v="2025-09-04T00:00:00"/>
    <s v="BR001"/>
    <s v="P024"/>
    <s v="C0098"/>
    <n v="1"/>
    <n v="0"/>
    <n v="245000"/>
    <x v="2"/>
    <n v="245000"/>
    <x v="2"/>
  </r>
  <r>
    <s v="T00135"/>
    <d v="2025-03-15T00:00:00"/>
    <s v="BR004"/>
    <s v="P002"/>
    <s v="C0094"/>
    <n v="2"/>
    <n v="0"/>
    <n v="320000"/>
    <x v="3"/>
    <n v="640000"/>
    <x v="1"/>
  </r>
  <r>
    <s v="T00269"/>
    <d v="2025-03-10T00:00:00"/>
    <s v="BR001"/>
    <s v="P010"/>
    <s v="C0045"/>
    <n v="2"/>
    <n v="10"/>
    <n v="62000"/>
    <x v="2"/>
    <n v="111600"/>
    <x v="0"/>
  </r>
  <r>
    <s v="T00098"/>
    <d v="2025-06-07T00:00:00"/>
    <s v="BR002"/>
    <s v="P008"/>
    <s v="C0025"/>
    <n v="1"/>
    <n v="0"/>
    <n v="410000"/>
    <x v="1"/>
    <n v="410000"/>
    <x v="0"/>
  </r>
  <r>
    <s v="T00221"/>
    <d v="2025-12-10T00:00:00"/>
    <s v="BR004"/>
    <s v="P021"/>
    <s v="C0151"/>
    <n v="2"/>
    <n v="5"/>
    <n v="6500"/>
    <x v="3"/>
    <n v="12350"/>
    <x v="3"/>
  </r>
  <r>
    <s v="T00042"/>
    <d v="2025-02-15T00:00:00"/>
    <s v="BR001"/>
    <s v="P007"/>
    <s v="C0006"/>
    <n v="1"/>
    <n v="0"/>
    <n v="145000"/>
    <x v="2"/>
    <n v="145000"/>
    <x v="1"/>
  </r>
  <r>
    <s v="T00881"/>
    <d v="2025-02-10T00:00:00"/>
    <s v="BR001"/>
    <s v="P012"/>
    <s v="C0183"/>
    <n v="1"/>
    <n v="0"/>
    <n v="28000"/>
    <x v="2"/>
    <n v="28000"/>
    <x v="0"/>
  </r>
  <r>
    <s v="T00417"/>
    <d v="2025-12-03T00:00:00"/>
    <s v="BR001"/>
    <s v="P013"/>
    <s v="C0099"/>
    <n v="1"/>
    <n v="10"/>
    <n v="22000"/>
    <x v="2"/>
    <n v="19800"/>
    <x v="0"/>
  </r>
  <r>
    <s v="T00759"/>
    <d v="2025-09-17T00:00:00"/>
    <s v="BR001"/>
    <s v="P025"/>
    <s v="C0063"/>
    <n v="1"/>
    <n v="0"/>
    <n v="175000"/>
    <x v="2"/>
    <n v="175000"/>
    <x v="2"/>
  </r>
  <r>
    <s v="T01257"/>
    <d v="2025-03-24T00:00:00"/>
    <s v="BR001"/>
    <s v="P001"/>
    <s v="C0137"/>
    <n v="2"/>
    <n v="5"/>
    <n v="185000"/>
    <x v="2"/>
    <n v="351500"/>
    <x v="1"/>
  </r>
  <r>
    <s v="T00829"/>
    <d v="2025-05-05T00:00:00"/>
    <s v="BR001"/>
    <s v="P005"/>
    <s v="C0004"/>
    <n v="1"/>
    <n v="20"/>
    <n v="95000"/>
    <x v="2"/>
    <n v="76000"/>
    <x v="1"/>
  </r>
  <r>
    <s v="T00534"/>
    <d v="2025-10-11T00:00:00"/>
    <s v="BR002"/>
    <s v="P022"/>
    <s v="C0140"/>
    <n v="1"/>
    <n v="15"/>
    <n v="5200"/>
    <x v="1"/>
    <n v="4420"/>
    <x v="3"/>
  </r>
  <r>
    <s v="T00013"/>
    <d v="2025-03-26T00:00:00"/>
    <s v="BR001"/>
    <s v="P018"/>
    <s v="C0180"/>
    <n v="1"/>
    <n v="20"/>
    <n v="18000"/>
    <x v="2"/>
    <n v="14400"/>
    <x v="3"/>
  </r>
  <r>
    <s v="T00643"/>
    <d v="2025-12-28T00:00:00"/>
    <s v="BR001"/>
    <s v="P007"/>
    <s v="C0009"/>
    <n v="1"/>
    <n v="10"/>
    <n v="145000"/>
    <x v="2"/>
    <n v="130500"/>
    <x v="1"/>
  </r>
  <r>
    <s v="T00499"/>
    <d v="2025-04-04T00:00:00"/>
    <s v="BR002"/>
    <s v="P007"/>
    <s v="C0165"/>
    <n v="1"/>
    <n v="0"/>
    <n v="145000"/>
    <x v="1"/>
    <n v="145000"/>
    <x v="1"/>
  </r>
  <r>
    <s v="T00973"/>
    <d v="2025-10-26T00:00:00"/>
    <s v="BR001"/>
    <s v="P025"/>
    <s v="C0215"/>
    <n v="2"/>
    <n v="0"/>
    <n v="175000"/>
    <x v="2"/>
    <n v="350000"/>
    <x v="2"/>
  </r>
  <r>
    <s v="T00669"/>
    <d v="2025-01-17T00:00:00"/>
    <s v="BR001"/>
    <s v="P018"/>
    <s v="C0220"/>
    <n v="1"/>
    <n v="0"/>
    <n v="18000"/>
    <x v="2"/>
    <n v="18000"/>
    <x v="3"/>
  </r>
  <r>
    <s v="T00518"/>
    <d v="2025-02-09T00:00:00"/>
    <s v="BR003"/>
    <s v="P009"/>
    <s v="C0216"/>
    <n v="1"/>
    <n v="5"/>
    <n v="265000"/>
    <x v="0"/>
    <n v="251750"/>
    <x v="0"/>
  </r>
  <r>
    <s v="T01347"/>
    <d v="2025-11-26T00:00:00"/>
    <s v="BR002"/>
    <s v="P010"/>
    <s v="C0156"/>
    <n v="1"/>
    <n v="10"/>
    <n v="62000"/>
    <x v="1"/>
    <n v="55800"/>
    <x v="0"/>
  </r>
  <r>
    <s v="T00566"/>
    <d v="2025-08-22T00:00:00"/>
    <s v="BR001"/>
    <s v="P011"/>
    <s v="C0169"/>
    <n v="1"/>
    <n v="0"/>
    <n v="74000"/>
    <x v="2"/>
    <n v="74000"/>
    <x v="0"/>
  </r>
  <r>
    <s v="T00803"/>
    <d v="2025-08-22T00:00:00"/>
    <s v="BR002"/>
    <s v="P012"/>
    <s v="C0184"/>
    <n v="1"/>
    <n v="0"/>
    <n v="28000"/>
    <x v="1"/>
    <n v="28000"/>
    <x v="0"/>
  </r>
  <r>
    <s v="T00880"/>
    <d v="2025-06-04T00:00:00"/>
    <s v="BR001"/>
    <s v="P004"/>
    <s v="C0116"/>
    <n v="1"/>
    <n v="10"/>
    <n v="38000"/>
    <x v="2"/>
    <n v="34200"/>
    <x v="1"/>
  </r>
  <r>
    <s v="T00650"/>
    <d v="2025-02-19T00:00:00"/>
    <s v="BR001"/>
    <s v="P006"/>
    <s v="C0192"/>
    <n v="1"/>
    <n v="0"/>
    <n v="78000"/>
    <x v="2"/>
    <n v="78000"/>
    <x v="1"/>
  </r>
  <r>
    <s v="T01324"/>
    <d v="2025-12-17T00:00:00"/>
    <s v="BR001"/>
    <s v="P018"/>
    <s v="C0012"/>
    <n v="1"/>
    <n v="0"/>
    <n v="18000"/>
    <x v="2"/>
    <n v="18000"/>
    <x v="3"/>
  </r>
  <r>
    <s v="T01099"/>
    <d v="2025-06-07T00:00:00"/>
    <s v="BR001"/>
    <s v="P015"/>
    <s v="C0066"/>
    <n v="1"/>
    <n v="0"/>
    <n v="15000"/>
    <x v="2"/>
    <n v="15000"/>
    <x v="0"/>
  </r>
  <r>
    <s v="T00508"/>
    <d v="2025-08-14T00:00:00"/>
    <s v="BR003"/>
    <s v="P020"/>
    <s v="C0030"/>
    <n v="1"/>
    <n v="0"/>
    <n v="8500"/>
    <x v="0"/>
    <n v="8500"/>
    <x v="3"/>
  </r>
  <r>
    <s v="T00735"/>
    <d v="2025-12-13T00:00:00"/>
    <s v="BR003"/>
    <s v="P025"/>
    <s v="C0125"/>
    <n v="2"/>
    <n v="20"/>
    <n v="175000"/>
    <x v="0"/>
    <n v="280000"/>
    <x v="2"/>
  </r>
  <r>
    <s v="T00994"/>
    <d v="2025-11-03T00:00:00"/>
    <s v="BR004"/>
    <s v="P003"/>
    <s v="C0007"/>
    <n v="1"/>
    <n v="30"/>
    <n v="45000"/>
    <x v="3"/>
    <n v="31499.999999999996"/>
    <x v="1"/>
  </r>
  <r>
    <s v="T00386"/>
    <d v="2025-09-18T00:00:00"/>
    <s v="BR002"/>
    <s v="P017"/>
    <s v="C0211"/>
    <n v="1"/>
    <n v="5"/>
    <n v="24000"/>
    <x v="1"/>
    <n v="22800"/>
    <x v="0"/>
  </r>
  <r>
    <s v="T00859"/>
    <d v="2025-08-25T00:00:00"/>
    <s v="BR003"/>
    <s v="P006"/>
    <s v="C0148"/>
    <n v="1"/>
    <n v="0"/>
    <n v="78000"/>
    <x v="0"/>
    <n v="78000"/>
    <x v="1"/>
  </r>
  <r>
    <s v="T00337"/>
    <d v="2025-06-28T00:00:00"/>
    <s v="BR001"/>
    <s v="P013"/>
    <s v="C0108"/>
    <n v="1"/>
    <n v="0"/>
    <n v="22000"/>
    <x v="2"/>
    <n v="22000"/>
    <x v="0"/>
  </r>
  <r>
    <s v="T00233"/>
    <d v="2025-07-02T00:00:00"/>
    <s v="BR004"/>
    <s v="P025"/>
    <s v="C0017"/>
    <n v="1"/>
    <n v="0"/>
    <n v="175000"/>
    <x v="3"/>
    <n v="175000"/>
    <x v="2"/>
  </r>
  <r>
    <s v="T00490"/>
    <d v="2025-09-13T00:00:00"/>
    <s v="BR001"/>
    <s v="P020"/>
    <s v="C0167"/>
    <n v="1"/>
    <n v="0"/>
    <n v="8500"/>
    <x v="2"/>
    <n v="8500"/>
    <x v="3"/>
  </r>
  <r>
    <s v="T00468"/>
    <d v="2025-09-28T00:00:00"/>
    <s v="BR003"/>
    <s v="P008"/>
    <s v="C0007"/>
    <n v="2"/>
    <n v="0"/>
    <n v="410000"/>
    <x v="0"/>
    <n v="820000"/>
    <x v="0"/>
  </r>
  <r>
    <s v="T00604"/>
    <d v="2025-01-09T00:00:00"/>
    <s v="BR001"/>
    <s v="P016"/>
    <s v="C0119"/>
    <n v="1"/>
    <n v="15"/>
    <n v="19500"/>
    <x v="2"/>
    <n v="16575"/>
    <x v="0"/>
  </r>
  <r>
    <s v="T00653"/>
    <d v="2025-01-13T00:00:00"/>
    <s v="BR001"/>
    <s v="P025"/>
    <s v="C0132"/>
    <n v="1"/>
    <n v="0"/>
    <n v="175000"/>
    <x v="2"/>
    <n v="175000"/>
    <x v="2"/>
  </r>
  <r>
    <s v="T00298"/>
    <d v="2025-04-20T00:00:00"/>
    <s v="BR002"/>
    <s v="P021"/>
    <s v="C0158"/>
    <n v="1"/>
    <n v="0"/>
    <n v="6500"/>
    <x v="1"/>
    <n v="6500"/>
    <x v="3"/>
  </r>
  <r>
    <s v="T01223"/>
    <d v="2025-01-15T00:00:00"/>
    <s v="BR001"/>
    <s v="P025"/>
    <s v="C0140"/>
    <n v="1"/>
    <n v="5"/>
    <n v="175000"/>
    <x v="2"/>
    <n v="166250"/>
    <x v="2"/>
  </r>
  <r>
    <s v="T00985"/>
    <d v="2025-06-12T00:00:00"/>
    <s v="BR001"/>
    <s v="P025"/>
    <s v="C0041"/>
    <n v="1"/>
    <n v="0"/>
    <n v="175000"/>
    <x v="2"/>
    <n v="175000"/>
    <x v="2"/>
  </r>
  <r>
    <s v="T00603"/>
    <d v="2025-11-15T00:00:00"/>
    <s v="BR002"/>
    <s v="P012"/>
    <s v="C0051"/>
    <n v="1"/>
    <n v="15"/>
    <n v="28000"/>
    <x v="1"/>
    <n v="23800"/>
    <x v="0"/>
  </r>
  <r>
    <s v="T00206"/>
    <d v="2025-10-28T00:00:00"/>
    <s v="BR001"/>
    <s v="P009"/>
    <s v="C0138"/>
    <n v="2"/>
    <n v="0"/>
    <n v="265000"/>
    <x v="2"/>
    <n v="530000"/>
    <x v="0"/>
  </r>
  <r>
    <s v="T01107"/>
    <d v="2025-01-28T00:00:00"/>
    <s v="BR004"/>
    <s v="P025"/>
    <s v="C0051"/>
    <n v="1"/>
    <n v="5"/>
    <n v="175000"/>
    <x v="3"/>
    <n v="166250"/>
    <x v="2"/>
  </r>
  <r>
    <s v="T00458"/>
    <d v="2025-11-04T00:00:00"/>
    <s v="BR002"/>
    <s v="P001"/>
    <s v="C0066"/>
    <n v="1"/>
    <n v="10"/>
    <n v="185000"/>
    <x v="1"/>
    <n v="166500"/>
    <x v="1"/>
  </r>
  <r>
    <s v="T00469"/>
    <d v="2025-05-22T00:00:00"/>
    <s v="BR001"/>
    <s v="P012"/>
    <s v="C0054"/>
    <n v="2"/>
    <n v="0"/>
    <n v="28000"/>
    <x v="2"/>
    <n v="56000"/>
    <x v="0"/>
  </r>
  <r>
    <s v="T00738"/>
    <d v="2025-05-24T00:00:00"/>
    <s v="BR001"/>
    <s v="P010"/>
    <s v="C0142"/>
    <n v="1"/>
    <n v="15"/>
    <n v="62000"/>
    <x v="2"/>
    <n v="52700"/>
    <x v="0"/>
  </r>
  <r>
    <s v="T00975"/>
    <d v="2025-01-12T00:00:00"/>
    <s v="BR001"/>
    <s v="P001"/>
    <s v="C0009"/>
    <n v="1"/>
    <n v="10"/>
    <n v="185000"/>
    <x v="2"/>
    <n v="166500"/>
    <x v="1"/>
  </r>
  <r>
    <s v="T01179"/>
    <d v="2025-09-07T00:00:00"/>
    <s v="BR004"/>
    <s v="P001"/>
    <s v="C0074"/>
    <n v="2"/>
    <n v="15"/>
    <n v="185000"/>
    <x v="3"/>
    <n v="314500"/>
    <x v="1"/>
  </r>
  <r>
    <s v="T00661"/>
    <d v="2025-12-26T00:00:00"/>
    <s v="BR002"/>
    <s v="P019"/>
    <s v="C0006"/>
    <n v="1"/>
    <n v="25"/>
    <n v="21000"/>
    <x v="1"/>
    <n v="15750"/>
    <x v="3"/>
  </r>
  <r>
    <s v="T01267"/>
    <d v="2025-04-17T00:00:00"/>
    <s v="BR002"/>
    <s v="P011"/>
    <s v="C0123"/>
    <n v="1"/>
    <n v="0"/>
    <n v="74000"/>
    <x v="1"/>
    <n v="74000"/>
    <x v="0"/>
  </r>
  <r>
    <s v="T01328"/>
    <d v="2025-01-06T00:00:00"/>
    <s v="BR002"/>
    <s v="P013"/>
    <s v="C0017"/>
    <n v="2"/>
    <n v="0"/>
    <n v="22000"/>
    <x v="1"/>
    <n v="44000"/>
    <x v="0"/>
  </r>
  <r>
    <s v="T00557"/>
    <d v="2025-12-19T00:00:00"/>
    <s v="BR001"/>
    <s v="P002"/>
    <s v="C0144"/>
    <n v="1"/>
    <n v="5"/>
    <n v="320000"/>
    <x v="2"/>
    <n v="304000"/>
    <x v="1"/>
  </r>
  <r>
    <s v="T00771"/>
    <d v="2025-02-03T00:00:00"/>
    <s v="BR002"/>
    <s v="P017"/>
    <s v="C0112"/>
    <n v="1"/>
    <n v="0"/>
    <n v="24000"/>
    <x v="1"/>
    <n v="24000"/>
    <x v="0"/>
  </r>
  <r>
    <s v="T01399"/>
    <d v="2025-06-18T00:00:00"/>
    <s v="BR004"/>
    <s v="P016"/>
    <s v="C0155"/>
    <n v="1"/>
    <n v="0"/>
    <n v="19500"/>
    <x v="3"/>
    <n v="19500"/>
    <x v="0"/>
  </r>
  <r>
    <s v="T01243"/>
    <d v="2025-12-08T00:00:00"/>
    <s v="BR001"/>
    <s v="P002"/>
    <s v="C0055"/>
    <n v="1"/>
    <n v="15"/>
    <n v="320000"/>
    <x v="2"/>
    <n v="272000"/>
    <x v="1"/>
  </r>
  <r>
    <s v="T00656"/>
    <d v="2025-12-10T00:00:00"/>
    <s v="BR001"/>
    <s v="P022"/>
    <s v="C0022"/>
    <n v="1"/>
    <n v="5"/>
    <n v="5200"/>
    <x v="2"/>
    <n v="4940"/>
    <x v="3"/>
  </r>
  <r>
    <s v="T01280"/>
    <d v="2025-11-16T00:00:00"/>
    <s v="BR003"/>
    <s v="P021"/>
    <s v="C0183"/>
    <n v="1"/>
    <n v="30"/>
    <n v="6500"/>
    <x v="0"/>
    <n v="4550"/>
    <x v="3"/>
  </r>
  <r>
    <s v="T00586"/>
    <d v="2025-01-11T00:00:00"/>
    <s v="BR002"/>
    <s v="P019"/>
    <s v="C0106"/>
    <n v="1"/>
    <n v="15"/>
    <n v="21000"/>
    <x v="1"/>
    <n v="17850"/>
    <x v="3"/>
  </r>
  <r>
    <s v="T00158"/>
    <d v="2025-01-16T00:00:00"/>
    <s v="BR004"/>
    <s v="P014"/>
    <s v="C0077"/>
    <n v="2"/>
    <n v="0"/>
    <n v="285000"/>
    <x v="3"/>
    <n v="570000"/>
    <x v="0"/>
  </r>
  <r>
    <s v="T00666"/>
    <d v="2025-11-14T00:00:00"/>
    <s v="BR001"/>
    <s v="P013"/>
    <s v="C0131"/>
    <n v="2"/>
    <n v="15"/>
    <n v="22000"/>
    <x v="2"/>
    <n v="37400"/>
    <x v="0"/>
  </r>
  <r>
    <s v="T01212"/>
    <d v="2025-07-18T00:00:00"/>
    <s v="BR001"/>
    <s v="P025"/>
    <s v="C0040"/>
    <n v="1"/>
    <n v="5"/>
    <n v="175000"/>
    <x v="2"/>
    <n v="166250"/>
    <x v="2"/>
  </r>
  <r>
    <s v="T00141"/>
    <d v="2025-07-17T00:00:00"/>
    <s v="BR001"/>
    <s v="P023"/>
    <s v="C0032"/>
    <n v="1"/>
    <n v="5"/>
    <n v="195000"/>
    <x v="2"/>
    <n v="185250"/>
    <x v="2"/>
  </r>
  <r>
    <s v="T00161"/>
    <d v="2025-11-18T00:00:00"/>
    <s v="BR004"/>
    <s v="P003"/>
    <s v="C0141"/>
    <n v="1"/>
    <n v="20"/>
    <n v="45000"/>
    <x v="3"/>
    <n v="36000"/>
    <x v="1"/>
  </r>
  <r>
    <s v="T00306"/>
    <d v="2025-11-22T00:00:00"/>
    <s v="BR001"/>
    <s v="P009"/>
    <s v="C0118"/>
    <n v="1"/>
    <n v="25"/>
    <n v="265000"/>
    <x v="2"/>
    <n v="198750"/>
    <x v="0"/>
  </r>
  <r>
    <s v="T01038"/>
    <d v="2025-12-22T00:00:00"/>
    <s v="BR004"/>
    <s v="P022"/>
    <s v="C0058"/>
    <n v="2"/>
    <n v="30"/>
    <n v="5200"/>
    <x v="3"/>
    <n v="7279.9999999999991"/>
    <x v="3"/>
  </r>
  <r>
    <s v="T01294"/>
    <d v="2025-12-12T00:00:00"/>
    <s v="BR002"/>
    <s v="P005"/>
    <s v="C0036"/>
    <n v="1"/>
    <n v="10"/>
    <n v="95000"/>
    <x v="1"/>
    <n v="85500"/>
    <x v="1"/>
  </r>
  <r>
    <s v="T01376"/>
    <d v="2025-05-11T00:00:00"/>
    <s v="BR002"/>
    <s v="P016"/>
    <s v="C0006"/>
    <n v="1"/>
    <n v="0"/>
    <n v="19500"/>
    <x v="1"/>
    <n v="19500"/>
    <x v="0"/>
  </r>
  <r>
    <s v="T00396"/>
    <d v="2025-11-05T00:00:00"/>
    <s v="BR001"/>
    <s v="P006"/>
    <s v="C0071"/>
    <n v="1"/>
    <n v="5"/>
    <n v="78000"/>
    <x v="2"/>
    <n v="74100"/>
    <x v="1"/>
  </r>
  <r>
    <s v="T00505"/>
    <d v="2025-11-24T00:00:00"/>
    <s v="BR003"/>
    <s v="P002"/>
    <s v="C0108"/>
    <n v="1"/>
    <n v="0"/>
    <n v="320000"/>
    <x v="0"/>
    <n v="320000"/>
    <x v="1"/>
  </r>
  <r>
    <s v="T00400"/>
    <d v="2025-06-20T00:00:00"/>
    <s v="BR001"/>
    <s v="P012"/>
    <s v="C0079"/>
    <n v="1"/>
    <n v="5"/>
    <n v="28000"/>
    <x v="2"/>
    <n v="26600"/>
    <x v="0"/>
  </r>
  <r>
    <s v="T00879"/>
    <d v="2025-08-28T00:00:00"/>
    <s v="BR004"/>
    <s v="P019"/>
    <s v="C0089"/>
    <n v="1"/>
    <n v="0"/>
    <n v="21000"/>
    <x v="3"/>
    <n v="21000"/>
    <x v="3"/>
  </r>
  <r>
    <s v="T01201"/>
    <d v="2025-03-03T00:00:00"/>
    <s v="BR003"/>
    <s v="P014"/>
    <s v="C0212"/>
    <n v="1"/>
    <n v="0"/>
    <n v="285000"/>
    <x v="0"/>
    <n v="285000"/>
    <x v="0"/>
  </r>
  <r>
    <s v="T00903"/>
    <d v="2025-02-04T00:00:00"/>
    <s v="BR001"/>
    <s v="P024"/>
    <s v="C0077"/>
    <n v="5"/>
    <n v="0"/>
    <n v="245000"/>
    <x v="2"/>
    <n v="1225000"/>
    <x v="2"/>
  </r>
  <r>
    <s v="T00901"/>
    <d v="2025-12-12T00:00:00"/>
    <s v="BR001"/>
    <s v="P004"/>
    <s v="C0087"/>
    <n v="5"/>
    <n v="5"/>
    <n v="38000"/>
    <x v="2"/>
    <n v="180500"/>
    <x v="1"/>
  </r>
  <r>
    <s v="T00225"/>
    <d v="2025-12-25T00:00:00"/>
    <s v="BR001"/>
    <s v="P004"/>
    <s v="C0003"/>
    <n v="1"/>
    <n v="10"/>
    <n v="38000"/>
    <x v="2"/>
    <n v="34200"/>
    <x v="1"/>
  </r>
  <r>
    <s v="T00982"/>
    <d v="2025-11-25T00:00:00"/>
    <s v="BR002"/>
    <s v="P023"/>
    <s v="C0030"/>
    <n v="1"/>
    <n v="15"/>
    <n v="195000"/>
    <x v="1"/>
    <n v="165750"/>
    <x v="2"/>
  </r>
  <r>
    <s v="T01174"/>
    <d v="2025-01-12T00:00:00"/>
    <s v="BR004"/>
    <s v="P009"/>
    <s v="C0211"/>
    <n v="1"/>
    <n v="25"/>
    <n v="265000"/>
    <x v="3"/>
    <n v="198750"/>
    <x v="0"/>
  </r>
  <r>
    <s v="T00356"/>
    <d v="2025-03-12T00:00:00"/>
    <s v="BR001"/>
    <s v="P015"/>
    <s v="C0001"/>
    <n v="1"/>
    <n v="0"/>
    <n v="15000"/>
    <x v="2"/>
    <n v="15000"/>
    <x v="0"/>
  </r>
  <r>
    <s v="T01146"/>
    <d v="2025-08-25T00:00:00"/>
    <s v="BR002"/>
    <s v="P004"/>
    <s v="C0085"/>
    <n v="1"/>
    <n v="15"/>
    <n v="38000"/>
    <x v="1"/>
    <n v="32300"/>
    <x v="1"/>
  </r>
  <r>
    <s v="T00472"/>
    <d v="2025-03-21T00:00:00"/>
    <s v="BR001"/>
    <s v="P007"/>
    <s v="C0220"/>
    <n v="1"/>
    <n v="5"/>
    <n v="145000"/>
    <x v="2"/>
    <n v="137750"/>
    <x v="1"/>
  </r>
  <r>
    <s v="T00964"/>
    <d v="2025-08-13T00:00:00"/>
    <s v="BR003"/>
    <s v="P023"/>
    <s v="C0003"/>
    <n v="1"/>
    <n v="0"/>
    <n v="195000"/>
    <x v="0"/>
    <n v="195000"/>
    <x v="2"/>
  </r>
  <r>
    <s v="T00863"/>
    <d v="2025-11-17T00:00:00"/>
    <s v="BR002"/>
    <s v="P011"/>
    <s v="C0099"/>
    <n v="1"/>
    <n v="10"/>
    <n v="74000"/>
    <x v="1"/>
    <n v="66600"/>
    <x v="0"/>
  </r>
  <r>
    <s v="T00852"/>
    <d v="2025-12-18T00:00:00"/>
    <s v="BR002"/>
    <s v="P005"/>
    <s v="C0131"/>
    <n v="1"/>
    <n v="0"/>
    <n v="95000"/>
    <x v="1"/>
    <n v="95000"/>
    <x v="1"/>
  </r>
  <r>
    <s v="T00955"/>
    <d v="2025-12-22T00:00:00"/>
    <s v="BR001"/>
    <s v="P024"/>
    <s v="C0149"/>
    <n v="1"/>
    <n v="20"/>
    <n v="245000"/>
    <x v="2"/>
    <n v="196000"/>
    <x v="2"/>
  </r>
  <r>
    <s v="T01008"/>
    <d v="2025-10-07T00:00:00"/>
    <s v="BR001"/>
    <s v="P002"/>
    <s v="C0189"/>
    <n v="5"/>
    <n v="0"/>
    <n v="320000"/>
    <x v="2"/>
    <n v="1600000"/>
    <x v="1"/>
  </r>
  <r>
    <s v="T00027"/>
    <d v="2025-12-03T00:00:00"/>
    <s v="BR001"/>
    <s v="P015"/>
    <s v="C0066"/>
    <n v="1"/>
    <n v="20"/>
    <n v="15000"/>
    <x v="2"/>
    <n v="12000"/>
    <x v="0"/>
  </r>
  <r>
    <s v="T01043"/>
    <d v="2025-05-15T00:00:00"/>
    <s v="BR001"/>
    <s v="P004"/>
    <s v="C0188"/>
    <n v="2"/>
    <n v="20"/>
    <n v="38000"/>
    <x v="2"/>
    <n v="60800"/>
    <x v="1"/>
  </r>
  <r>
    <s v="T00359"/>
    <d v="2025-09-22T00:00:00"/>
    <s v="BR003"/>
    <s v="P006"/>
    <s v="C0082"/>
    <n v="2"/>
    <n v="0"/>
    <n v="78000"/>
    <x v="0"/>
    <n v="156000"/>
    <x v="1"/>
  </r>
  <r>
    <s v="T00279"/>
    <d v="2025-12-04T00:00:00"/>
    <s v="BR002"/>
    <s v="P020"/>
    <s v="C0183"/>
    <n v="1"/>
    <n v="5"/>
    <n v="8500"/>
    <x v="1"/>
    <n v="8075"/>
    <x v="3"/>
  </r>
  <r>
    <s v="T00572"/>
    <d v="2025-06-11T00:00:00"/>
    <s v="BR001"/>
    <s v="P012"/>
    <s v="C0217"/>
    <n v="1"/>
    <n v="0"/>
    <n v="28000"/>
    <x v="2"/>
    <n v="28000"/>
    <x v="0"/>
  </r>
  <r>
    <s v="T01298"/>
    <d v="2025-04-15T00:00:00"/>
    <s v="BR002"/>
    <s v="P009"/>
    <s v="C0078"/>
    <n v="1"/>
    <n v="0"/>
    <n v="265000"/>
    <x v="1"/>
    <n v="265000"/>
    <x v="0"/>
  </r>
  <r>
    <s v="T00004"/>
    <d v="2025-11-08T00:00:00"/>
    <s v="BR003"/>
    <s v="P017"/>
    <s v="C0092"/>
    <n v="1"/>
    <n v="5"/>
    <n v="24000"/>
    <x v="0"/>
    <n v="22800"/>
    <x v="0"/>
  </r>
  <r>
    <s v="T00024"/>
    <d v="2025-06-05T00:00:00"/>
    <s v="BR003"/>
    <s v="P002"/>
    <s v="C0119"/>
    <n v="2"/>
    <n v="20"/>
    <n v="320000"/>
    <x v="0"/>
    <n v="512000"/>
    <x v="1"/>
  </r>
  <r>
    <s v="T01228"/>
    <d v="2025-10-11T00:00:00"/>
    <s v="BR002"/>
    <s v="P001"/>
    <s v="C0207"/>
    <n v="1"/>
    <n v="0"/>
    <n v="185000"/>
    <x v="1"/>
    <n v="185000"/>
    <x v="1"/>
  </r>
  <r>
    <s v="T00489"/>
    <d v="2025-02-11T00:00:00"/>
    <s v="BR004"/>
    <s v="P023"/>
    <s v="C0195"/>
    <n v="2"/>
    <n v="15"/>
    <n v="195000"/>
    <x v="3"/>
    <n v="331500"/>
    <x v="2"/>
  </r>
  <r>
    <s v="T00348"/>
    <d v="2025-11-26T00:00:00"/>
    <s v="BR002"/>
    <s v="P013"/>
    <s v="C0141"/>
    <n v="1"/>
    <n v="25"/>
    <n v="22000"/>
    <x v="1"/>
    <n v="16500"/>
    <x v="0"/>
  </r>
  <r>
    <s v="T01164"/>
    <d v="2025-09-05T00:00:00"/>
    <s v="BR002"/>
    <s v="P018"/>
    <s v="C0118"/>
    <n v="1"/>
    <n v="0"/>
    <n v="18000"/>
    <x v="1"/>
    <n v="18000"/>
    <x v="3"/>
  </r>
  <r>
    <s v="T01018"/>
    <d v="2025-06-24T00:00:00"/>
    <s v="BR001"/>
    <s v="P018"/>
    <s v="C0065"/>
    <n v="3"/>
    <n v="15"/>
    <n v="18000"/>
    <x v="2"/>
    <n v="45900"/>
    <x v="3"/>
  </r>
  <r>
    <s v="T01014"/>
    <d v="2025-06-11T00:00:00"/>
    <s v="BR001"/>
    <s v="P012"/>
    <s v="C0218"/>
    <n v="1"/>
    <n v="0"/>
    <n v="28000"/>
    <x v="2"/>
    <n v="28000"/>
    <x v="0"/>
  </r>
  <r>
    <s v="T00908"/>
    <d v="2025-08-05T00:00:00"/>
    <s v="BR004"/>
    <s v="P010"/>
    <s v="C0057"/>
    <n v="1"/>
    <n v="0"/>
    <n v="62000"/>
    <x v="3"/>
    <n v="62000"/>
    <x v="0"/>
  </r>
  <r>
    <s v="T01119"/>
    <d v="2025-07-10T00:00:00"/>
    <s v="BR001"/>
    <s v="P014"/>
    <s v="C0217"/>
    <n v="1"/>
    <n v="0"/>
    <n v="285000"/>
    <x v="2"/>
    <n v="285000"/>
    <x v="0"/>
  </r>
  <r>
    <s v="T00594"/>
    <d v="2025-11-02T00:00:00"/>
    <s v="BR002"/>
    <s v="P007"/>
    <s v="C0103"/>
    <n v="1"/>
    <n v="5"/>
    <n v="145000"/>
    <x v="1"/>
    <n v="137750"/>
    <x v="1"/>
  </r>
  <r>
    <s v="T01265"/>
    <d v="2025-03-01T00:00:00"/>
    <s v="BR003"/>
    <s v="P002"/>
    <s v="C0044"/>
    <n v="1"/>
    <n v="5"/>
    <n v="320000"/>
    <x v="0"/>
    <n v="304000"/>
    <x v="1"/>
  </r>
  <r>
    <s v="T00380"/>
    <d v="2025-06-02T00:00:00"/>
    <s v="BR001"/>
    <s v="P007"/>
    <s v="C0013"/>
    <n v="1"/>
    <n v="0"/>
    <n v="145000"/>
    <x v="2"/>
    <n v="145000"/>
    <x v="1"/>
  </r>
  <r>
    <s v="T00783"/>
    <d v="2025-01-03T00:00:00"/>
    <s v="BR002"/>
    <s v="P015"/>
    <s v="C0075"/>
    <n v="1"/>
    <n v="0"/>
    <n v="15000"/>
    <x v="1"/>
    <n v="15000"/>
    <x v="0"/>
  </r>
  <r>
    <s v="T00375"/>
    <d v="2025-04-21T00:00:00"/>
    <s v="BR001"/>
    <s v="P010"/>
    <s v="C0167"/>
    <n v="1"/>
    <n v="10"/>
    <n v="62000"/>
    <x v="2"/>
    <n v="55800"/>
    <x v="0"/>
  </r>
  <r>
    <s v="T01216"/>
    <d v="2025-11-16T00:00:00"/>
    <s v="BR002"/>
    <s v="P009"/>
    <s v="C0008"/>
    <n v="1"/>
    <n v="10"/>
    <n v="265000"/>
    <x v="1"/>
    <n v="238500"/>
    <x v="0"/>
  </r>
  <r>
    <s v="T00574"/>
    <d v="2025-11-06T00:00:00"/>
    <s v="BR001"/>
    <s v="P011"/>
    <s v="C0181"/>
    <n v="1"/>
    <n v="0"/>
    <n v="74000"/>
    <x v="2"/>
    <n v="74000"/>
    <x v="0"/>
  </r>
  <r>
    <s v="T00810"/>
    <d v="2025-11-01T00:00:00"/>
    <s v="BR001"/>
    <s v="P019"/>
    <s v="C0177"/>
    <n v="1"/>
    <n v="5"/>
    <n v="21000"/>
    <x v="2"/>
    <n v="19950"/>
    <x v="3"/>
  </r>
  <r>
    <s v="T00452"/>
    <d v="2025-08-01T00:00:00"/>
    <s v="BR002"/>
    <s v="P016"/>
    <s v="C0141"/>
    <n v="1"/>
    <n v="0"/>
    <n v="19500"/>
    <x v="1"/>
    <n v="19500"/>
    <x v="0"/>
  </r>
  <r>
    <s v="T00479"/>
    <d v="2025-12-16T00:00:00"/>
    <s v="BR003"/>
    <s v="P002"/>
    <s v="C0079"/>
    <n v="1"/>
    <n v="10"/>
    <n v="320000"/>
    <x v="0"/>
    <n v="288000"/>
    <x v="1"/>
  </r>
  <r>
    <s v="T00232"/>
    <d v="2025-07-01T00:00:00"/>
    <s v="BR002"/>
    <s v="P018"/>
    <s v="C0026"/>
    <n v="1"/>
    <n v="0"/>
    <n v="18000"/>
    <x v="1"/>
    <n v="18000"/>
    <x v="3"/>
  </r>
  <r>
    <s v="T00148"/>
    <d v="2025-08-26T00:00:00"/>
    <s v="BR004"/>
    <s v="P002"/>
    <s v="C0106"/>
    <n v="2"/>
    <n v="0"/>
    <n v="320000"/>
    <x v="3"/>
    <n v="640000"/>
    <x v="1"/>
  </r>
  <r>
    <s v="T01009"/>
    <d v="2025-06-10T00:00:00"/>
    <s v="BR001"/>
    <s v="P018"/>
    <s v="C0026"/>
    <n v="2"/>
    <n v="0"/>
    <n v="18000"/>
    <x v="2"/>
    <n v="36000"/>
    <x v="3"/>
  </r>
  <r>
    <s v="T00168"/>
    <d v="2025-05-08T00:00:00"/>
    <s v="BR004"/>
    <s v="P008"/>
    <s v="C0110"/>
    <n v="1"/>
    <n v="0"/>
    <n v="410000"/>
    <x v="3"/>
    <n v="410000"/>
    <x v="0"/>
  </r>
  <r>
    <s v="T00073"/>
    <d v="2025-02-11T00:00:00"/>
    <s v="BR002"/>
    <s v="P011"/>
    <s v="C0220"/>
    <n v="1"/>
    <n v="5"/>
    <n v="74000"/>
    <x v="1"/>
    <n v="70300"/>
    <x v="0"/>
  </r>
  <r>
    <s v="T00071"/>
    <d v="2025-07-12T00:00:00"/>
    <s v="BR002"/>
    <s v="P020"/>
    <s v="C0092"/>
    <n v="1"/>
    <n v="15"/>
    <n v="8500"/>
    <x v="1"/>
    <n v="7225"/>
    <x v="3"/>
  </r>
  <r>
    <s v="T00595"/>
    <d v="2025-12-06T00:00:00"/>
    <s v="BR003"/>
    <s v="P011"/>
    <s v="C0050"/>
    <n v="1"/>
    <n v="20"/>
    <n v="74000"/>
    <x v="0"/>
    <n v="59200"/>
    <x v="0"/>
  </r>
  <r>
    <s v="T01189"/>
    <d v="2025-03-06T00:00:00"/>
    <s v="BR004"/>
    <s v="P023"/>
    <s v="C0122"/>
    <n v="2"/>
    <n v="0"/>
    <n v="195000"/>
    <x v="3"/>
    <n v="390000"/>
    <x v="2"/>
  </r>
  <r>
    <s v="T00172"/>
    <d v="2025-06-25T00:00:00"/>
    <s v="BR004"/>
    <s v="P014"/>
    <s v="C0003"/>
    <n v="1"/>
    <n v="0"/>
    <n v="285000"/>
    <x v="3"/>
    <n v="285000"/>
    <x v="0"/>
  </r>
  <r>
    <s v="T00131"/>
    <d v="2025-12-23T00:00:00"/>
    <s v="BR002"/>
    <s v="P003"/>
    <s v="C0097"/>
    <n v="1"/>
    <n v="5"/>
    <n v="45000"/>
    <x v="1"/>
    <n v="42750"/>
    <x v="1"/>
  </r>
  <r>
    <s v="T00169"/>
    <d v="2025-06-19T00:00:00"/>
    <s v="BR004"/>
    <s v="P006"/>
    <s v="C0010"/>
    <n v="3"/>
    <n v="5"/>
    <n v="78000"/>
    <x v="3"/>
    <n v="222300"/>
    <x v="1"/>
  </r>
  <r>
    <s v="T00265"/>
    <d v="2025-05-06T00:00:00"/>
    <s v="BR004"/>
    <s v="P003"/>
    <s v="C0044"/>
    <n v="1"/>
    <n v="10"/>
    <n v="45000"/>
    <x v="3"/>
    <n v="40500"/>
    <x v="1"/>
  </r>
  <r>
    <s v="T00514"/>
    <d v="2025-01-11T00:00:00"/>
    <s v="BR003"/>
    <s v="P002"/>
    <s v="C0052"/>
    <n v="1"/>
    <n v="5"/>
    <n v="320000"/>
    <x v="0"/>
    <n v="304000"/>
    <x v="1"/>
  </r>
  <r>
    <s v="T01290"/>
    <d v="2025-02-13T00:00:00"/>
    <s v="BR002"/>
    <s v="P022"/>
    <s v="C0172"/>
    <n v="1"/>
    <n v="0"/>
    <n v="5200"/>
    <x v="1"/>
    <n v="5200"/>
    <x v="3"/>
  </r>
  <r>
    <s v="T00948"/>
    <d v="2025-01-23T00:00:00"/>
    <s v="BR004"/>
    <s v="P011"/>
    <s v="C0047"/>
    <n v="2"/>
    <n v="5"/>
    <n v="74000"/>
    <x v="3"/>
    <n v="140600"/>
    <x v="0"/>
  </r>
  <r>
    <s v="T00273"/>
    <d v="2025-01-15T00:00:00"/>
    <s v="BR001"/>
    <s v="P008"/>
    <s v="C0093"/>
    <n v="2"/>
    <n v="5"/>
    <n v="410000"/>
    <x v="2"/>
    <n v="779000"/>
    <x v="0"/>
  </r>
  <r>
    <s v="T01195"/>
    <d v="2025-09-11T00:00:00"/>
    <s v="BR003"/>
    <s v="P012"/>
    <s v="C0059"/>
    <n v="2"/>
    <n v="0"/>
    <n v="28000"/>
    <x v="0"/>
    <n v="56000"/>
    <x v="0"/>
  </r>
  <r>
    <s v="T00421"/>
    <d v="2025-11-01T00:00:00"/>
    <s v="BR002"/>
    <s v="P001"/>
    <s v="C0016"/>
    <n v="1"/>
    <n v="0"/>
    <n v="185000"/>
    <x v="1"/>
    <n v="185000"/>
    <x v="1"/>
  </r>
  <r>
    <s v="T00511"/>
    <d v="2025-11-15T00:00:00"/>
    <s v="BR002"/>
    <s v="P007"/>
    <s v="C0002"/>
    <n v="2"/>
    <n v="30"/>
    <n v="145000"/>
    <x v="1"/>
    <n v="203000"/>
    <x v="1"/>
  </r>
  <r>
    <s v="T01063"/>
    <d v="2025-06-02T00:00:00"/>
    <s v="BR001"/>
    <s v="P023"/>
    <s v="C0016"/>
    <n v="1"/>
    <n v="5"/>
    <n v="195000"/>
    <x v="2"/>
    <n v="185250"/>
    <x v="2"/>
  </r>
  <r>
    <s v="T00921"/>
    <d v="2025-09-01T00:00:00"/>
    <s v="BR002"/>
    <s v="P021"/>
    <s v="C0172"/>
    <n v="1"/>
    <n v="5"/>
    <n v="6500"/>
    <x v="1"/>
    <n v="6175"/>
    <x v="3"/>
  </r>
  <r>
    <s v="T01117"/>
    <d v="2025-11-23T00:00:00"/>
    <s v="BR002"/>
    <s v="P001"/>
    <s v="C0132"/>
    <n v="1"/>
    <n v="5"/>
    <n v="185000"/>
    <x v="1"/>
    <n v="175750"/>
    <x v="1"/>
  </r>
  <r>
    <s v="T00043"/>
    <d v="2025-01-03T00:00:00"/>
    <s v="BR003"/>
    <s v="P023"/>
    <s v="C0028"/>
    <n v="1"/>
    <n v="0"/>
    <n v="195000"/>
    <x v="0"/>
    <n v="195000"/>
    <x v="2"/>
  </r>
  <r>
    <s v="T00057"/>
    <d v="2025-07-19T00:00:00"/>
    <s v="BR001"/>
    <s v="P023"/>
    <s v="C0029"/>
    <n v="1"/>
    <n v="15"/>
    <n v="195000"/>
    <x v="2"/>
    <n v="165750"/>
    <x v="2"/>
  </r>
  <r>
    <s v="T01246"/>
    <d v="2025-04-08T00:00:00"/>
    <s v="BR001"/>
    <s v="P023"/>
    <s v="C0151"/>
    <n v="2"/>
    <n v="5"/>
    <n v="195000"/>
    <x v="2"/>
    <n v="370500"/>
    <x v="2"/>
  </r>
  <r>
    <s v="T00621"/>
    <d v="2025-05-07T00:00:00"/>
    <s v="BR004"/>
    <s v="P018"/>
    <s v="C0189"/>
    <n v="3"/>
    <n v="5"/>
    <n v="18000"/>
    <x v="3"/>
    <n v="51300"/>
    <x v="3"/>
  </r>
  <r>
    <s v="T00133"/>
    <d v="2025-12-27T00:00:00"/>
    <s v="BR002"/>
    <s v="P012"/>
    <s v="C0052"/>
    <n v="1"/>
    <n v="20"/>
    <n v="28000"/>
    <x v="1"/>
    <n v="22400"/>
    <x v="0"/>
  </r>
  <r>
    <s v="T01166"/>
    <s v="17/01/2025"/>
    <s v="BR002"/>
    <s v="P014"/>
    <s v="C0069"/>
    <n v="1"/>
    <n v="20"/>
    <n v="285000"/>
    <x v="1"/>
    <n v="228000"/>
    <x v="0"/>
  </r>
  <r>
    <s v="T01106"/>
    <d v="2025-06-05T00:00:00"/>
    <s v="BR001"/>
    <s v="P010"/>
    <s v="C0036"/>
    <n v="2"/>
    <n v="0"/>
    <n v="62000"/>
    <x v="2"/>
    <n v="124000"/>
    <x v="0"/>
  </r>
  <r>
    <s v="T00039"/>
    <d v="2025-01-17T00:00:00"/>
    <s v="BR001"/>
    <s v="P001"/>
    <s v="C0021"/>
    <n v="1"/>
    <n v="15"/>
    <n v="185000"/>
    <x v="2"/>
    <n v="157250"/>
    <x v="1"/>
  </r>
  <r>
    <s v="T00307"/>
    <d v="2025-12-25T00:00:00"/>
    <s v="BR001"/>
    <s v="P023"/>
    <s v="C0029"/>
    <n v="1"/>
    <n v="20"/>
    <n v="195000"/>
    <x v="2"/>
    <n v="156000"/>
    <x v="2"/>
  </r>
  <r>
    <s v="T00507"/>
    <d v="2025-01-08T00:00:00"/>
    <s v="BR004"/>
    <s v="P004"/>
    <s v="C0196"/>
    <n v="1"/>
    <n v="10"/>
    <n v="38000"/>
    <x v="3"/>
    <n v="34200"/>
    <x v="1"/>
  </r>
  <r>
    <s v="T00778"/>
    <d v="2025-03-28T00:00:00"/>
    <s v="BR001"/>
    <s v="P025"/>
    <s v="C0032"/>
    <n v="1"/>
    <n v="15"/>
    <n v="175000"/>
    <x v="2"/>
    <n v="148750"/>
    <x v="2"/>
  </r>
  <r>
    <s v="T00548"/>
    <d v="2025-04-07T00:00:00"/>
    <s v="BR001"/>
    <s v="P021"/>
    <s v="C0141"/>
    <n v="1"/>
    <n v="10"/>
    <n v="6500"/>
    <x v="2"/>
    <n v="5850"/>
    <x v="3"/>
  </r>
  <r>
    <s v="T00271"/>
    <d v="2025-12-14T00:00:00"/>
    <s v="BR003"/>
    <s v="P020"/>
    <s v="C0116"/>
    <n v="1"/>
    <n v="10"/>
    <n v="8500"/>
    <x v="0"/>
    <n v="7650"/>
    <x v="3"/>
  </r>
  <r>
    <s v="T00409"/>
    <d v="2025-03-04T00:00:00"/>
    <s v="BR004"/>
    <s v="P008"/>
    <s v="C0196"/>
    <n v="3"/>
    <n v="0"/>
    <n v="410000"/>
    <x v="3"/>
    <n v="1230000"/>
    <x v="0"/>
  </r>
  <r>
    <s v="T01076"/>
    <d v="2025-01-12T00:00:00"/>
    <s v="BR002"/>
    <s v="P012"/>
    <s v="C0079"/>
    <n v="1"/>
    <n v="0"/>
    <n v="28000"/>
    <x v="1"/>
    <n v="28000"/>
    <x v="0"/>
  </r>
  <r>
    <s v="T01241"/>
    <d v="2025-03-04T00:00:00"/>
    <s v="BR001"/>
    <s v="P020"/>
    <s v="C0161"/>
    <n v="2"/>
    <n v="0"/>
    <n v="8500"/>
    <x v="2"/>
    <n v="17000"/>
    <x v="3"/>
  </r>
  <r>
    <s v="T00167"/>
    <d v="2025-07-23T00:00:00"/>
    <s v="BR003"/>
    <s v="P015"/>
    <s v="C0065"/>
    <n v="1"/>
    <n v="0"/>
    <n v="15000"/>
    <x v="0"/>
    <n v="15000"/>
    <x v="0"/>
  </r>
  <r>
    <s v="T00721"/>
    <d v="2025-01-09T00:00:00"/>
    <s v="BR001"/>
    <s v="P025"/>
    <s v="C0080"/>
    <n v="1"/>
    <n v="15"/>
    <n v="175000"/>
    <x v="2"/>
    <n v="148750"/>
    <x v="2"/>
  </r>
  <r>
    <s v="T00072"/>
    <d v="2025-12-14T00:00:00"/>
    <s v="BR004"/>
    <s v="P025"/>
    <s v="C0056"/>
    <n v="1"/>
    <n v="5"/>
    <n v="175000"/>
    <x v="3"/>
    <n v="166250"/>
    <x v="2"/>
  </r>
  <r>
    <s v="T00562"/>
    <d v="2025-04-20T00:00:00"/>
    <s v="BR004"/>
    <s v="P005"/>
    <s v="C0201"/>
    <n v="2"/>
    <n v="5"/>
    <n v="95000"/>
    <x v="3"/>
    <n v="180500"/>
    <x v="1"/>
  </r>
  <r>
    <s v="T00957"/>
    <d v="2025-07-17T00:00:00"/>
    <s v="BR001"/>
    <s v="P022"/>
    <s v="C0086"/>
    <n v="1"/>
    <n v="5"/>
    <n v="5200"/>
    <x v="2"/>
    <n v="4940"/>
    <x v="3"/>
  </r>
  <r>
    <s v="T00983"/>
    <d v="2025-08-05T00:00:00"/>
    <s v="BR002"/>
    <s v="P021"/>
    <s v="C0044"/>
    <n v="1"/>
    <n v="10"/>
    <n v="6500"/>
    <x v="1"/>
    <n v="5850"/>
    <x v="3"/>
  </r>
  <r>
    <s v="T00541"/>
    <d v="2025-11-24T00:00:00"/>
    <s v="BR001"/>
    <s v="P003"/>
    <s v="C0092"/>
    <n v="2"/>
    <n v="20"/>
    <n v="45000"/>
    <x v="2"/>
    <n v="72000"/>
    <x v="1"/>
  </r>
  <r>
    <s v="T01140"/>
    <d v="2025-02-03T00:00:00"/>
    <s v="BR004"/>
    <s v="P017"/>
    <s v="C0154"/>
    <n v="1"/>
    <n v="0"/>
    <n v="24000"/>
    <x v="3"/>
    <n v="24000"/>
    <x v="0"/>
  </r>
  <r>
    <s v="T01326"/>
    <d v="2025-07-20T00:00:00"/>
    <s v="BR004"/>
    <s v="P011"/>
    <s v="C0135"/>
    <n v="1"/>
    <n v="0"/>
    <n v="74000"/>
    <x v="3"/>
    <n v="74000"/>
    <x v="0"/>
  </r>
  <r>
    <s v="T00631"/>
    <d v="2025-04-24T00:00:00"/>
    <s v="BR001"/>
    <s v="P004"/>
    <s v="C0002"/>
    <n v="1"/>
    <n v="0"/>
    <n v="38000"/>
    <x v="2"/>
    <n v="38000"/>
    <x v="1"/>
  </r>
  <r>
    <s v="T00610"/>
    <d v="2025-11-04T00:00:00"/>
    <s v="BR004"/>
    <s v="P016"/>
    <s v="C0196"/>
    <n v="1"/>
    <n v="5"/>
    <n v="19500"/>
    <x v="3"/>
    <n v="18525"/>
    <x v="0"/>
  </r>
  <r>
    <s v="T00849"/>
    <d v="2025-09-26T00:00:00"/>
    <s v="BR001"/>
    <s v="P020"/>
    <s v="C0198"/>
    <n v="1"/>
    <n v="0"/>
    <n v="8500"/>
    <x v="2"/>
    <n v="8500"/>
    <x v="3"/>
  </r>
  <r>
    <s v="T00675"/>
    <d v="2025-02-08T00:00:00"/>
    <s v="BR001"/>
    <s v="P010"/>
    <s v="C0069"/>
    <n v="1"/>
    <n v="5"/>
    <n v="62000"/>
    <x v="2"/>
    <n v="58900"/>
    <x v="0"/>
  </r>
  <r>
    <s v="T00317"/>
    <d v="2025-11-05T00:00:00"/>
    <s v="BR001"/>
    <s v="P025"/>
    <s v="C0071"/>
    <n v="2"/>
    <n v="0"/>
    <n v="175000"/>
    <x v="2"/>
    <n v="350000"/>
    <x v="2"/>
  </r>
  <r>
    <s v="T00873"/>
    <d v="2025-12-16T00:00:00"/>
    <s v="BR001"/>
    <s v="P014"/>
    <s v="C0072"/>
    <n v="1"/>
    <n v="25"/>
    <n v="285000"/>
    <x v="2"/>
    <n v="213750"/>
    <x v="0"/>
  </r>
  <r>
    <s v="T01207"/>
    <d v="2025-03-14T00:00:00"/>
    <s v="BR001"/>
    <s v="P017"/>
    <s v="C0072"/>
    <n v="1"/>
    <n v="5"/>
    <n v="24000"/>
    <x v="2"/>
    <n v="22800"/>
    <x v="0"/>
  </r>
  <r>
    <s v="T00005"/>
    <d v="2025-05-23T00:00:00"/>
    <s v="BR001"/>
    <s v="P020"/>
    <s v="C0136"/>
    <n v="2"/>
    <n v="0"/>
    <n v="8500"/>
    <x v="2"/>
    <n v="17000"/>
    <x v="3"/>
  </r>
  <r>
    <s v="T00563"/>
    <d v="2025-11-20T00:00:00"/>
    <s v="BR002"/>
    <s v="P017"/>
    <s v="C0200"/>
    <n v="1"/>
    <n v="20"/>
    <n v="24000"/>
    <x v="1"/>
    <n v="19200"/>
    <x v="0"/>
  </r>
  <r>
    <s v="T00798"/>
    <d v="2025-07-11T00:00:00"/>
    <s v="BR001"/>
    <s v="P008"/>
    <s v="C0063"/>
    <n v="1"/>
    <n v="5"/>
    <n v="410000"/>
    <x v="2"/>
    <n v="389500"/>
    <x v="0"/>
  </r>
  <r>
    <s v="T00757"/>
    <d v="2025-08-15T00:00:00"/>
    <s v="BR004"/>
    <s v="P024"/>
    <s v="C0180"/>
    <n v="2"/>
    <n v="0"/>
    <n v="245000"/>
    <x v="3"/>
    <n v="490000"/>
    <x v="2"/>
  </r>
  <r>
    <s v="T01064"/>
    <d v="2025-04-05T00:00:00"/>
    <s v="BR001"/>
    <s v="P021"/>
    <s v="C0143"/>
    <n v="1"/>
    <n v="5"/>
    <n v="6500"/>
    <x v="2"/>
    <n v="6175"/>
    <x v="3"/>
  </r>
  <r>
    <s v="T01232"/>
    <d v="2025-12-11T00:00:00"/>
    <s v="BR002"/>
    <s v="P012"/>
    <s v="C0165"/>
    <n v="1"/>
    <n v="20"/>
    <n v="28000"/>
    <x v="1"/>
    <n v="22400"/>
    <x v="0"/>
  </r>
  <r>
    <s v="T00899"/>
    <d v="2025-04-08T00:00:00"/>
    <s v="BR003"/>
    <s v="P022"/>
    <s v="C0207"/>
    <n v="2"/>
    <n v="15"/>
    <n v="5200"/>
    <x v="0"/>
    <n v="8840"/>
    <x v="3"/>
  </r>
  <r>
    <s v="T00698"/>
    <d v="2025-10-25T00:00:00"/>
    <s v="BR001"/>
    <s v="P007"/>
    <s v="C0153"/>
    <n v="1"/>
    <n v="0"/>
    <n v="145000"/>
    <x v="2"/>
    <n v="145000"/>
    <x v="1"/>
  </r>
  <r>
    <s v="T00532"/>
    <d v="2025-10-18T00:00:00"/>
    <s v="BR002"/>
    <s v="P022"/>
    <s v="C0157"/>
    <n v="2"/>
    <n v="0"/>
    <n v="5200"/>
    <x v="1"/>
    <n v="10400"/>
    <x v="3"/>
  </r>
  <r>
    <s v="T01098"/>
    <d v="2025-05-15T00:00:00"/>
    <s v="BR001"/>
    <s v="P008"/>
    <s v="C0100"/>
    <n v="2"/>
    <n v="0"/>
    <n v="410000"/>
    <x v="2"/>
    <n v="820000"/>
    <x v="0"/>
  </r>
  <r>
    <s v="T01245"/>
    <d v="2025-03-15T00:00:00"/>
    <s v="BR001"/>
    <s v="P004"/>
    <s v="C0146"/>
    <n v="1"/>
    <n v="0"/>
    <n v="38000"/>
    <x v="2"/>
    <n v="38000"/>
    <x v="1"/>
  </r>
  <r>
    <s v="T01161"/>
    <d v="2025-10-19T00:00:00"/>
    <s v="BR001"/>
    <s v="P015"/>
    <s v="C0078"/>
    <n v="3"/>
    <n v="0"/>
    <n v="15000"/>
    <x v="2"/>
    <n v="45000"/>
    <x v="0"/>
  </r>
  <r>
    <s v="T00453"/>
    <d v="2025-12-06T00:00:00"/>
    <s v="BR002"/>
    <s v="P016"/>
    <s v="C0043"/>
    <n v="1"/>
    <n v="5"/>
    <n v="19500"/>
    <x v="1"/>
    <n v="18525"/>
    <x v="0"/>
  </r>
  <r>
    <s v="T00095"/>
    <d v="2025-12-22T00:00:00"/>
    <s v="BR001"/>
    <s v="P023"/>
    <s v="C0022"/>
    <n v="2"/>
    <n v="10"/>
    <n v="195000"/>
    <x v="2"/>
    <n v="351000"/>
    <x v="2"/>
  </r>
  <r>
    <s v="T00096"/>
    <d v="2025-08-15T00:00:00"/>
    <s v="BR003"/>
    <s v="P009"/>
    <s v="C0067"/>
    <n v="1"/>
    <n v="25"/>
    <n v="265000"/>
    <x v="0"/>
    <n v="198750"/>
    <x v="0"/>
  </r>
  <r>
    <s v="T00928"/>
    <d v="2025-11-24T00:00:00"/>
    <s v="BR001"/>
    <s v="P018"/>
    <s v="C0097"/>
    <n v="1"/>
    <n v="10"/>
    <n v="18000"/>
    <x v="2"/>
    <n v="16200"/>
    <x v="3"/>
  </r>
  <r>
    <s v="T00882"/>
    <d v="2025-09-03T00:00:00"/>
    <s v="BR001"/>
    <s v="P018"/>
    <s v="C0096"/>
    <n v="1"/>
    <n v="10"/>
    <n v="18000"/>
    <x v="2"/>
    <n v="16200"/>
    <x v="3"/>
  </r>
  <r>
    <s v="T00062"/>
    <d v="2025-12-16T00:00:00"/>
    <s v="BR003"/>
    <s v="P001"/>
    <s v="C0156"/>
    <n v="1"/>
    <n v="10"/>
    <n v="185000"/>
    <x v="0"/>
    <n v="166500"/>
    <x v="1"/>
  </r>
  <r>
    <s v="T01264"/>
    <d v="2025-12-10T00:00:00"/>
    <s v="BR001"/>
    <s v="P009"/>
    <s v="C0039"/>
    <n v="5"/>
    <n v="5"/>
    <n v="265000"/>
    <x v="2"/>
    <n v="1258750"/>
    <x v="0"/>
  </r>
  <r>
    <s v="T01392"/>
    <d v="2025-12-11T00:00:00"/>
    <s v="BR001"/>
    <s v="P009"/>
    <s v="C0122"/>
    <n v="2"/>
    <n v="10"/>
    <n v="265000"/>
    <x v="2"/>
    <n v="477000"/>
    <x v="0"/>
  </r>
  <r>
    <s v="T00889"/>
    <d v="2025-07-03T00:00:00"/>
    <s v="BR004"/>
    <s v="P019"/>
    <s v="C0172"/>
    <n v="1"/>
    <n v="10"/>
    <n v="21000"/>
    <x v="3"/>
    <n v="18900"/>
    <x v="3"/>
  </r>
  <r>
    <s v="T00245"/>
    <d v="2025-10-03T00:00:00"/>
    <s v="BR002"/>
    <s v="P016"/>
    <s v="C0008"/>
    <n v="2"/>
    <n v="15"/>
    <n v="19500"/>
    <x v="1"/>
    <n v="33150"/>
    <x v="0"/>
  </r>
  <r>
    <s v="T00026"/>
    <d v="2025-11-27T00:00:00"/>
    <s v="BR001"/>
    <s v="P014"/>
    <s v="C0202"/>
    <n v="2"/>
    <n v="5"/>
    <n v="285000"/>
    <x v="2"/>
    <n v="541500"/>
    <x v="0"/>
  </r>
  <r>
    <s v="T00223"/>
    <d v="2025-07-14T00:00:00"/>
    <s v="BR002"/>
    <s v="P017"/>
    <s v="C0117"/>
    <n v="1"/>
    <n v="0"/>
    <n v="24000"/>
    <x v="1"/>
    <n v="24000"/>
    <x v="0"/>
  </r>
  <r>
    <s v="T01361"/>
    <d v="2025-09-17T00:00:00"/>
    <s v="BR003"/>
    <s v="P024"/>
    <s v="C0043"/>
    <n v="1"/>
    <n v="0"/>
    <n v="245000"/>
    <x v="0"/>
    <n v="245000"/>
    <x v="2"/>
  </r>
  <r>
    <s v="T00106"/>
    <d v="2025-01-09T00:00:00"/>
    <s v="BR003"/>
    <s v="P014"/>
    <s v="C0040"/>
    <n v="1"/>
    <n v="0"/>
    <n v="285000"/>
    <x v="0"/>
    <n v="285000"/>
    <x v="0"/>
  </r>
  <r>
    <s v="T00659"/>
    <d v="2025-04-11T00:00:00"/>
    <s v="BR002"/>
    <s v="P011"/>
    <s v="C0086"/>
    <n v="1"/>
    <n v="10"/>
    <n v="74000"/>
    <x v="1"/>
    <n v="66600"/>
    <x v="0"/>
  </r>
  <r>
    <s v="T00510"/>
    <d v="2025-08-27T00:00:00"/>
    <s v="BR001"/>
    <s v="P015"/>
    <s v="C0140"/>
    <n v="1"/>
    <n v="0"/>
    <n v="15000"/>
    <x v="2"/>
    <n v="15000"/>
    <x v="0"/>
  </r>
  <r>
    <s v="T00132"/>
    <d v="2025-04-14T00:00:00"/>
    <s v="BR001"/>
    <s v="P025"/>
    <s v="C0139"/>
    <n v="1"/>
    <n v="0"/>
    <n v="175000"/>
    <x v="2"/>
    <n v="175000"/>
    <x v="2"/>
  </r>
  <r>
    <s v="T00900"/>
    <d v="2025-12-13T00:00:00"/>
    <s v="BR001"/>
    <s v="P009"/>
    <s v="C0114"/>
    <n v="2"/>
    <n v="5"/>
    <n v="265000"/>
    <x v="2"/>
    <n v="503500"/>
    <x v="0"/>
  </r>
  <r>
    <s v="T01239"/>
    <d v="2025-09-17T00:00:00"/>
    <s v="BR001"/>
    <s v="P021"/>
    <s v="C0198"/>
    <n v="2"/>
    <n v="0"/>
    <n v="6500"/>
    <x v="2"/>
    <n v="13000"/>
    <x v="3"/>
  </r>
  <r>
    <s v="T00509"/>
    <d v="2025-07-11T00:00:00"/>
    <s v="BR004"/>
    <s v="P002"/>
    <s v="C0072"/>
    <n v="1"/>
    <n v="20"/>
    <n v="320000"/>
    <x v="3"/>
    <n v="256000"/>
    <x v="1"/>
  </r>
  <r>
    <s v="T01129"/>
    <d v="2025-05-26T00:00:00"/>
    <s v="BR004"/>
    <s v="P018"/>
    <s v="C0189"/>
    <n v="1"/>
    <n v="0"/>
    <n v="18000"/>
    <x v="3"/>
    <n v="18000"/>
    <x v="3"/>
  </r>
  <r>
    <s v="T00076"/>
    <d v="2025-03-28T00:00:00"/>
    <s v="BR004"/>
    <s v="P019"/>
    <s v="C0165"/>
    <n v="2"/>
    <n v="0"/>
    <n v="21000"/>
    <x v="3"/>
    <n v="42000"/>
    <x v="3"/>
  </r>
  <r>
    <s v="T00037"/>
    <d v="2025-06-13T00:00:00"/>
    <s v="BR001"/>
    <s v="P003"/>
    <s v="C0112"/>
    <n v="2"/>
    <n v="0"/>
    <n v="45000"/>
    <x v="2"/>
    <n v="90000"/>
    <x v="1"/>
  </r>
  <r>
    <s v="T01238"/>
    <d v="2025-08-12T00:00:00"/>
    <s v="BR004"/>
    <s v="P023"/>
    <s v="C0016"/>
    <n v="1"/>
    <n v="0"/>
    <n v="195000"/>
    <x v="3"/>
    <n v="195000"/>
    <x v="2"/>
  </r>
  <r>
    <s v="T00058"/>
    <d v="2025-05-02T00:00:00"/>
    <s v="BR001"/>
    <s v="P012"/>
    <s v="C0102"/>
    <n v="2"/>
    <n v="0"/>
    <n v="28000"/>
    <x v="2"/>
    <n v="56000"/>
    <x v="0"/>
  </r>
  <r>
    <s v="T00197"/>
    <d v="2025-12-28T00:00:00"/>
    <s v="BR003"/>
    <s v="P010"/>
    <s v="C0033"/>
    <n v="1"/>
    <n v="10"/>
    <n v="62000"/>
    <x v="0"/>
    <n v="55800"/>
    <x v="0"/>
  </r>
  <r>
    <s v="T01372"/>
    <d v="2025-06-19T00:00:00"/>
    <s v="BR001"/>
    <s v="P017"/>
    <s v="C0106"/>
    <n v="1"/>
    <n v="10"/>
    <n v="24000"/>
    <x v="2"/>
    <n v="21600"/>
    <x v="0"/>
  </r>
  <r>
    <s v="T01301"/>
    <d v="2025-07-09T00:00:00"/>
    <s v="BR002"/>
    <s v="P021"/>
    <s v="C0105"/>
    <n v="1"/>
    <n v="15"/>
    <n v="6500"/>
    <x v="1"/>
    <n v="5525"/>
    <x v="3"/>
  </r>
  <r>
    <s v="T00587"/>
    <d v="2025-10-06T00:00:00"/>
    <s v="BR002"/>
    <s v="P022"/>
    <s v="C0166"/>
    <n v="1"/>
    <n v="0"/>
    <n v="5200"/>
    <x v="1"/>
    <n v="5200"/>
    <x v="3"/>
  </r>
  <r>
    <s v="T00478"/>
    <d v="2025-02-04T00:00:00"/>
    <s v="BR001"/>
    <s v="P023"/>
    <s v="C0206"/>
    <n v="1"/>
    <n v="15"/>
    <n v="195000"/>
    <x v="2"/>
    <n v="165750"/>
    <x v="2"/>
  </r>
  <r>
    <s v="T00087"/>
    <d v="2025-03-11T00:00:00"/>
    <s v="BR001"/>
    <s v="P012"/>
    <s v="C0065"/>
    <n v="1"/>
    <n v="15"/>
    <n v="28000"/>
    <x v="2"/>
    <n v="23800"/>
    <x v="0"/>
  </r>
  <r>
    <s v="T00335"/>
    <d v="2025-09-10T00:00:00"/>
    <s v="BR002"/>
    <s v="P017"/>
    <s v="C0036"/>
    <n v="1"/>
    <n v="0"/>
    <n v="24000"/>
    <x v="1"/>
    <n v="24000"/>
    <x v="0"/>
  </r>
  <r>
    <s v="T01118"/>
    <d v="2025-11-18T00:00:00"/>
    <s v="BR001"/>
    <s v="P019"/>
    <s v="C0107"/>
    <n v="1"/>
    <n v="0"/>
    <n v="21000"/>
    <x v="2"/>
    <n v="21000"/>
    <x v="3"/>
  </r>
  <r>
    <s v="T00719"/>
    <d v="2025-04-10T00:00:00"/>
    <s v="BR001"/>
    <s v="P001"/>
    <s v="C0202"/>
    <n v="1"/>
    <n v="0"/>
    <n v="185000"/>
    <x v="2"/>
    <n v="185000"/>
    <x v="1"/>
  </r>
  <r>
    <s v="T00790"/>
    <d v="2025-09-22T00:00:00"/>
    <s v="BR001"/>
    <s v="P024"/>
    <s v="C0201"/>
    <n v="2"/>
    <n v="0"/>
    <n v="245000"/>
    <x v="2"/>
    <n v="490000"/>
    <x v="2"/>
  </r>
  <r>
    <s v="T01090"/>
    <d v="2025-11-16T00:00:00"/>
    <s v="BR001"/>
    <s v="P005"/>
    <s v="C0190"/>
    <n v="1"/>
    <n v="10"/>
    <n v="95000"/>
    <x v="2"/>
    <n v="85500"/>
    <x v="1"/>
  </r>
  <r>
    <s v="T01095"/>
    <d v="2025-01-25T00:00:00"/>
    <s v="BR001"/>
    <s v="P019"/>
    <s v="C0197"/>
    <n v="1"/>
    <n v="0"/>
    <n v="21000"/>
    <x v="2"/>
    <n v="21000"/>
    <x v="3"/>
  </r>
  <r>
    <s v="T00539"/>
    <d v="2025-12-25T00:00:00"/>
    <s v="BR004"/>
    <s v="P010"/>
    <s v="C0012"/>
    <n v="1"/>
    <n v="5"/>
    <n v="62000"/>
    <x v="3"/>
    <n v="58900"/>
    <x v="0"/>
  </r>
  <r>
    <s v="T00673"/>
    <d v="2025-06-24T00:00:00"/>
    <s v="BR002"/>
    <s v="P017"/>
    <s v="C0182"/>
    <n v="1"/>
    <n v="5"/>
    <n v="24000"/>
    <x v="1"/>
    <n v="22800"/>
    <x v="0"/>
  </r>
  <r>
    <s v="T00419"/>
    <d v="2025-12-21T00:00:00"/>
    <s v="BR003"/>
    <s v="P003"/>
    <s v="C0134"/>
    <n v="1"/>
    <n v="10"/>
    <n v="45000"/>
    <x v="0"/>
    <n v="40500"/>
    <x v="1"/>
  </r>
  <r>
    <s v="T00831"/>
    <d v="2025-12-13T00:00:00"/>
    <s v="BR001"/>
    <s v="P017"/>
    <s v="C0036"/>
    <n v="1"/>
    <n v="0"/>
    <n v="24000"/>
    <x v="2"/>
    <n v="24000"/>
    <x v="0"/>
  </r>
  <r>
    <s v="T01314"/>
    <d v="2025-06-17T00:00:00"/>
    <s v="BR001"/>
    <s v="P011"/>
    <s v="C0142"/>
    <n v="3"/>
    <n v="0"/>
    <n v="74000"/>
    <x v="2"/>
    <n v="222000"/>
    <x v="0"/>
  </r>
  <r>
    <s v="T00993"/>
    <d v="2025-11-26T00:00:00"/>
    <s v="BR002"/>
    <s v="P016"/>
    <s v="C0128"/>
    <n v="1"/>
    <n v="0"/>
    <n v="19500"/>
    <x v="1"/>
    <n v="19500"/>
    <x v="0"/>
  </r>
  <r>
    <s v="T00718"/>
    <d v="2025-11-15T00:00:00"/>
    <s v="BR001"/>
    <s v="P018"/>
    <s v="C0148"/>
    <n v="1"/>
    <n v="20"/>
    <n v="18000"/>
    <x v="2"/>
    <n v="14400"/>
    <x v="3"/>
  </r>
  <r>
    <s v="T01191"/>
    <d v="2025-11-19T00:00:00"/>
    <s v="BR002"/>
    <s v="P010"/>
    <s v="C0112"/>
    <n v="2"/>
    <n v="0"/>
    <n v="62000"/>
    <x v="1"/>
    <n v="124000"/>
    <x v="0"/>
  </r>
  <r>
    <s v="T01024"/>
    <d v="2025-10-16T00:00:00"/>
    <s v="BR001"/>
    <s v="P002"/>
    <s v="C0164"/>
    <n v="2"/>
    <n v="0"/>
    <n v="320000"/>
    <x v="2"/>
    <n v="640000"/>
    <x v="1"/>
  </r>
  <r>
    <s v="T00768"/>
    <d v="2025-11-02T00:00:00"/>
    <s v="BR001"/>
    <s v="P006"/>
    <s v="C0143"/>
    <n v="1"/>
    <n v="10"/>
    <n v="78000"/>
    <x v="2"/>
    <n v="70200"/>
    <x v="1"/>
  </r>
  <r>
    <s v="T01302"/>
    <d v="2025-10-27T00:00:00"/>
    <s v="BR004"/>
    <s v="P016"/>
    <s v="C0057"/>
    <n v="5"/>
    <n v="5"/>
    <n v="19500"/>
    <x v="3"/>
    <n v="92625"/>
    <x v="0"/>
  </r>
  <r>
    <s v="T01032"/>
    <d v="2025-07-18T00:00:00"/>
    <s v="BR003"/>
    <s v="P014"/>
    <s v="C0150"/>
    <n v="1"/>
    <n v="0"/>
    <n v="285000"/>
    <x v="0"/>
    <n v="285000"/>
    <x v="0"/>
  </r>
  <r>
    <s v="T01028"/>
    <d v="2025-11-03T00:00:00"/>
    <s v="BR004"/>
    <s v="P012"/>
    <s v="C0041"/>
    <n v="1"/>
    <n v="20"/>
    <n v="28000"/>
    <x v="3"/>
    <n v="22400"/>
    <x v="0"/>
  </r>
  <r>
    <s v="T01135"/>
    <d v="2025-12-19T00:00:00"/>
    <s v="BR001"/>
    <s v="P005"/>
    <s v="C0199"/>
    <n v="2"/>
    <n v="15"/>
    <n v="95000"/>
    <x v="2"/>
    <n v="161500"/>
    <x v="1"/>
  </r>
  <r>
    <s v="T01103"/>
    <d v="2025-03-16T00:00:00"/>
    <s v="BR004"/>
    <s v="P022"/>
    <s v="C0220"/>
    <n v="2"/>
    <n v="15"/>
    <n v="5200"/>
    <x v="3"/>
    <n v="8840"/>
    <x v="3"/>
  </r>
  <r>
    <s v="T00009"/>
    <d v="2025-02-15T00:00:00"/>
    <s v="BR004"/>
    <s v="P008"/>
    <s v="C0089"/>
    <n v="1"/>
    <n v="0"/>
    <n v="410000"/>
    <x v="3"/>
    <n v="410000"/>
    <x v="0"/>
  </r>
  <r>
    <s v="T00811"/>
    <d v="2025-05-10T00:00:00"/>
    <s v="BR003"/>
    <s v="P011"/>
    <s v="C0189"/>
    <n v="1"/>
    <n v="0"/>
    <n v="74000"/>
    <x v="0"/>
    <n v="74000"/>
    <x v="0"/>
  </r>
  <r>
    <s v="T01269"/>
    <d v="2025-02-08T00:00:00"/>
    <s v="BR001"/>
    <s v="P015"/>
    <s v="C0151"/>
    <n v="1"/>
    <n v="0"/>
    <n v="15000"/>
    <x v="2"/>
    <n v="15000"/>
    <x v="0"/>
  </r>
  <r>
    <s v="T00700"/>
    <d v="2025-03-15T00:00:00"/>
    <s v="BR001"/>
    <s v="P025"/>
    <s v="C0202"/>
    <n v="1"/>
    <n v="5"/>
    <n v="175000"/>
    <x v="2"/>
    <n v="166250"/>
    <x v="2"/>
  </r>
  <r>
    <s v="T00884"/>
    <d v="2025-01-09T00:00:00"/>
    <s v="BR003"/>
    <s v="P015"/>
    <s v="C0067"/>
    <n v="1"/>
    <n v="0"/>
    <n v="15000"/>
    <x v="0"/>
    <n v="15000"/>
    <x v="0"/>
  </r>
  <r>
    <s v="T01062"/>
    <d v="2025-06-15T00:00:00"/>
    <s v="BR001"/>
    <s v="P017"/>
    <s v="C0075"/>
    <n v="1"/>
    <n v="0"/>
    <n v="24000"/>
    <x v="2"/>
    <n v="24000"/>
    <x v="0"/>
  </r>
  <r>
    <s v="T00075"/>
    <d v="2025-09-04T00:00:00"/>
    <s v="BR001"/>
    <s v="P022"/>
    <s v="C0004"/>
    <n v="1"/>
    <n v="15"/>
    <n v="5200"/>
    <x v="2"/>
    <n v="4420"/>
    <x v="3"/>
  </r>
  <r>
    <s v="T00748"/>
    <d v="2025-11-15T00:00:00"/>
    <s v="BR001"/>
    <s v="P023"/>
    <s v="C0171"/>
    <n v="3"/>
    <n v="0"/>
    <n v="195000"/>
    <x v="2"/>
    <n v="585000"/>
    <x v="2"/>
  </r>
  <r>
    <s v="T00523"/>
    <d v="2025-12-03T00:00:00"/>
    <s v="BR004"/>
    <s v="P014"/>
    <s v="C0215"/>
    <n v="2"/>
    <n v="0"/>
    <n v="285000"/>
    <x v="3"/>
    <n v="570000"/>
    <x v="0"/>
  </r>
  <r>
    <s v="T00336"/>
    <d v="2025-06-24T00:00:00"/>
    <s v="BR003"/>
    <s v="P011"/>
    <s v="C0109"/>
    <n v="2"/>
    <n v="0"/>
    <n v="74000"/>
    <x v="0"/>
    <n v="148000"/>
    <x v="0"/>
  </r>
  <r>
    <s v="T00570"/>
    <d v="2025-12-06T00:00:00"/>
    <s v="BR004"/>
    <s v="P001"/>
    <s v="C0124"/>
    <n v="1"/>
    <n v="5"/>
    <n v="185000"/>
    <x v="3"/>
    <n v="175750"/>
    <x v="1"/>
  </r>
  <r>
    <s v="T00089"/>
    <d v="2025-04-11T00:00:00"/>
    <s v="BR003"/>
    <s v="P010"/>
    <s v="C0097"/>
    <n v="3"/>
    <n v="5"/>
    <n v="62000"/>
    <x v="0"/>
    <n v="176700"/>
    <x v="0"/>
  </r>
  <r>
    <s v="T01153"/>
    <d v="2025-02-03T00:00:00"/>
    <s v="BR001"/>
    <s v="P002"/>
    <s v="C0047"/>
    <n v="1"/>
    <n v="0"/>
    <n v="320000"/>
    <x v="2"/>
    <n v="320000"/>
    <x v="1"/>
  </r>
  <r>
    <s v="T00218"/>
    <d v="2025-11-20T00:00:00"/>
    <s v="BR002"/>
    <s v="P015"/>
    <s v="C0161"/>
    <n v="2"/>
    <n v="0"/>
    <n v="15000"/>
    <x v="1"/>
    <n v="30000"/>
    <x v="0"/>
  </r>
  <r>
    <s v="T01055"/>
    <d v="2025-11-17T00:00:00"/>
    <s v="BR002"/>
    <s v="P022"/>
    <s v="C0163"/>
    <n v="1"/>
    <n v="30"/>
    <n v="5200"/>
    <x v="1"/>
    <n v="3639.9999999999995"/>
    <x v="3"/>
  </r>
  <r>
    <s v="T00174"/>
    <d v="2025-10-02T00:00:00"/>
    <s v="BR002"/>
    <s v="P013"/>
    <s v="C0085"/>
    <n v="1"/>
    <n v="0"/>
    <n v="22000"/>
    <x v="1"/>
    <n v="22000"/>
    <x v="0"/>
  </r>
  <r>
    <s v="T00937"/>
    <d v="2025-05-14T00:00:00"/>
    <s v="BR004"/>
    <s v="P007"/>
    <s v="C0180"/>
    <n v="1"/>
    <n v="10"/>
    <n v="145000"/>
    <x v="3"/>
    <n v="130500"/>
    <x v="1"/>
  </r>
  <r>
    <s v="T00916"/>
    <d v="2025-07-05T00:00:00"/>
    <s v="BR004"/>
    <s v="P018"/>
    <s v="C0201"/>
    <n v="3"/>
    <n v="10"/>
    <n v="18000"/>
    <x v="3"/>
    <n v="48600"/>
    <x v="3"/>
  </r>
  <r>
    <s v="T00320"/>
    <d v="2025-03-24T00:00:00"/>
    <s v="BR001"/>
    <s v="P007"/>
    <s v="C0138"/>
    <n v="1"/>
    <n v="10"/>
    <n v="145000"/>
    <x v="2"/>
    <n v="130500"/>
    <x v="1"/>
  </r>
  <r>
    <s v="T01224"/>
    <d v="2025-06-14T00:00:00"/>
    <s v="BR001"/>
    <s v="P002"/>
    <s v="C0091"/>
    <n v="1"/>
    <n v="0"/>
    <n v="320000"/>
    <x v="2"/>
    <n v="320000"/>
    <x v="1"/>
  </r>
  <r>
    <s v="T00701"/>
    <d v="2025-09-25T00:00:00"/>
    <s v="BR003"/>
    <s v="P005"/>
    <s v="C0132"/>
    <n v="1"/>
    <n v="0"/>
    <n v="95000"/>
    <x v="0"/>
    <n v="95000"/>
    <x v="1"/>
  </r>
  <r>
    <s v="T00267"/>
    <d v="2025-01-12T00:00:00"/>
    <s v="BR001"/>
    <s v="P009"/>
    <s v="C0158"/>
    <n v="2"/>
    <n v="10"/>
    <n v="265000"/>
    <x v="2"/>
    <n v="477000"/>
    <x v="0"/>
  </r>
  <r>
    <s v="T00007"/>
    <s v="23/06/2025"/>
    <s v="BR002"/>
    <s v="P010"/>
    <s v="C0214"/>
    <n v="2"/>
    <n v="0"/>
    <n v="62000"/>
    <x v="1"/>
    <n v="124000"/>
    <x v="0"/>
  </r>
  <r>
    <s v="T00139"/>
    <d v="2025-08-07T00:00:00"/>
    <s v="BR001"/>
    <s v="P005"/>
    <s v="C0199"/>
    <n v="2"/>
    <n v="15"/>
    <n v="95000"/>
    <x v="2"/>
    <n v="161500"/>
    <x v="1"/>
  </r>
  <r>
    <s v="T00164"/>
    <d v="2025-12-18T00:00:00"/>
    <s v="BR003"/>
    <s v="P010"/>
    <s v="C0068"/>
    <n v="1"/>
    <n v="30"/>
    <n v="62000"/>
    <x v="0"/>
    <n v="43400"/>
    <x v="0"/>
  </r>
  <r>
    <s v="T01315"/>
    <d v="2025-12-13T00:00:00"/>
    <s v="BR001"/>
    <s v="P017"/>
    <s v="C0011"/>
    <n v="5"/>
    <n v="15"/>
    <n v="24000"/>
    <x v="2"/>
    <n v="102000"/>
    <x v="0"/>
  </r>
  <r>
    <s v="T01319"/>
    <d v="2025-05-23T00:00:00"/>
    <s v="BR003"/>
    <s v="P009"/>
    <s v="C0186"/>
    <n v="1"/>
    <n v="10"/>
    <n v="265000"/>
    <x v="0"/>
    <n v="238500"/>
    <x v="0"/>
  </r>
  <r>
    <s v="T01026"/>
    <d v="2025-09-09T00:00:00"/>
    <s v="BR001"/>
    <s v="P001"/>
    <s v="C0065"/>
    <n v="2"/>
    <n v="25"/>
    <n v="185000"/>
    <x v="2"/>
    <n v="277500"/>
    <x v="1"/>
  </r>
  <r>
    <s v="T01017"/>
    <d v="2025-12-14T00:00:00"/>
    <s v="BR003"/>
    <s v="P017"/>
    <s v="C0111"/>
    <n v="1"/>
    <n v="10"/>
    <n v="24000"/>
    <x v="0"/>
    <n v="21600"/>
    <x v="0"/>
  </r>
  <r>
    <s v="T00524"/>
    <d v="2025-06-03T00:00:00"/>
    <s v="BR002"/>
    <s v="P025"/>
    <s v="C0131"/>
    <n v="1"/>
    <n v="10"/>
    <n v="175000"/>
    <x v="1"/>
    <n v="157500"/>
    <x v="2"/>
  </r>
  <r>
    <s v="T00774"/>
    <d v="2025-01-18T00:00:00"/>
    <s v="BR004"/>
    <s v="P019"/>
    <s v="C0114"/>
    <n v="2"/>
    <n v="0"/>
    <n v="21000"/>
    <x v="3"/>
    <n v="42000"/>
    <x v="3"/>
  </r>
  <r>
    <s v="T01089"/>
    <d v="2025-03-06T00:00:00"/>
    <s v="BR002"/>
    <s v="P004"/>
    <s v="C0218"/>
    <n v="1"/>
    <n v="0"/>
    <n v="38000"/>
    <x v="1"/>
    <n v="38000"/>
    <x v="1"/>
  </r>
  <r>
    <s v="T00579"/>
    <d v="2025-09-24T00:00:00"/>
    <s v="BR003"/>
    <s v="P006"/>
    <s v="C0023"/>
    <n v="1"/>
    <n v="0"/>
    <n v="78000"/>
    <x v="0"/>
    <n v="78000"/>
    <x v="1"/>
  </r>
  <r>
    <s v="T00672"/>
    <d v="2025-07-10T00:00:00"/>
    <s v="BR003"/>
    <s v="P009"/>
    <s v="C0178"/>
    <n v="1"/>
    <n v="5"/>
    <n v="265000"/>
    <x v="0"/>
    <n v="251750"/>
    <x v="0"/>
  </r>
  <r>
    <s v="T00020"/>
    <d v="2025-08-04T00:00:00"/>
    <s v="BR003"/>
    <s v="P006"/>
    <s v="C0114"/>
    <n v="1"/>
    <n v="0"/>
    <n v="78000"/>
    <x v="0"/>
    <n v="78000"/>
    <x v="1"/>
  </r>
  <r>
    <s v="T01190"/>
    <d v="2025-04-19T00:00:00"/>
    <s v="BR001"/>
    <s v="P022"/>
    <s v="C0159"/>
    <n v="2"/>
    <n v="0"/>
    <n v="5200"/>
    <x v="2"/>
    <n v="10400"/>
    <x v="3"/>
  </r>
  <r>
    <s v="T00670"/>
    <d v="2025-12-03T00:00:00"/>
    <s v="BR002"/>
    <s v="P014"/>
    <s v="C0026"/>
    <n v="1"/>
    <n v="25"/>
    <n v="285000"/>
    <x v="1"/>
    <n v="213750"/>
    <x v="0"/>
  </r>
  <r>
    <s v="T00680"/>
    <d v="2025-09-07T00:00:00"/>
    <s v="BR002"/>
    <s v="P006"/>
    <s v="C0057"/>
    <n v="2"/>
    <n v="5"/>
    <n v="78000"/>
    <x v="1"/>
    <n v="148200"/>
    <x v="1"/>
  </r>
  <r>
    <s v="T00714"/>
    <d v="2025-02-05T00:00:00"/>
    <s v="BR003"/>
    <s v="P004"/>
    <s v="C0038"/>
    <n v="1"/>
    <n v="0"/>
    <n v="38000"/>
    <x v="0"/>
    <n v="38000"/>
    <x v="1"/>
  </r>
  <r>
    <s v="T00138"/>
    <d v="2025-02-13T00:00:00"/>
    <s v="BR004"/>
    <s v="P009"/>
    <s v="C0088"/>
    <n v="1"/>
    <n v="0"/>
    <n v="265000"/>
    <x v="3"/>
    <n v="265000"/>
    <x v="0"/>
  </r>
  <r>
    <s v="T00558"/>
    <d v="2025-03-26T00:00:00"/>
    <s v="BR003"/>
    <s v="P010"/>
    <s v="C0064"/>
    <n v="1"/>
    <n v="0"/>
    <n v="62000"/>
    <x v="0"/>
    <n v="62000"/>
    <x v="0"/>
  </r>
  <r>
    <s v="T01150"/>
    <d v="2025-05-03T00:00:00"/>
    <s v="BR004"/>
    <s v="P005"/>
    <s v="C0128"/>
    <n v="2"/>
    <n v="25"/>
    <n v="95000"/>
    <x v="3"/>
    <n v="142500"/>
    <x v="1"/>
  </r>
  <r>
    <s v="T00634"/>
    <d v="2025-12-05T00:00:00"/>
    <s v="BR003"/>
    <s v="P011"/>
    <s v="C0098"/>
    <n v="1"/>
    <n v="5"/>
    <n v="74000"/>
    <x v="0"/>
    <n v="70300"/>
    <x v="0"/>
  </r>
  <r>
    <s v="T00753"/>
    <d v="2025-12-21T00:00:00"/>
    <s v="BR001"/>
    <s v="P003"/>
    <s v="C0164"/>
    <n v="1"/>
    <n v="0"/>
    <n v="45000"/>
    <x v="2"/>
    <n v="45000"/>
    <x v="1"/>
  </r>
  <r>
    <s v="T01023"/>
    <d v="2025-05-23T00:00:00"/>
    <s v="BR002"/>
    <s v="P016"/>
    <s v="C0185"/>
    <n v="1"/>
    <n v="0"/>
    <n v="19500"/>
    <x v="1"/>
    <n v="19500"/>
    <x v="0"/>
  </r>
  <r>
    <s v="T00369"/>
    <d v="2025-12-20T00:00:00"/>
    <s v="BR004"/>
    <s v="P024"/>
    <s v="C0054"/>
    <n v="1"/>
    <n v="0"/>
    <n v="245000"/>
    <x v="3"/>
    <n v="245000"/>
    <x v="2"/>
  </r>
  <r>
    <s v="T01323"/>
    <d v="2025-01-20T00:00:00"/>
    <s v="BR001"/>
    <s v="P015"/>
    <s v="C0157"/>
    <n v="1"/>
    <n v="0"/>
    <n v="15000"/>
    <x v="2"/>
    <n v="15000"/>
    <x v="0"/>
  </r>
  <r>
    <s v="T00732"/>
    <d v="2025-11-28T00:00:00"/>
    <s v="BR004"/>
    <s v="P017"/>
    <s v="C0011"/>
    <n v="1"/>
    <n v="20"/>
    <n v="24000"/>
    <x v="3"/>
    <n v="19200"/>
    <x v="0"/>
  </r>
  <r>
    <s v="T00328"/>
    <d v="2025-02-17T00:00:00"/>
    <s v="BR003"/>
    <s v="P017"/>
    <s v="C0066"/>
    <n v="1"/>
    <n v="0"/>
    <n v="24000"/>
    <x v="0"/>
    <n v="24000"/>
    <x v="0"/>
  </r>
  <r>
    <s v="T00318"/>
    <d v="2025-04-10T00:00:00"/>
    <s v="BR002"/>
    <s v="P015"/>
    <s v="C0026"/>
    <n v="1"/>
    <n v="0"/>
    <n v="15000"/>
    <x v="1"/>
    <n v="15000"/>
    <x v="0"/>
  </r>
  <r>
    <s v="T01071"/>
    <d v="2025-12-02T00:00:00"/>
    <s v="BR003"/>
    <s v="P003"/>
    <s v="C0159"/>
    <n v="2"/>
    <n v="10"/>
    <n v="45000"/>
    <x v="0"/>
    <n v="81000"/>
    <x v="1"/>
  </r>
  <r>
    <s v="T01039"/>
    <d v="2025-11-10T00:00:00"/>
    <s v="BR001"/>
    <s v="P019"/>
    <s v="C0027"/>
    <n v="1"/>
    <n v="5"/>
    <n v="21000"/>
    <x v="2"/>
    <n v="19950"/>
    <x v="3"/>
  </r>
  <r>
    <s v="T00529"/>
    <d v="2025-12-12T00:00:00"/>
    <s v="BR001"/>
    <s v="P012"/>
    <s v="C0143"/>
    <n v="5"/>
    <n v="15"/>
    <n v="28000"/>
    <x v="2"/>
    <n v="119000"/>
    <x v="0"/>
  </r>
  <r>
    <s v="T00527"/>
    <d v="2025-09-24T00:00:00"/>
    <s v="BR002"/>
    <s v="P008"/>
    <s v="C0171"/>
    <n v="2"/>
    <n v="5"/>
    <n v="410000"/>
    <x v="1"/>
    <n v="779000"/>
    <x v="0"/>
  </r>
  <r>
    <s v="T00088"/>
    <d v="2025-07-09T00:00:00"/>
    <s v="BR001"/>
    <s v="P011"/>
    <s v="C0031"/>
    <n v="2"/>
    <n v="0"/>
    <n v="74000"/>
    <x v="2"/>
    <n v="148000"/>
    <x v="0"/>
  </r>
  <r>
    <s v="T00480"/>
    <d v="2025-12-15T00:00:00"/>
    <s v="BR003"/>
    <s v="P017"/>
    <s v="C0207"/>
    <n v="1"/>
    <n v="0"/>
    <n v="24000"/>
    <x v="0"/>
    <n v="24000"/>
    <x v="0"/>
  </r>
  <r>
    <s v="T00339"/>
    <d v="2025-11-26T00:00:00"/>
    <s v="BR003"/>
    <s v="P011"/>
    <s v="C0069"/>
    <n v="2"/>
    <n v="15"/>
    <n v="74000"/>
    <x v="0"/>
    <n v="125800"/>
    <x v="0"/>
  </r>
  <r>
    <s v="T00665"/>
    <d v="2025-02-03T00:00:00"/>
    <s v="BR004"/>
    <s v="P009"/>
    <s v="C0205"/>
    <n v="1"/>
    <n v="5"/>
    <n v="265000"/>
    <x v="3"/>
    <n v="251750"/>
    <x v="0"/>
  </r>
  <r>
    <s v="T00149"/>
    <d v="2025-02-28T00:00:00"/>
    <s v="BR004"/>
    <s v="P016"/>
    <s v="C0022"/>
    <n v="1"/>
    <n v="10"/>
    <n v="19500"/>
    <x v="3"/>
    <n v="17550"/>
    <x v="0"/>
  </r>
  <r>
    <s v="T01381"/>
    <d v="2025-05-14T00:00:00"/>
    <s v="BR001"/>
    <s v="P012"/>
    <s v="C0192"/>
    <n v="1"/>
    <n v="5"/>
    <n v="28000"/>
    <x v="2"/>
    <n v="26600"/>
    <x v="0"/>
  </r>
  <r>
    <s v="T01297"/>
    <s v="13/11/2025"/>
    <s v="BR004"/>
    <s v="P006"/>
    <s v="C0072"/>
    <n v="2"/>
    <n v="25"/>
    <n v="78000"/>
    <x v="3"/>
    <n v="117000"/>
    <x v="1"/>
  </r>
  <r>
    <s v="T00029"/>
    <d v="2025-11-20T00:00:00"/>
    <s v="BR002"/>
    <s v="P021"/>
    <s v="C0117"/>
    <n v="1"/>
    <n v="30"/>
    <n v="6500"/>
    <x v="1"/>
    <n v="4550"/>
    <x v="3"/>
  </r>
  <r>
    <s v="T00247"/>
    <d v="2025-01-28T00:00:00"/>
    <s v="BR004"/>
    <s v="P005"/>
    <s v="C0116"/>
    <n v="1"/>
    <n v="0"/>
    <n v="95000"/>
    <x v="3"/>
    <n v="95000"/>
    <x v="1"/>
  </r>
  <r>
    <s v="T00366"/>
    <d v="2025-08-01T00:00:00"/>
    <s v="BR002"/>
    <s v="P020"/>
    <s v="C0209"/>
    <n v="1"/>
    <n v="0"/>
    <n v="8500"/>
    <x v="1"/>
    <n v="8500"/>
    <x v="3"/>
  </r>
  <r>
    <s v="T00667"/>
    <d v="2025-11-08T00:00:00"/>
    <s v="BR003"/>
    <s v="P010"/>
    <s v="C0083"/>
    <n v="1"/>
    <n v="5"/>
    <n v="62000"/>
    <x v="0"/>
    <n v="58900"/>
    <x v="0"/>
  </r>
  <r>
    <s v="T01059"/>
    <d v="2025-11-05T00:00:00"/>
    <s v="BR001"/>
    <s v="P003"/>
    <s v="C0210"/>
    <n v="1"/>
    <n v="10"/>
    <n v="45000"/>
    <x v="2"/>
    <n v="40500"/>
    <x v="1"/>
  </r>
  <r>
    <s v="T00199"/>
    <d v="2025-12-16T00:00:00"/>
    <s v="BR004"/>
    <s v="P025"/>
    <s v="C0012"/>
    <n v="1"/>
    <n v="5"/>
    <n v="175000"/>
    <x v="3"/>
    <n v="166250"/>
    <x v="2"/>
  </r>
  <r>
    <s v="T01341"/>
    <d v="2025-03-16T00:00:00"/>
    <s v="BR002"/>
    <s v="P024"/>
    <s v="C0035"/>
    <n v="2"/>
    <n v="15"/>
    <n v="245000"/>
    <x v="1"/>
    <n v="416500"/>
    <x v="2"/>
  </r>
  <r>
    <s v="T01112"/>
    <d v="2025-08-26T00:00:00"/>
    <s v="BR001"/>
    <s v="P013"/>
    <s v="C0199"/>
    <n v="1"/>
    <n v="0"/>
    <n v="22000"/>
    <x v="2"/>
    <n v="22000"/>
    <x v="0"/>
  </r>
  <r>
    <s v="T00405"/>
    <d v="2025-05-15T00:00:00"/>
    <s v="BR004"/>
    <s v="P016"/>
    <s v="C0044"/>
    <n v="2"/>
    <n v="0"/>
    <n v="19500"/>
    <x v="3"/>
    <n v="39000"/>
    <x v="0"/>
  </r>
  <r>
    <s v="T00972"/>
    <d v="2025-11-01T00:00:00"/>
    <s v="BR002"/>
    <s v="P004"/>
    <s v="C0004"/>
    <n v="1"/>
    <n v="5"/>
    <n v="38000"/>
    <x v="1"/>
    <n v="36100"/>
    <x v="1"/>
  </r>
  <r>
    <s v="T00484"/>
    <d v="2025-11-05T00:00:00"/>
    <s v="BR002"/>
    <s v="P013"/>
    <s v="C0046"/>
    <n v="1"/>
    <n v="5"/>
    <n v="22000"/>
    <x v="1"/>
    <n v="20900"/>
    <x v="0"/>
  </r>
  <r>
    <s v="T00159"/>
    <d v="2025-12-28T00:00:00"/>
    <s v="BR001"/>
    <s v="P004"/>
    <s v="C0168"/>
    <n v="2"/>
    <n v="0"/>
    <n v="38000"/>
    <x v="2"/>
    <n v="76000"/>
    <x v="1"/>
  </r>
  <r>
    <s v="T00316"/>
    <d v="2025-04-24T00:00:00"/>
    <s v="BR003"/>
    <s v="P011"/>
    <s v="C0092"/>
    <n v="1"/>
    <n v="10"/>
    <n v="74000"/>
    <x v="0"/>
    <n v="66600"/>
    <x v="0"/>
  </r>
  <r>
    <s v="T00257"/>
    <d v="2025-02-09T00:00:00"/>
    <s v="BR004"/>
    <s v="P003"/>
    <s v="C0183"/>
    <n v="1"/>
    <n v="10"/>
    <n v="45000"/>
    <x v="3"/>
    <n v="40500"/>
    <x v="1"/>
  </r>
  <r>
    <s v="T00008"/>
    <d v="2025-09-28T00:00:00"/>
    <s v="BR002"/>
    <s v="P006"/>
    <s v="C0040"/>
    <n v="1"/>
    <n v="10"/>
    <n v="78000"/>
    <x v="1"/>
    <n v="70200"/>
    <x v="1"/>
  </r>
  <r>
    <s v="T01127"/>
    <d v="2025-10-08T00:00:00"/>
    <s v="BR001"/>
    <s v="P024"/>
    <s v="C0145"/>
    <n v="1"/>
    <n v="0"/>
    <n v="245000"/>
    <x v="2"/>
    <n v="245000"/>
    <x v="2"/>
  </r>
  <r>
    <s v="T00385"/>
    <d v="2025-01-08T00:00:00"/>
    <s v="BR001"/>
    <s v="P008"/>
    <s v="C0021"/>
    <n v="2"/>
    <n v="0"/>
    <n v="410000"/>
    <x v="2"/>
    <n v="820000"/>
    <x v="0"/>
  </r>
  <r>
    <s v="T00178"/>
    <d v="2025-01-26T00:00:00"/>
    <s v="BR001"/>
    <s v="P022"/>
    <s v="C0068"/>
    <n v="2"/>
    <n v="10"/>
    <n v="5200"/>
    <x v="2"/>
    <n v="9360"/>
    <x v="3"/>
  </r>
  <r>
    <s v="T00869"/>
    <d v="2025-06-05T00:00:00"/>
    <s v="BR002"/>
    <s v="P016"/>
    <s v="C0008"/>
    <n v="1"/>
    <n v="15"/>
    <n v="19500"/>
    <x v="1"/>
    <n v="16575"/>
    <x v="0"/>
  </r>
  <r>
    <s v="T00315"/>
    <d v="2025-12-19T00:00:00"/>
    <s v="BR001"/>
    <s v="P023"/>
    <s v="C0020"/>
    <n v="5"/>
    <n v="5"/>
    <n v="195000"/>
    <x v="2"/>
    <n v="926250"/>
    <x v="2"/>
  </r>
  <r>
    <s v="T00358"/>
    <d v="2025-09-24T00:00:00"/>
    <s v="BR003"/>
    <s v="P002"/>
    <s v="C0197"/>
    <n v="2"/>
    <n v="0"/>
    <n v="320000"/>
    <x v="0"/>
    <n v="640000"/>
    <x v="1"/>
  </r>
  <r>
    <s v="T00299"/>
    <d v="2025-04-26T00:00:00"/>
    <s v="BR004"/>
    <s v="P009"/>
    <s v="C0199"/>
    <n v="1"/>
    <n v="10"/>
    <n v="265000"/>
    <x v="3"/>
    <n v="238500"/>
    <x v="0"/>
  </r>
  <r>
    <s v="T00456"/>
    <d v="2025-12-24T00:00:00"/>
    <s v="BR004"/>
    <s v="P015"/>
    <s v="C0132"/>
    <n v="1"/>
    <n v="5"/>
    <n v="15000"/>
    <x v="3"/>
    <n v="14250"/>
    <x v="0"/>
  </r>
  <r>
    <s v="T00544"/>
    <d v="2025-02-10T00:00:00"/>
    <s v="BR004"/>
    <s v="P024"/>
    <s v="C0194"/>
    <n v="1"/>
    <n v="0"/>
    <n v="245000"/>
    <x v="3"/>
    <n v="245000"/>
    <x v="2"/>
  </r>
  <r>
    <s v="T01065"/>
    <d v="2025-05-03T00:00:00"/>
    <s v="BR003"/>
    <s v="P001"/>
    <s v="C0214"/>
    <n v="2"/>
    <n v="0"/>
    <n v="185000"/>
    <x v="0"/>
    <n v="370000"/>
    <x v="1"/>
  </r>
  <r>
    <s v="T00741"/>
    <d v="2025-12-19T00:00:00"/>
    <s v="BR001"/>
    <s v="P019"/>
    <s v="C0068"/>
    <n v="3"/>
    <n v="10"/>
    <n v="21000"/>
    <x v="2"/>
    <n v="56700"/>
    <x v="3"/>
  </r>
  <r>
    <s v="T00528"/>
    <d v="2025-09-24T00:00:00"/>
    <s v="BR003"/>
    <s v="P022"/>
    <s v="C0101"/>
    <n v="1"/>
    <n v="0"/>
    <n v="5200"/>
    <x v="0"/>
    <n v="5200"/>
    <x v="3"/>
  </r>
  <r>
    <s v="T01175"/>
    <d v="2025-01-17T00:00:00"/>
    <s v="BR001"/>
    <s v="P007"/>
    <s v="C0027"/>
    <n v="1"/>
    <n v="0"/>
    <n v="145000"/>
    <x v="2"/>
    <n v="145000"/>
    <x v="1"/>
  </r>
  <r>
    <s v="T00160"/>
    <d v="2025-05-15T00:00:00"/>
    <s v="BR004"/>
    <s v="P013"/>
    <s v="C0163"/>
    <n v="1"/>
    <n v="0"/>
    <n v="22000"/>
    <x v="3"/>
    <n v="22000"/>
    <x v="0"/>
  </r>
  <r>
    <s v="T01169"/>
    <d v="2025-04-17T00:00:00"/>
    <s v="BR001"/>
    <s v="P014"/>
    <s v="C0172"/>
    <n v="1"/>
    <n v="10"/>
    <n v="285000"/>
    <x v="2"/>
    <n v="256500"/>
    <x v="0"/>
  </r>
  <r>
    <s v="T00361"/>
    <d v="2025-11-19T00:00:00"/>
    <s v="BR004"/>
    <s v="P014"/>
    <s v="C0057"/>
    <n v="1"/>
    <n v="5"/>
    <n v="285000"/>
    <x v="3"/>
    <n v="270750"/>
    <x v="0"/>
  </r>
  <r>
    <s v="T01237"/>
    <d v="2025-06-25T00:00:00"/>
    <s v="BR001"/>
    <s v="P021"/>
    <s v="C0004"/>
    <n v="1"/>
    <n v="0"/>
    <n v="6500"/>
    <x v="2"/>
    <n v="6500"/>
    <x v="3"/>
  </r>
  <r>
    <s v="T00203"/>
    <d v="2025-01-13T00:00:00"/>
    <s v="BR003"/>
    <s v="P013"/>
    <s v="C0149"/>
    <n v="1"/>
    <n v="0"/>
    <n v="22000"/>
    <x v="0"/>
    <n v="22000"/>
    <x v="0"/>
  </r>
  <r>
    <s v="T00872"/>
    <d v="2025-10-21T00:00:00"/>
    <s v="BR002"/>
    <s v="P013"/>
    <s v="C0093"/>
    <n v="1"/>
    <n v="0"/>
    <n v="22000"/>
    <x v="1"/>
    <n v="22000"/>
    <x v="0"/>
  </r>
  <r>
    <s v="T00681"/>
    <d v="2025-01-25T00:00:00"/>
    <s v="BR004"/>
    <s v="P008"/>
    <s v="C0210"/>
    <n v="2"/>
    <n v="15"/>
    <n v="410000"/>
    <x v="3"/>
    <n v="697000"/>
    <x v="0"/>
  </r>
  <r>
    <s v="T00113"/>
    <d v="2025-12-21T00:00:00"/>
    <s v="BR004"/>
    <s v="P017"/>
    <s v="C0220"/>
    <n v="2"/>
    <n v="10"/>
    <n v="24000"/>
    <x v="3"/>
    <n v="43200"/>
    <x v="0"/>
  </r>
  <r>
    <s v="T00780"/>
    <d v="2025-01-20T00:00:00"/>
    <s v="BR001"/>
    <s v="P023"/>
    <s v="C0077"/>
    <n v="1"/>
    <n v="5"/>
    <n v="195000"/>
    <x v="2"/>
    <n v="185250"/>
    <x v="2"/>
  </r>
  <r>
    <s v="T00308"/>
    <d v="2025-11-22T00:00:00"/>
    <s v="BR002"/>
    <s v="P011"/>
    <s v="C0201"/>
    <n v="2"/>
    <n v="15"/>
    <n v="74000"/>
    <x v="1"/>
    <n v="125800"/>
    <x v="0"/>
  </r>
  <r>
    <s v="T00740"/>
    <d v="2025-09-26T00:00:00"/>
    <s v="BR004"/>
    <s v="P010"/>
    <s v="C0081"/>
    <n v="1"/>
    <n v="5"/>
    <n v="62000"/>
    <x v="3"/>
    <n v="58900"/>
    <x v="0"/>
  </r>
  <r>
    <s v="T00423"/>
    <d v="2025-11-11T00:00:00"/>
    <s v="BR004"/>
    <s v="P023"/>
    <s v="C0088"/>
    <n v="1"/>
    <n v="15"/>
    <n v="195000"/>
    <x v="3"/>
    <n v="165750"/>
    <x v="2"/>
  </r>
  <r>
    <s v="T00692"/>
    <d v="2025-08-20T00:00:00"/>
    <s v="BR004"/>
    <s v="P008"/>
    <s v="C0084"/>
    <n v="1"/>
    <n v="5"/>
    <n v="410000"/>
    <x v="3"/>
    <n v="389500"/>
    <x v="0"/>
  </r>
  <r>
    <s v="T01042"/>
    <d v="2025-12-06T00:00:00"/>
    <s v="BR003"/>
    <s v="P025"/>
    <s v="C0120"/>
    <n v="1"/>
    <n v="15"/>
    <n v="175000"/>
    <x v="0"/>
    <n v="148750"/>
    <x v="2"/>
  </r>
  <r>
    <s v="T00826"/>
    <d v="2025-06-22T00:00:00"/>
    <s v="BR001"/>
    <s v="P004"/>
    <s v="C0134"/>
    <n v="1"/>
    <n v="0"/>
    <n v="38000"/>
    <x v="2"/>
    <n v="38000"/>
    <x v="1"/>
  </r>
  <r>
    <s v="T00460"/>
    <d v="2025-12-15T00:00:00"/>
    <s v="BR004"/>
    <s v="P025"/>
    <s v="C0179"/>
    <n v="1"/>
    <n v="10"/>
    <n v="175000"/>
    <x v="3"/>
    <n v="157500"/>
    <x v="2"/>
  </r>
  <r>
    <s v="T01051"/>
    <d v="2025-11-03T00:00:00"/>
    <s v="BR001"/>
    <s v="P012"/>
    <s v="C0102"/>
    <n v="5"/>
    <n v="10"/>
    <n v="28000"/>
    <x v="2"/>
    <n v="126000"/>
    <x v="0"/>
  </r>
  <r>
    <s v="T01215"/>
    <d v="2025-10-10T00:00:00"/>
    <s v="BR002"/>
    <s v="P015"/>
    <s v="C0039"/>
    <n v="2"/>
    <n v="5"/>
    <n v="15000"/>
    <x v="1"/>
    <n v="28500"/>
    <x v="0"/>
  </r>
  <r>
    <s v="T00717"/>
    <d v="2025-02-16T00:00:00"/>
    <s v="BR003"/>
    <s v="P011"/>
    <s v="C0038"/>
    <n v="1"/>
    <n v="0"/>
    <n v="74000"/>
    <x v="0"/>
    <n v="74000"/>
    <x v="0"/>
  </r>
  <r>
    <s v="T00802"/>
    <d v="2025-12-27T00:00:00"/>
    <s v="BR001"/>
    <s v="P010"/>
    <s v="C0053"/>
    <n v="1"/>
    <n v="10"/>
    <n v="62000"/>
    <x v="2"/>
    <n v="55800"/>
    <x v="0"/>
  </r>
  <r>
    <s v="T00450"/>
    <d v="2025-12-12T00:00:00"/>
    <s v="BR001"/>
    <s v="P004"/>
    <s v="C0185"/>
    <n v="1"/>
    <n v="10"/>
    <n v="38000"/>
    <x v="2"/>
    <n v="34200"/>
    <x v="1"/>
  </r>
  <r>
    <s v="T01263"/>
    <d v="2025-06-16T00:00:00"/>
    <s v="BR001"/>
    <s v="P016"/>
    <s v="C0091"/>
    <n v="1"/>
    <n v="20"/>
    <n v="19500"/>
    <x v="2"/>
    <n v="15600"/>
    <x v="0"/>
  </r>
  <r>
    <s v="T00081"/>
    <d v="2025-03-16T00:00:00"/>
    <s v="BR003"/>
    <s v="P005"/>
    <s v="C0109"/>
    <n v="2"/>
    <n v="10"/>
    <n v="95000"/>
    <x v="0"/>
    <n v="171000"/>
    <x v="1"/>
  </r>
  <r>
    <s v="T01227"/>
    <d v="2025-03-07T00:00:00"/>
    <s v="BR002"/>
    <s v="P001"/>
    <s v="C0131"/>
    <n v="2"/>
    <n v="0"/>
    <n v="185000"/>
    <x v="1"/>
    <n v="370000"/>
    <x v="1"/>
  </r>
  <r>
    <s v="T01340"/>
    <d v="2025-10-10T00:00:00"/>
    <s v="BR001"/>
    <s v="P013"/>
    <s v="C0068"/>
    <n v="1"/>
    <n v="0"/>
    <n v="22000"/>
    <x v="2"/>
    <n v="22000"/>
    <x v="0"/>
  </r>
  <r>
    <s v="T00216"/>
    <d v="2025-08-18T00:00:00"/>
    <s v="BR001"/>
    <s v="P016"/>
    <s v="C0060"/>
    <n v="1"/>
    <n v="0"/>
    <n v="19500"/>
    <x v="2"/>
    <n v="19500"/>
    <x v="0"/>
  </r>
  <r>
    <s v="T00833"/>
    <d v="2025-12-06T00:00:00"/>
    <s v="BR001"/>
    <s v="P011"/>
    <s v="C0159"/>
    <n v="2"/>
    <n v="30"/>
    <n v="74000"/>
    <x v="2"/>
    <n v="103600"/>
    <x v="0"/>
  </r>
  <r>
    <s v="T00031"/>
    <d v="2025-10-10T00:00:00"/>
    <s v="BR003"/>
    <s v="P024"/>
    <s v="C0182"/>
    <n v="1"/>
    <n v="0"/>
    <n v="245000"/>
    <x v="0"/>
    <n v="245000"/>
    <x v="2"/>
  </r>
  <r>
    <s v="T00243"/>
    <d v="2025-09-06T00:00:00"/>
    <s v="BR002"/>
    <s v="P001"/>
    <s v="C0179"/>
    <n v="1"/>
    <n v="0"/>
    <n v="185000"/>
    <x v="1"/>
    <n v="185000"/>
    <x v="1"/>
  </r>
  <r>
    <s v="T00857"/>
    <d v="2025-11-19T00:00:00"/>
    <s v="BR004"/>
    <s v="P025"/>
    <s v="C0187"/>
    <n v="2"/>
    <n v="5"/>
    <n v="175000"/>
    <x v="3"/>
    <n v="332500"/>
    <x v="2"/>
  </r>
  <r>
    <s v="T00642"/>
    <d v="2025-03-13T00:00:00"/>
    <s v="BR001"/>
    <s v="P015"/>
    <s v="C0020"/>
    <n v="1"/>
    <n v="10"/>
    <n v="15000"/>
    <x v="2"/>
    <n v="13500"/>
    <x v="0"/>
  </r>
  <r>
    <s v="T00210"/>
    <d v="2025-04-11T00:00:00"/>
    <s v="BR002"/>
    <s v="P009"/>
    <s v="C0042"/>
    <n v="2"/>
    <n v="15"/>
    <n v="265000"/>
    <x v="1"/>
    <n v="450500"/>
    <x v="0"/>
  </r>
  <r>
    <s v="T00729"/>
    <d v="2025-11-27T00:00:00"/>
    <s v="BR001"/>
    <s v="P014"/>
    <s v="C0171"/>
    <n v="1"/>
    <n v="0"/>
    <n v="285000"/>
    <x v="2"/>
    <n v="285000"/>
    <x v="0"/>
  </r>
  <r>
    <s v="T00436"/>
    <d v="2025-08-20T00:00:00"/>
    <s v="BR004"/>
    <s v="P010"/>
    <s v="C0151"/>
    <n v="1"/>
    <n v="5"/>
    <n v="62000"/>
    <x v="3"/>
    <n v="58900"/>
    <x v="0"/>
  </r>
  <r>
    <s v="T00947"/>
    <d v="2025-12-19T00:00:00"/>
    <s v="BR003"/>
    <s v="P024"/>
    <s v="C0099"/>
    <n v="1"/>
    <n v="0"/>
    <n v="245000"/>
    <x v="0"/>
    <n v="245000"/>
    <x v="2"/>
  </r>
  <r>
    <s v="T01316"/>
    <d v="2025-11-02T00:00:00"/>
    <s v="BR002"/>
    <s v="P018"/>
    <s v="C0108"/>
    <n v="2"/>
    <n v="0"/>
    <n v="18000"/>
    <x v="1"/>
    <n v="36000"/>
    <x v="3"/>
  </r>
  <r>
    <s v="T01287"/>
    <d v="2025-04-25T00:00:00"/>
    <s v="BR003"/>
    <s v="P002"/>
    <s v="C0220"/>
    <n v="2"/>
    <n v="0"/>
    <n v="320000"/>
    <x v="0"/>
    <n v="640000"/>
    <x v="1"/>
  </r>
  <r>
    <s v="T01281"/>
    <d v="2025-03-18T00:00:00"/>
    <s v="BR001"/>
    <s v="P012"/>
    <s v="C0094"/>
    <n v="1"/>
    <n v="0"/>
    <n v="28000"/>
    <x v="2"/>
    <n v="28000"/>
    <x v="0"/>
  </r>
  <r>
    <s v="T00689"/>
    <d v="2025-12-04T00:00:00"/>
    <s v="BR001"/>
    <s v="P015"/>
    <s v="C0118"/>
    <n v="1"/>
    <n v="0"/>
    <n v="15000"/>
    <x v="2"/>
    <n v="15000"/>
    <x v="0"/>
  </r>
  <r>
    <s v="T00552"/>
    <d v="2025-11-12T00:00:00"/>
    <s v="BR004"/>
    <s v="P011"/>
    <s v="C0084"/>
    <n v="1"/>
    <n v="30"/>
    <n v="74000"/>
    <x v="3"/>
    <n v="51800"/>
    <x v="0"/>
  </r>
  <r>
    <s v="T00545"/>
    <d v="2025-02-12T00:00:00"/>
    <s v="BR001"/>
    <s v="P018"/>
    <s v="C0012"/>
    <n v="1"/>
    <n v="0"/>
    <n v="18000"/>
    <x v="2"/>
    <n v="18000"/>
    <x v="3"/>
  </r>
  <r>
    <s v="T00929"/>
    <d v="2025-08-17T00:00:00"/>
    <s v="BR001"/>
    <s v="P005"/>
    <s v="C0135"/>
    <n v="1"/>
    <n v="0"/>
    <n v="95000"/>
    <x v="2"/>
    <n v="95000"/>
    <x v="1"/>
  </r>
  <r>
    <s v="T01142"/>
    <d v="2025-03-13T00:00:00"/>
    <s v="BR004"/>
    <s v="P014"/>
    <s v="C0068"/>
    <n v="1"/>
    <n v="0"/>
    <n v="285000"/>
    <x v="3"/>
    <n v="285000"/>
    <x v="0"/>
  </r>
  <r>
    <s v="T00755"/>
    <d v="2025-07-08T00:00:00"/>
    <s v="BR001"/>
    <s v="P001"/>
    <s v="C0116"/>
    <n v="3"/>
    <n v="5"/>
    <n v="185000"/>
    <x v="2"/>
    <n v="527250"/>
    <x v="1"/>
  </r>
  <r>
    <s v="T00404"/>
    <d v="2025-12-12T00:00:00"/>
    <s v="BR002"/>
    <s v="P008"/>
    <s v="C0016"/>
    <n v="5"/>
    <n v="0"/>
    <n v="410000"/>
    <x v="1"/>
    <n v="2050000"/>
    <x v="0"/>
  </r>
  <r>
    <s v="T01388"/>
    <d v="2025-09-23T00:00:00"/>
    <s v="BR002"/>
    <s v="P003"/>
    <s v="C0203"/>
    <n v="2"/>
    <n v="15"/>
    <n v="45000"/>
    <x v="1"/>
    <n v="76500"/>
    <x v="1"/>
  </r>
  <r>
    <s v="T00363"/>
    <d v="2025-11-21T00:00:00"/>
    <s v="BR001"/>
    <s v="P002"/>
    <s v="C0178"/>
    <n v="1"/>
    <n v="10"/>
    <n v="320000"/>
    <x v="2"/>
    <n v="288000"/>
    <x v="1"/>
  </r>
  <r>
    <s v="T00272"/>
    <d v="2025-09-09T00:00:00"/>
    <s v="BR001"/>
    <s v="P007"/>
    <s v="C0185"/>
    <n v="1"/>
    <n v="0"/>
    <n v="145000"/>
    <x v="2"/>
    <n v="145000"/>
    <x v="1"/>
  </r>
  <r>
    <s v="T00467"/>
    <d v="2025-06-26T00:00:00"/>
    <s v="BR001"/>
    <s v="P002"/>
    <s v="C0071"/>
    <n v="1"/>
    <n v="5"/>
    <n v="320000"/>
    <x v="2"/>
    <n v="304000"/>
    <x v="1"/>
  </r>
  <r>
    <s v="T01253"/>
    <d v="2025-11-08T00:00:00"/>
    <s v="BR004"/>
    <s v="P021"/>
    <s v="C0141"/>
    <n v="1"/>
    <n v="10"/>
    <n v="6500"/>
    <x v="3"/>
    <n v="5850"/>
    <x v="3"/>
  </r>
  <r>
    <s v="T01035"/>
    <d v="2025-01-04T00:00:00"/>
    <s v="BR003"/>
    <s v="P006"/>
    <s v="C0050"/>
    <n v="1"/>
    <n v="0"/>
    <n v="78000"/>
    <x v="0"/>
    <n v="78000"/>
    <x v="1"/>
  </r>
  <r>
    <s v="T00278"/>
    <d v="2025-06-16T00:00:00"/>
    <s v="BR001"/>
    <s v="P003"/>
    <s v="C0131"/>
    <n v="2"/>
    <n v="10"/>
    <n v="45000"/>
    <x v="2"/>
    <n v="81000"/>
    <x v="1"/>
  </r>
  <r>
    <s v="T01251"/>
    <d v="2025-02-28T00:00:00"/>
    <s v="BR003"/>
    <s v="P008"/>
    <s v="C0103"/>
    <n v="5"/>
    <n v="20"/>
    <n v="410000"/>
    <x v="0"/>
    <n v="1640000"/>
    <x v="0"/>
  </r>
  <r>
    <s v="T01334"/>
    <d v="2025-06-11T00:00:00"/>
    <s v="BR003"/>
    <s v="P024"/>
    <s v="C0206"/>
    <n v="1"/>
    <n v="10"/>
    <n v="245000"/>
    <x v="0"/>
    <n v="220500"/>
    <x v="2"/>
  </r>
  <r>
    <s v="T00839"/>
    <d v="2025-06-14T00:00:00"/>
    <s v="BR001"/>
    <s v="P014"/>
    <s v="C0117"/>
    <n v="1"/>
    <n v="0"/>
    <n v="285000"/>
    <x v="2"/>
    <n v="285000"/>
    <x v="0"/>
  </r>
  <r>
    <s v="T00935"/>
    <d v="2025-11-04T00:00:00"/>
    <s v="BR001"/>
    <s v="P016"/>
    <s v="C0154"/>
    <n v="1"/>
    <n v="0"/>
    <n v="19500"/>
    <x v="2"/>
    <n v="19500"/>
    <x v="0"/>
  </r>
  <r>
    <s v="T01082"/>
    <d v="2025-09-17T00:00:00"/>
    <s v="BR001"/>
    <s v="P003"/>
    <s v="C0152"/>
    <n v="1"/>
    <n v="25"/>
    <n v="45000"/>
    <x v="2"/>
    <n v="33750"/>
    <x v="1"/>
  </r>
  <r>
    <s v="T00443"/>
    <d v="2025-01-09T00:00:00"/>
    <s v="BR004"/>
    <s v="P008"/>
    <s v="C0033"/>
    <n v="1"/>
    <n v="0"/>
    <n v="410000"/>
    <x v="3"/>
    <n v="410000"/>
    <x v="0"/>
  </r>
  <r>
    <s v="T00300"/>
    <d v="2025-09-12T00:00:00"/>
    <s v="BR001"/>
    <s v="P004"/>
    <s v="C0106"/>
    <n v="2"/>
    <n v="5"/>
    <n v="38000"/>
    <x v="2"/>
    <n v="72200"/>
    <x v="1"/>
  </r>
  <r>
    <s v="T01133"/>
    <d v="2025-05-12T00:00:00"/>
    <s v="BR002"/>
    <s v="P025"/>
    <s v="C0091"/>
    <n v="1"/>
    <n v="15"/>
    <n v="175000"/>
    <x v="1"/>
    <n v="148750"/>
    <x v="2"/>
  </r>
  <r>
    <s v="T00376"/>
    <d v="2025-09-14T00:00:00"/>
    <s v="BR002"/>
    <s v="P002"/>
    <s v="C0204"/>
    <n v="2"/>
    <n v="0"/>
    <n v="320000"/>
    <x v="1"/>
    <n v="640000"/>
    <x v="1"/>
  </r>
  <r>
    <s v="T00969"/>
    <d v="2025-02-12T00:00:00"/>
    <s v="BR003"/>
    <s v="P022"/>
    <s v="C0122"/>
    <n v="1"/>
    <n v="0"/>
    <n v="5200"/>
    <x v="0"/>
    <n v="5200"/>
    <x v="3"/>
  </r>
  <r>
    <s v="T01052"/>
    <d v="2025-06-21T00:00:00"/>
    <s v="BR001"/>
    <s v="P010"/>
    <s v="C0209"/>
    <n v="1"/>
    <n v="15"/>
    <n v="62000"/>
    <x v="2"/>
    <n v="52700"/>
    <x v="0"/>
  </r>
  <r>
    <s v="T00836"/>
    <d v="2025-12-06T00:00:00"/>
    <s v="BR001"/>
    <s v="P006"/>
    <s v="C0026"/>
    <n v="1"/>
    <n v="10"/>
    <n v="78000"/>
    <x v="2"/>
    <n v="70200"/>
    <x v="1"/>
  </r>
  <r>
    <s v="T00862"/>
    <d v="2025-05-13T00:00:00"/>
    <s v="BR003"/>
    <s v="P017"/>
    <s v="C0107"/>
    <n v="1"/>
    <n v="0"/>
    <n v="24000"/>
    <x v="0"/>
    <n v="24000"/>
    <x v="0"/>
  </r>
  <r>
    <s v="T00473"/>
    <d v="2025-07-01T00:00:00"/>
    <s v="BR002"/>
    <s v="P025"/>
    <s v="C0011"/>
    <n v="3"/>
    <n v="5"/>
    <n v="175000"/>
    <x v="1"/>
    <n v="498750"/>
    <x v="2"/>
  </r>
  <r>
    <s v="T00772"/>
    <d v="2025-03-11T00:00:00"/>
    <s v="BR002"/>
    <s v="P017"/>
    <s v="C0132"/>
    <n v="1"/>
    <n v="0"/>
    <n v="24000"/>
    <x v="1"/>
    <n v="24000"/>
    <x v="0"/>
  </r>
  <r>
    <s v="T00564"/>
    <d v="2025-12-21T00:00:00"/>
    <s v="BR003"/>
    <s v="P018"/>
    <s v="C0114"/>
    <n v="1"/>
    <n v="20"/>
    <n v="18000"/>
    <x v="0"/>
    <n v="14400"/>
    <x v="3"/>
  </r>
  <r>
    <s v="T01274"/>
    <d v="2025-01-02T00:00:00"/>
    <s v="BR001"/>
    <s v="P012"/>
    <s v="C0108"/>
    <n v="1"/>
    <n v="10"/>
    <n v="28000"/>
    <x v="2"/>
    <n v="25200"/>
    <x v="0"/>
  </r>
  <r>
    <s v="T00389"/>
    <d v="2025-06-15T00:00:00"/>
    <s v="BR001"/>
    <s v="P003"/>
    <s v="C0099"/>
    <n v="1"/>
    <n v="0"/>
    <n v="45000"/>
    <x v="2"/>
    <n v="45000"/>
    <x v="1"/>
  </r>
  <r>
    <s v="T00023"/>
    <d v="2025-02-21T00:00:00"/>
    <s v="BR001"/>
    <s v="P008"/>
    <s v="C0094"/>
    <n v="2"/>
    <n v="5"/>
    <n v="410000"/>
    <x v="2"/>
    <n v="779000"/>
    <x v="0"/>
  </r>
  <r>
    <s v="T00861"/>
    <d v="2025-09-25T00:00:00"/>
    <s v="BR001"/>
    <s v="P023"/>
    <s v="C0070"/>
    <n v="1"/>
    <n v="15"/>
    <n v="195000"/>
    <x v="2"/>
    <n v="165750"/>
    <x v="2"/>
  </r>
  <r>
    <s v="T00125"/>
    <d v="2025-05-21T00:00:00"/>
    <s v="BR002"/>
    <s v="P010"/>
    <s v="C0077"/>
    <n v="1"/>
    <n v="5"/>
    <n v="62000"/>
    <x v="1"/>
    <n v="58900"/>
    <x v="0"/>
  </r>
  <r>
    <s v="T00424"/>
    <d v="2025-12-05T00:00:00"/>
    <s v="BR001"/>
    <s v="P022"/>
    <s v="C0002"/>
    <n v="1"/>
    <n v="10"/>
    <n v="5200"/>
    <x v="2"/>
    <n v="4680"/>
    <x v="3"/>
  </r>
  <r>
    <s v="T01261"/>
    <d v="2025-09-17T00:00:00"/>
    <s v="BR001"/>
    <s v="P021"/>
    <s v="C0032"/>
    <n v="1"/>
    <n v="10"/>
    <n v="6500"/>
    <x v="2"/>
    <n v="5850"/>
    <x v="3"/>
  </r>
  <r>
    <s v="T01003"/>
    <d v="2025-02-13T00:00:00"/>
    <s v="BR001"/>
    <s v="P014"/>
    <s v="C0218"/>
    <n v="1"/>
    <n v="5"/>
    <n v="285000"/>
    <x v="2"/>
    <n v="270750"/>
    <x v="0"/>
  </r>
  <r>
    <s v="T00722"/>
    <d v="2025-02-19T00:00:00"/>
    <s v="BR002"/>
    <s v="P018"/>
    <s v="C0170"/>
    <n v="1"/>
    <n v="0"/>
    <n v="18000"/>
    <x v="1"/>
    <n v="18000"/>
    <x v="3"/>
  </r>
  <r>
    <s v="T00902"/>
    <d v="2025-11-01T00:00:00"/>
    <s v="BR002"/>
    <s v="P016"/>
    <s v="C0117"/>
    <n v="1"/>
    <n v="15"/>
    <n v="19500"/>
    <x v="1"/>
    <n v="16575"/>
    <x v="0"/>
  </r>
  <r>
    <s v="T01064"/>
    <d v="2025-04-05T00:00:00"/>
    <s v="BR001"/>
    <s v="P021"/>
    <s v="C0143"/>
    <n v="1"/>
    <n v="5"/>
    <n v="6500"/>
    <x v="2"/>
    <n v="6175"/>
    <x v="3"/>
  </r>
  <r>
    <s v="T00143"/>
    <d v="2025-03-05T00:00:00"/>
    <s v="BR001"/>
    <s v="P016"/>
    <s v="C0014"/>
    <n v="3"/>
    <n v="10"/>
    <n v="19500"/>
    <x v="2"/>
    <n v="52650"/>
    <x v="0"/>
  </r>
  <r>
    <s v="T00051"/>
    <d v="2025-12-03T00:00:00"/>
    <s v="BR001"/>
    <s v="P009"/>
    <s v="C0217"/>
    <n v="3"/>
    <n v="15"/>
    <n v="265000"/>
    <x v="2"/>
    <n v="675750"/>
    <x v="0"/>
  </r>
  <r>
    <s v="T01344"/>
    <d v="2025-11-11T00:00:00"/>
    <s v="BR001"/>
    <s v="P012"/>
    <s v="C0145"/>
    <n v="1"/>
    <n v="10"/>
    <n v="28000"/>
    <x v="2"/>
    <n v="25200"/>
    <x v="0"/>
  </r>
  <r>
    <s v="T00998"/>
    <d v="2025-01-07T00:00:00"/>
    <s v="BR003"/>
    <s v="P003"/>
    <s v="C0176"/>
    <n v="2"/>
    <n v="0"/>
    <n v="45000"/>
    <x v="0"/>
    <n v="90000"/>
    <x v="1"/>
  </r>
  <r>
    <s v="T00624"/>
    <d v="2025-10-25T00:00:00"/>
    <s v="BR001"/>
    <s v="P019"/>
    <s v="C0148"/>
    <n v="1"/>
    <n v="15"/>
    <n v="21000"/>
    <x v="2"/>
    <n v="17850"/>
    <x v="3"/>
  </r>
  <r>
    <s v="T01025"/>
    <d v="2025-12-12T00:00:00"/>
    <s v="BR001"/>
    <s v="P022"/>
    <s v="C0070"/>
    <n v="1"/>
    <n v="10"/>
    <n v="5200"/>
    <x v="2"/>
    <n v="4680"/>
    <x v="3"/>
  </r>
  <r>
    <s v="T00082"/>
    <d v="2025-07-10T00:00:00"/>
    <s v="BR003"/>
    <s v="P002"/>
    <s v="C0145"/>
    <n v="1"/>
    <n v="0"/>
    <n v="320000"/>
    <x v="0"/>
    <n v="320000"/>
    <x v="1"/>
  </r>
  <r>
    <s v="T00704"/>
    <d v="2025-06-19T00:00:00"/>
    <s v="BR001"/>
    <s v="P004"/>
    <s v="C0021"/>
    <n v="1"/>
    <n v="0"/>
    <n v="38000"/>
    <x v="2"/>
    <n v="38000"/>
    <x v="1"/>
  </r>
  <r>
    <s v="T00483"/>
    <d v="2025-10-20T00:00:00"/>
    <s v="BR002"/>
    <s v="P016"/>
    <s v="C0134"/>
    <n v="1"/>
    <n v="0"/>
    <n v="19500"/>
    <x v="1"/>
    <n v="19500"/>
    <x v="0"/>
  </r>
  <r>
    <s v="T00322"/>
    <d v="2025-08-06T00:00:00"/>
    <s v="BR003"/>
    <s v="P020"/>
    <s v="C0079"/>
    <n v="1"/>
    <n v="0"/>
    <n v="8500"/>
    <x v="0"/>
    <n v="8500"/>
    <x v="3"/>
  </r>
  <r>
    <s v="T01171"/>
    <d v="2025-11-06T00:00:00"/>
    <s v="BR004"/>
    <s v="P012"/>
    <s v="C0057"/>
    <n v="1"/>
    <n v="0"/>
    <n v="28000"/>
    <x v="3"/>
    <n v="28000"/>
    <x v="0"/>
  </r>
  <r>
    <s v="T00968"/>
    <d v="2025-10-13T00:00:00"/>
    <s v="BR003"/>
    <s v="P012"/>
    <s v="C0063"/>
    <n v="1"/>
    <n v="20"/>
    <n v="28000"/>
    <x v="0"/>
    <n v="22400"/>
    <x v="0"/>
  </r>
  <r>
    <s v="T01337"/>
    <d v="2025-03-16T00:00:00"/>
    <s v="BR002"/>
    <s v="P012"/>
    <s v="C0078"/>
    <n v="2"/>
    <n v="0"/>
    <n v="28000"/>
    <x v="1"/>
    <n v="56000"/>
    <x v="0"/>
  </r>
  <r>
    <s v="T00067"/>
    <d v="2025-12-14T00:00:00"/>
    <s v="BR002"/>
    <s v="P023"/>
    <s v="C0144"/>
    <n v="2"/>
    <n v="10"/>
    <n v="195000"/>
    <x v="1"/>
    <n v="351000"/>
    <x v="2"/>
  </r>
  <r>
    <s v="T00801"/>
    <d v="2025-12-22T00:00:00"/>
    <s v="BR004"/>
    <s v="P023"/>
    <s v="C0111"/>
    <n v="2"/>
    <n v="10"/>
    <n v="195000"/>
    <x v="3"/>
    <n v="351000"/>
    <x v="2"/>
  </r>
  <r>
    <s v="T01242"/>
    <d v="2025-07-11T00:00:00"/>
    <s v="BR002"/>
    <s v="P017"/>
    <s v="C0045"/>
    <n v="1"/>
    <n v="20"/>
    <n v="24000"/>
    <x v="1"/>
    <n v="19200"/>
    <x v="0"/>
  </r>
  <r>
    <s v="T00747"/>
    <d v="2025-04-02T00:00:00"/>
    <s v="BR002"/>
    <s v="P007"/>
    <s v="C0178"/>
    <n v="1"/>
    <n v="20"/>
    <n v="145000"/>
    <x v="1"/>
    <n v="116000"/>
    <x v="1"/>
  </r>
  <r>
    <s v="T00032"/>
    <d v="2025-01-15T00:00:00"/>
    <s v="BR001"/>
    <s v="P004"/>
    <s v="C0034"/>
    <n v="1"/>
    <n v="0"/>
    <n v="38000"/>
    <x v="2"/>
    <n v="38000"/>
    <x v="1"/>
  </r>
  <r>
    <s v="T00418"/>
    <d v="2025-05-07T00:00:00"/>
    <s v="BR001"/>
    <s v="P023"/>
    <s v="C0187"/>
    <n v="1"/>
    <n v="0"/>
    <n v="195000"/>
    <x v="2"/>
    <n v="195000"/>
    <x v="2"/>
  </r>
  <r>
    <s v="T00633"/>
    <d v="2025-05-06T00:00:00"/>
    <s v="BR001"/>
    <s v="P016"/>
    <s v="C0052"/>
    <n v="1"/>
    <n v="5"/>
    <n v="19500"/>
    <x v="2"/>
    <n v="18525"/>
    <x v="0"/>
  </r>
  <r>
    <s v="T01284"/>
    <d v="2025-11-14T00:00:00"/>
    <s v="BR001"/>
    <s v="P001"/>
    <s v="C0161"/>
    <n v="2"/>
    <n v="10"/>
    <n v="185000"/>
    <x v="2"/>
    <n v="333000"/>
    <x v="1"/>
  </r>
  <r>
    <s v="T00065"/>
    <d v="2025-12-09T00:00:00"/>
    <s v="BR002"/>
    <s v="P025"/>
    <s v="C0123"/>
    <n v="1"/>
    <n v="10"/>
    <n v="175000"/>
    <x v="1"/>
    <n v="157500"/>
    <x v="2"/>
  </r>
  <r>
    <s v="T00140"/>
    <d v="2025-09-20T00:00:00"/>
    <s v="BR002"/>
    <s v="P017"/>
    <s v="C0146"/>
    <n v="1"/>
    <n v="5"/>
    <n v="24000"/>
    <x v="1"/>
    <n v="22800"/>
    <x v="0"/>
  </r>
  <r>
    <s v="T01131"/>
    <d v="2025-11-08T00:00:00"/>
    <s v="BR004"/>
    <s v="P007"/>
    <s v="C0130"/>
    <n v="2"/>
    <n v="5"/>
    <n v="145000"/>
    <x v="3"/>
    <n v="275500"/>
    <x v="1"/>
  </r>
  <r>
    <s v="T01234"/>
    <d v="2025-01-12T00:00:00"/>
    <s v="BR003"/>
    <s v="P017"/>
    <s v="C0112"/>
    <n v="2"/>
    <n v="0"/>
    <n v="24000"/>
    <x v="0"/>
    <n v="48000"/>
    <x v="0"/>
  </r>
  <r>
    <s v="T00492"/>
    <d v="2025-09-17T00:00:00"/>
    <s v="BR004"/>
    <s v="P009"/>
    <s v="C0068"/>
    <n v="1"/>
    <n v="0"/>
    <n v="265000"/>
    <x v="3"/>
    <n v="265000"/>
    <x v="0"/>
  </r>
  <r>
    <s v="T01382"/>
    <d v="2025-09-17T00:00:00"/>
    <s v="BR001"/>
    <s v="P009"/>
    <s v="C0008"/>
    <n v="2"/>
    <n v="0"/>
    <n v="265000"/>
    <x v="2"/>
    <n v="530000"/>
    <x v="0"/>
  </r>
  <r>
    <s v="T00986"/>
    <d v="2025-11-18T00:00:00"/>
    <s v="BR001"/>
    <s v="P010"/>
    <s v="C0044"/>
    <n v="1"/>
    <n v="15"/>
    <n v="62000"/>
    <x v="2"/>
    <n v="52700"/>
    <x v="0"/>
  </r>
  <r>
    <s v="T00533"/>
    <d v="2025-10-18T00:00:00"/>
    <s v="BR002"/>
    <s v="P024"/>
    <s v="C0122"/>
    <n v="2"/>
    <n v="0"/>
    <n v="245000"/>
    <x v="1"/>
    <n v="490000"/>
    <x v="2"/>
  </r>
  <r>
    <s v="T00066"/>
    <d v="2025-07-19T00:00:00"/>
    <s v="BR001"/>
    <s v="P024"/>
    <s v="C0008"/>
    <n v="1"/>
    <n v="5"/>
    <n v="245000"/>
    <x v="2"/>
    <n v="232750"/>
    <x v="2"/>
  </r>
  <r>
    <s v="T01183"/>
    <d v="2025-12-05T00:00:00"/>
    <s v="BR003"/>
    <s v="P004"/>
    <s v="C0066"/>
    <n v="1"/>
    <n v="10"/>
    <n v="38000"/>
    <x v="0"/>
    <n v="34200"/>
    <x v="1"/>
  </r>
  <r>
    <s v="T00792"/>
    <d v="2025-07-20T00:00:00"/>
    <s v="BR001"/>
    <s v="P005"/>
    <s v="C0203"/>
    <n v="1"/>
    <n v="15"/>
    <n v="95000"/>
    <x v="2"/>
    <n v="80750"/>
    <x v="1"/>
  </r>
  <r>
    <s v="T01178"/>
    <d v="2025-04-09T00:00:00"/>
    <s v="BR002"/>
    <s v="P021"/>
    <s v="C0034"/>
    <n v="1"/>
    <n v="5"/>
    <n v="6500"/>
    <x v="1"/>
    <n v="6175"/>
    <x v="3"/>
  </r>
  <r>
    <s v="T00297"/>
    <d v="2025-12-10T00:00:00"/>
    <s v="BR002"/>
    <s v="P008"/>
    <s v="C0082"/>
    <n v="3"/>
    <n v="10"/>
    <n v="410000"/>
    <x v="1"/>
    <n v="1107000"/>
    <x v="0"/>
  </r>
  <r>
    <s v="T00592"/>
    <d v="2025-12-19T00:00:00"/>
    <s v="BR003"/>
    <s v="P023"/>
    <s v="C0118"/>
    <n v="2"/>
    <n v="20"/>
    <n v="195000"/>
    <x v="0"/>
    <n v="312000"/>
    <x v="2"/>
  </r>
  <r>
    <s v="T00420"/>
    <d v="2025-09-20T00:00:00"/>
    <s v="BR004"/>
    <s v="P023"/>
    <s v="C0077"/>
    <n v="1"/>
    <n v="5"/>
    <n v="195000"/>
    <x v="3"/>
    <n v="185250"/>
    <x v="2"/>
  </r>
  <r>
    <s v="T00439"/>
    <d v="2025-05-28T00:00:00"/>
    <s v="BR004"/>
    <s v="P019"/>
    <s v="C0212"/>
    <n v="2"/>
    <n v="20"/>
    <n v="21000"/>
    <x v="3"/>
    <n v="33600"/>
    <x v="3"/>
  </r>
  <r>
    <s v="T00262"/>
    <d v="2025-10-10T00:00:00"/>
    <s v="BR004"/>
    <s v="P022"/>
    <s v="C0215"/>
    <n v="1"/>
    <n v="0"/>
    <n v="5200"/>
    <x v="3"/>
    <n v="5200"/>
    <x v="3"/>
  </r>
  <r>
    <s v="T00725"/>
    <d v="2025-01-10T00:00:00"/>
    <s v="BR003"/>
    <s v="P021"/>
    <s v="C0017"/>
    <n v="2"/>
    <n v="0"/>
    <n v="6500"/>
    <x v="0"/>
    <n v="13000"/>
    <x v="3"/>
  </r>
  <r>
    <s v="T00978"/>
    <d v="2025-09-21T00:00:00"/>
    <s v="BR001"/>
    <s v="P016"/>
    <s v="C0042"/>
    <n v="1"/>
    <n v="20"/>
    <n v="19500"/>
    <x v="2"/>
    <n v="15600"/>
    <x v="0"/>
  </r>
  <r>
    <s v="T00282"/>
    <d v="2025-06-19T00:00:00"/>
    <s v="BR002"/>
    <s v="P008"/>
    <s v="C0178"/>
    <n v="2"/>
    <n v="0"/>
    <n v="410000"/>
    <x v="1"/>
    <n v="820000"/>
    <x v="0"/>
  </r>
  <r>
    <s v="T00627"/>
    <d v="2025-03-11T00:00:00"/>
    <s v="BR003"/>
    <s v="P008"/>
    <s v="C0026"/>
    <n v="1"/>
    <n v="5"/>
    <n v="410000"/>
    <x v="0"/>
    <n v="389500"/>
    <x v="0"/>
  </r>
  <r>
    <s v="T00887"/>
    <d v="2025-04-27T00:00:00"/>
    <s v="BR001"/>
    <s v="P001"/>
    <s v="C0104"/>
    <n v="1"/>
    <n v="0"/>
    <n v="185000"/>
    <x v="2"/>
    <n v="185000"/>
    <x v="1"/>
  </r>
  <r>
    <s v="T00946"/>
    <d v="2025-03-17T00:00:00"/>
    <s v="BR001"/>
    <s v="P003"/>
    <s v="C0105"/>
    <n v="1"/>
    <n v="0"/>
    <n v="45000"/>
    <x v="2"/>
    <n v="45000"/>
    <x v="1"/>
  </r>
  <r>
    <s v="T01362"/>
    <d v="2025-11-21T00:00:00"/>
    <s v="BR004"/>
    <s v="P009"/>
    <s v="C0194"/>
    <n v="1"/>
    <n v="10"/>
    <n v="265000"/>
    <x v="3"/>
    <n v="238500"/>
    <x v="0"/>
  </r>
  <r>
    <s v="T00189"/>
    <d v="2025-12-28T00:00:00"/>
    <s v="BR001"/>
    <s v="P016"/>
    <s v="C0049"/>
    <n v="1"/>
    <n v="0"/>
    <n v="19500"/>
    <x v="2"/>
    <n v="19500"/>
    <x v="0"/>
  </r>
  <r>
    <s v="T01129"/>
    <d v="2025-05-26T00:00:00"/>
    <s v="BR004"/>
    <s v="P018"/>
    <s v="C0189"/>
    <n v="1"/>
    <n v="0"/>
    <n v="18000"/>
    <x v="3"/>
    <n v="18000"/>
    <x v="3"/>
  </r>
  <r>
    <s v="T00252"/>
    <d v="2025-12-19T00:00:00"/>
    <s v="BR001"/>
    <s v="P009"/>
    <s v="C0068"/>
    <n v="2"/>
    <n v="10"/>
    <n v="265000"/>
    <x v="2"/>
    <n v="477000"/>
    <x v="0"/>
  </r>
  <r>
    <s v="T00584"/>
    <d v="2025-12-13T00:00:00"/>
    <s v="BR002"/>
    <s v="P017"/>
    <s v="C0034"/>
    <n v="3"/>
    <n v="30"/>
    <n v="24000"/>
    <x v="1"/>
    <n v="50400"/>
    <x v="0"/>
  </r>
  <r>
    <s v="T00987"/>
    <d v="2025-11-27T00:00:00"/>
    <s v="BR002"/>
    <s v="P002"/>
    <s v="C0138"/>
    <n v="1"/>
    <n v="10"/>
    <n v="320000"/>
    <x v="1"/>
    <n v="288000"/>
    <x v="1"/>
  </r>
  <r>
    <s v="T00979"/>
    <d v="2025-04-04T00:00:00"/>
    <s v="BR002"/>
    <s v="P005"/>
    <s v="C0211"/>
    <n v="2"/>
    <n v="0"/>
    <n v="95000"/>
    <x v="1"/>
    <n v="190000"/>
    <x v="1"/>
  </r>
  <r>
    <s v="T01074"/>
    <d v="2025-09-15T00:00:00"/>
    <s v="BR004"/>
    <s v="P003"/>
    <s v="C0137"/>
    <n v="5"/>
    <n v="0"/>
    <n v="45000"/>
    <x v="3"/>
    <n v="225000"/>
    <x v="1"/>
  </r>
  <r>
    <s v="T00515"/>
    <d v="2025-06-14T00:00:00"/>
    <s v="BR003"/>
    <s v="P020"/>
    <s v="C0099"/>
    <n v="1"/>
    <n v="0"/>
    <n v="8500"/>
    <x v="0"/>
    <n v="8500"/>
    <x v="3"/>
  </r>
  <r>
    <s v="T00830"/>
    <d v="2025-09-20T00:00:00"/>
    <s v="BR003"/>
    <s v="P018"/>
    <s v="C0205"/>
    <n v="2"/>
    <n v="0"/>
    <n v="18000"/>
    <x v="0"/>
    <n v="36000"/>
    <x v="3"/>
  </r>
  <r>
    <s v="T00707"/>
    <d v="2025-04-19T00:00:00"/>
    <s v="BR004"/>
    <s v="P020"/>
    <s v="C0207"/>
    <n v="1"/>
    <n v="10"/>
    <n v="8500"/>
    <x v="3"/>
    <n v="7650"/>
    <x v="3"/>
  </r>
  <r>
    <s v="T00488"/>
    <d v="2025-09-23T00:00:00"/>
    <s v="BR002"/>
    <s v="P018"/>
    <s v="C0170"/>
    <n v="1"/>
    <n v="0"/>
    <n v="18000"/>
    <x v="1"/>
    <n v="18000"/>
    <x v="3"/>
  </r>
  <r>
    <s v="T00664"/>
    <d v="2025-12-23T00:00:00"/>
    <s v="BR001"/>
    <s v="P020"/>
    <s v="C0027"/>
    <n v="1"/>
    <n v="15"/>
    <n v="8500"/>
    <x v="2"/>
    <n v="7225"/>
    <x v="3"/>
  </r>
  <r>
    <s v="T00274"/>
    <d v="2025-09-28T00:00:00"/>
    <s v="BR002"/>
    <s v="P010"/>
    <s v="C0066"/>
    <n v="2"/>
    <n v="0"/>
    <n v="62000"/>
    <x v="1"/>
    <n v="124000"/>
    <x v="0"/>
  </r>
  <r>
    <s v="T00686"/>
    <d v="2025-02-27T00:00:00"/>
    <s v="BR002"/>
    <s v="P021"/>
    <s v="C0184"/>
    <n v="5"/>
    <n v="0"/>
    <n v="6500"/>
    <x v="1"/>
    <n v="32500"/>
    <x v="3"/>
  </r>
  <r>
    <s v="T01167"/>
    <d v="2025-10-28T00:00:00"/>
    <s v="BR001"/>
    <s v="P020"/>
    <s v="C0078"/>
    <n v="1"/>
    <n v="0"/>
    <n v="8500"/>
    <x v="2"/>
    <n v="8500"/>
    <x v="3"/>
  </r>
  <r>
    <s v="T01266"/>
    <d v="2025-11-03T00:00:00"/>
    <s v="BR002"/>
    <s v="P008"/>
    <s v="C0148"/>
    <n v="1"/>
    <n v="5"/>
    <n v="410000"/>
    <x v="1"/>
    <n v="389500"/>
    <x v="0"/>
  </r>
  <r>
    <s v="T00449"/>
    <d v="2025-03-01T00:00:00"/>
    <s v="BR002"/>
    <s v="P002"/>
    <s v="C0186"/>
    <n v="1"/>
    <n v="10"/>
    <n v="320000"/>
    <x v="1"/>
    <n v="288000"/>
    <x v="1"/>
  </r>
  <r>
    <s v="T00412"/>
    <d v="2025-06-21T00:00:00"/>
    <s v="BR002"/>
    <s v="P002"/>
    <s v="C0118"/>
    <n v="5"/>
    <n v="5"/>
    <n v="320000"/>
    <x v="1"/>
    <n v="1520000"/>
    <x v="1"/>
  </r>
  <r>
    <s v="T00459"/>
    <d v="2025-12-03T00:00:00"/>
    <s v="BR003"/>
    <s v="P025"/>
    <s v="C0004"/>
    <n v="1"/>
    <n v="5"/>
    <n v="175000"/>
    <x v="0"/>
    <n v="166250"/>
    <x v="2"/>
  </r>
  <r>
    <s v="T01012"/>
    <d v="2025-09-28T00:00:00"/>
    <s v="BR001"/>
    <s v="P001"/>
    <s v="C0114"/>
    <n v="5"/>
    <n v="15"/>
    <n v="185000"/>
    <x v="2"/>
    <n v="786250"/>
    <x v="1"/>
  </r>
  <r>
    <s v="T01226"/>
    <d v="2025-03-15T00:00:00"/>
    <s v="BR003"/>
    <s v="P015"/>
    <s v="C0155"/>
    <n v="1"/>
    <n v="15"/>
    <n v="15000"/>
    <x v="0"/>
    <n v="12750"/>
    <x v="0"/>
  </r>
  <r>
    <s v="T00668"/>
    <d v="2025-11-19T00:00:00"/>
    <s v="BR004"/>
    <s v="P021"/>
    <s v="C0206"/>
    <n v="1"/>
    <n v="0"/>
    <n v="6500"/>
    <x v="3"/>
    <n v="6500"/>
    <x v="3"/>
  </r>
  <r>
    <s v="T01163"/>
    <d v="2025-06-25T00:00:00"/>
    <s v="BR001"/>
    <s v="P012"/>
    <s v="C0085"/>
    <n v="1"/>
    <n v="0"/>
    <n v="28000"/>
    <x v="2"/>
    <n v="28000"/>
    <x v="0"/>
  </r>
  <r>
    <s v="T00150"/>
    <d v="2025-07-14T00:00:00"/>
    <s v="BR002"/>
    <s v="P025"/>
    <s v="C0217"/>
    <n v="1"/>
    <n v="5"/>
    <n v="175000"/>
    <x v="1"/>
    <n v="166250"/>
    <x v="2"/>
  </r>
  <r>
    <s v="T01359"/>
    <d v="2025-03-16T00:00:00"/>
    <s v="BR002"/>
    <s v="P009"/>
    <s v="C0149"/>
    <n v="1"/>
    <n v="0"/>
    <n v="265000"/>
    <x v="1"/>
    <n v="265000"/>
    <x v="0"/>
  </r>
  <r>
    <s v="T01147"/>
    <d v="2025-10-14T00:00:00"/>
    <s v="BR001"/>
    <s v="P024"/>
    <s v="C0112"/>
    <n v="2"/>
    <n v="0"/>
    <n v="245000"/>
    <x v="2"/>
    <n v="490000"/>
    <x v="2"/>
  </r>
  <r>
    <s v="T00734"/>
    <d v="2025-08-17T00:00:00"/>
    <s v="BR004"/>
    <s v="P012"/>
    <s v="C0124"/>
    <n v="1"/>
    <n v="0"/>
    <n v="28000"/>
    <x v="3"/>
    <n v="28000"/>
    <x v="0"/>
  </r>
  <r>
    <s v="T00219"/>
    <d v="2025-04-08T00:00:00"/>
    <s v="BR003"/>
    <s v="P024"/>
    <s v="C0197"/>
    <n v="1"/>
    <n v="0"/>
    <n v="245000"/>
    <x v="0"/>
    <n v="245000"/>
    <x v="2"/>
  </r>
  <r>
    <s v="T00240"/>
    <d v="2025-07-17T00:00:00"/>
    <s v="BR001"/>
    <s v="P011"/>
    <s v="C0069"/>
    <n v="1"/>
    <n v="0"/>
    <n v="74000"/>
    <x v="2"/>
    <n v="74000"/>
    <x v="0"/>
  </r>
  <r>
    <s v="T01096"/>
    <d v="2025-07-09T00:00:00"/>
    <s v="BR001"/>
    <s v="P010"/>
    <s v="C0033"/>
    <n v="1"/>
    <n v="15"/>
    <n v="62000"/>
    <x v="2"/>
    <n v="52700"/>
    <x v="0"/>
  </r>
  <r>
    <s v="T00726"/>
    <d v="2025-12-15T00:00:00"/>
    <s v="BR001"/>
    <s v="P017"/>
    <s v="C0075"/>
    <n v="1"/>
    <n v="5"/>
    <n v="24000"/>
    <x v="2"/>
    <n v="22800"/>
    <x v="0"/>
  </r>
  <r>
    <s v="T00193"/>
    <d v="2025-01-15T00:00:00"/>
    <s v="BR004"/>
    <s v="P009"/>
    <s v="C0109"/>
    <n v="1"/>
    <n v="0"/>
    <n v="265000"/>
    <x v="3"/>
    <n v="265000"/>
    <x v="0"/>
  </r>
  <r>
    <s v="T00962"/>
    <d v="2025-11-17T00:00:00"/>
    <s v="BR004"/>
    <s v="P008"/>
    <s v="C0053"/>
    <n v="1"/>
    <n v="0"/>
    <n v="410000"/>
    <x v="3"/>
    <n v="410000"/>
    <x v="0"/>
  </r>
  <r>
    <s v="T00192"/>
    <d v="2025-06-17T00:00:00"/>
    <s v="BR004"/>
    <s v="P019"/>
    <s v="C0153"/>
    <n v="1"/>
    <n v="0"/>
    <n v="21000"/>
    <x v="3"/>
    <n v="21000"/>
    <x v="3"/>
  </r>
  <r>
    <s v="T00817"/>
    <d v="2025-12-08T00:00:00"/>
    <s v="BR001"/>
    <s v="P004"/>
    <s v="C0131"/>
    <n v="1"/>
    <n v="0"/>
    <n v="38000"/>
    <x v="2"/>
    <n v="38000"/>
    <x v="1"/>
  </r>
  <r>
    <s v="T00838"/>
    <d v="2025-01-02T00:00:00"/>
    <s v="BR003"/>
    <s v="P022"/>
    <s v="C0121"/>
    <n v="1"/>
    <n v="5"/>
    <n v="5200"/>
    <x v="0"/>
    <n v="4940"/>
    <x v="3"/>
  </r>
  <r>
    <s v="T00842"/>
    <d v="2025-02-24T00:00:00"/>
    <s v="BR001"/>
    <s v="P024"/>
    <s v="C0172"/>
    <n v="1"/>
    <n v="0"/>
    <n v="245000"/>
    <x v="2"/>
    <n v="245000"/>
    <x v="2"/>
  </r>
  <r>
    <s v="T00645"/>
    <d v="2025-12-14T00:00:00"/>
    <s v="BR004"/>
    <s v="P003"/>
    <s v="C0083"/>
    <n v="1"/>
    <n v="15"/>
    <n v="45000"/>
    <x v="3"/>
    <n v="38250"/>
    <x v="1"/>
  </r>
  <r>
    <s v="T00996"/>
    <d v="2025-11-15T00:00:00"/>
    <s v="BR001"/>
    <s v="P008"/>
    <s v="C0157"/>
    <n v="1"/>
    <n v="0"/>
    <n v="410000"/>
    <x v="2"/>
    <n v="410000"/>
    <x v="0"/>
  </r>
  <r>
    <s v="T01073"/>
    <d v="2025-02-22T00:00:00"/>
    <s v="BR001"/>
    <s v="P007"/>
    <s v="C0024"/>
    <n v="1"/>
    <n v="15"/>
    <n v="145000"/>
    <x v="2"/>
    <n v="123250"/>
    <x v="1"/>
  </r>
  <r>
    <s v="T01364"/>
    <d v="2025-07-25T00:00:00"/>
    <s v="BR002"/>
    <s v="P023"/>
    <s v="C0015"/>
    <n v="1"/>
    <n v="0"/>
    <n v="195000"/>
    <x v="1"/>
    <n v="195000"/>
    <x v="2"/>
  </r>
  <r>
    <s v="T00017"/>
    <d v="2025-04-22T00:00:00"/>
    <s v="BR004"/>
    <s v="P008"/>
    <s v="C0213"/>
    <n v="5"/>
    <n v="0"/>
    <n v="410000"/>
    <x v="3"/>
    <n v="2050000"/>
    <x v="0"/>
  </r>
  <r>
    <s v="T01000"/>
    <d v="2025-07-02T00:00:00"/>
    <s v="BR003"/>
    <s v="P002"/>
    <s v="C0215"/>
    <n v="1"/>
    <n v="0"/>
    <n v="320000"/>
    <x v="0"/>
    <n v="320000"/>
    <x v="1"/>
  </r>
  <r>
    <s v="T01132"/>
    <d v="2025-07-01T00:00:00"/>
    <s v="BR001"/>
    <s v="P021"/>
    <s v="C0066"/>
    <n v="1"/>
    <n v="0"/>
    <n v="6500"/>
    <x v="2"/>
    <n v="6500"/>
    <x v="3"/>
  </r>
  <r>
    <s v="T00583"/>
    <d v="2025-04-07T00:00:00"/>
    <s v="BR004"/>
    <s v="P023"/>
    <s v="C0182"/>
    <n v="1"/>
    <n v="0"/>
    <n v="195000"/>
    <x v="3"/>
    <n v="195000"/>
    <x v="2"/>
  </r>
  <r>
    <s v="T01335"/>
    <d v="2025-11-17T00:00:00"/>
    <s v="BR001"/>
    <s v="P014"/>
    <s v="C0080"/>
    <n v="1"/>
    <n v="10"/>
    <n v="285000"/>
    <x v="2"/>
    <n v="256500"/>
    <x v="0"/>
  </r>
  <r>
    <s v="T01217"/>
    <d v="2025-08-26T00:00:00"/>
    <s v="BR001"/>
    <s v="P011"/>
    <s v="C0140"/>
    <n v="1"/>
    <n v="0"/>
    <n v="74000"/>
    <x v="2"/>
    <n v="74000"/>
    <x v="0"/>
  </r>
  <r>
    <s v="T00628"/>
    <d v="2025-10-04T00:00:00"/>
    <s v="BR004"/>
    <s v="P017"/>
    <s v="C0119"/>
    <n v="2"/>
    <n v="0"/>
    <n v="24000"/>
    <x v="3"/>
    <n v="48000"/>
    <x v="0"/>
  </r>
  <r>
    <s v="T01305"/>
    <d v="2025-08-20T00:00:00"/>
    <s v="BR001"/>
    <s v="P008"/>
    <s v="C0181"/>
    <n v="3"/>
    <n v="0"/>
    <n v="410000"/>
    <x v="2"/>
    <n v="1230000"/>
    <x v="0"/>
  </r>
  <r>
    <s v="T00324"/>
    <d v="2025-05-05T00:00:00"/>
    <s v="BR002"/>
    <s v="P021"/>
    <s v="C0209"/>
    <n v="2"/>
    <n v="10"/>
    <n v="6500"/>
    <x v="1"/>
    <n v="11700"/>
    <x v="3"/>
  </r>
  <r>
    <s v="T00825"/>
    <d v="2025-05-02T00:00:00"/>
    <s v="BR002"/>
    <s v="P001"/>
    <s v="C0174"/>
    <n v="5"/>
    <n v="0"/>
    <n v="185000"/>
    <x v="1"/>
    <n v="925000"/>
    <x v="1"/>
  </r>
  <r>
    <s v="T01345"/>
    <d v="2025-11-04T00:00:00"/>
    <s v="BR001"/>
    <s v="P021"/>
    <s v="C0204"/>
    <n v="1"/>
    <n v="5"/>
    <n v="6500"/>
    <x v="2"/>
    <n v="6175"/>
    <x v="3"/>
  </r>
  <r>
    <s v="T00632"/>
    <d v="2025-10-14T00:00:00"/>
    <s v="BR003"/>
    <s v="P006"/>
    <s v="C0006"/>
    <n v="2"/>
    <n v="0"/>
    <n v="78000"/>
    <x v="0"/>
    <n v="156000"/>
    <x v="1"/>
  </r>
  <r>
    <s v="T01105"/>
    <d v="2025-02-04T00:00:00"/>
    <s v="BR002"/>
    <s v="P001"/>
    <s v="C0104"/>
    <n v="1"/>
    <n v="0"/>
    <n v="185000"/>
    <x v="1"/>
    <n v="185000"/>
    <x v="1"/>
  </r>
  <r>
    <s v="T00779"/>
    <d v="2025-05-22T00:00:00"/>
    <s v="BR002"/>
    <s v="P010"/>
    <s v="C0200"/>
    <n v="1"/>
    <n v="0"/>
    <n v="62000"/>
    <x v="1"/>
    <n v="62000"/>
    <x v="0"/>
  </r>
  <r>
    <s v="T01256"/>
    <d v="2025-02-19T00:00:00"/>
    <s v="BR004"/>
    <s v="P012"/>
    <s v="C0118"/>
    <n v="1"/>
    <n v="20"/>
    <n v="28000"/>
    <x v="3"/>
    <n v="22400"/>
    <x v="0"/>
  </r>
  <r>
    <s v="T00438"/>
    <d v="2025-04-09T00:00:00"/>
    <s v="BR001"/>
    <s v="P023"/>
    <s v="C0174"/>
    <n v="1"/>
    <n v="0"/>
    <n v="195000"/>
    <x v="2"/>
    <n v="195000"/>
    <x v="2"/>
  </r>
  <r>
    <s v="T00120"/>
    <d v="2025-08-14T00:00:00"/>
    <s v="BR002"/>
    <s v="P007"/>
    <s v="C0089"/>
    <n v="1"/>
    <n v="0"/>
    <n v="145000"/>
    <x v="1"/>
    <n v="145000"/>
    <x v="1"/>
  </r>
  <r>
    <s v="T01094"/>
    <d v="2025-05-09T00:00:00"/>
    <s v="BR002"/>
    <s v="P017"/>
    <s v="C0158"/>
    <n v="1"/>
    <n v="0"/>
    <n v="24000"/>
    <x v="1"/>
    <n v="24000"/>
    <x v="0"/>
  </r>
  <r>
    <s v="T00791"/>
    <d v="2025-11-13T00:00:00"/>
    <s v="BR003"/>
    <s v="P016"/>
    <s v="C0106"/>
    <n v="1"/>
    <n v="5"/>
    <n v="19500"/>
    <x v="0"/>
    <n v="18525"/>
    <x v="0"/>
  </r>
  <r>
    <s v="T00342"/>
    <d v="2025-12-25T00:00:00"/>
    <s v="BR003"/>
    <s v="P011"/>
    <s v="C0055"/>
    <n v="1"/>
    <n v="15"/>
    <n v="74000"/>
    <x v="0"/>
    <n v="62900"/>
    <x v="0"/>
  </r>
  <r>
    <s v="T00816"/>
    <d v="2025-01-07T00:00:00"/>
    <s v="BR001"/>
    <s v="P004"/>
    <s v="C0134"/>
    <n v="2"/>
    <n v="15"/>
    <n v="38000"/>
    <x v="2"/>
    <n v="64600"/>
    <x v="1"/>
  </r>
  <r>
    <s v="T00003"/>
    <d v="2025-12-10T00:00:00"/>
    <s v="BR004"/>
    <s v="P018"/>
    <s v="C0217"/>
    <n v="2"/>
    <n v="0"/>
    <n v="18000"/>
    <x v="3"/>
    <n v="36000"/>
    <x v="3"/>
  </r>
  <r>
    <s v="T00230"/>
    <d v="2025-07-06T00:00:00"/>
    <s v="BR002"/>
    <s v="P019"/>
    <s v="C0176"/>
    <n v="1"/>
    <n v="0"/>
    <n v="21000"/>
    <x v="1"/>
    <n v="21000"/>
    <x v="3"/>
  </r>
  <r>
    <s v="T00981"/>
    <d v="2025-12-19T00:00:00"/>
    <s v="BR001"/>
    <s v="P004"/>
    <s v="C0137"/>
    <n v="1"/>
    <n v="10"/>
    <n v="38000"/>
    <x v="2"/>
    <n v="34200"/>
    <x v="1"/>
  </r>
  <r>
    <s v="T01355"/>
    <d v="2025-02-19T00:00:00"/>
    <s v="BR002"/>
    <s v="P004"/>
    <s v="C0204"/>
    <n v="1"/>
    <n v="0"/>
    <n v="38000"/>
    <x v="1"/>
    <n v="38000"/>
    <x v="1"/>
  </r>
  <r>
    <s v="T00077"/>
    <d v="2025-09-06T00:00:00"/>
    <s v="BR004"/>
    <s v="P020"/>
    <s v="C0047"/>
    <n v="1"/>
    <n v="0"/>
    <n v="8500"/>
    <x v="3"/>
    <n v="8500"/>
    <x v="3"/>
  </r>
  <r>
    <s v="T01299"/>
    <d v="2025-03-25T00:00:00"/>
    <s v="BR001"/>
    <s v="P012"/>
    <s v="C0015"/>
    <n v="1"/>
    <n v="0"/>
    <n v="28000"/>
    <x v="2"/>
    <n v="28000"/>
    <x v="0"/>
  </r>
  <r>
    <s v="T01134"/>
    <d v="2025-05-18T00:00:00"/>
    <s v="BR001"/>
    <s v="P017"/>
    <s v="C0191"/>
    <n v="1"/>
    <n v="5"/>
    <n v="24000"/>
    <x v="2"/>
    <n v="22800"/>
    <x v="0"/>
  </r>
  <r>
    <s v="T00372"/>
    <d v="2025-04-27T00:00:00"/>
    <s v="BR002"/>
    <s v="P006"/>
    <s v="C0211"/>
    <n v="2"/>
    <n v="0"/>
    <n v="78000"/>
    <x v="1"/>
    <n v="156000"/>
    <x v="1"/>
  </r>
  <r>
    <s v="T00181"/>
    <d v="2025-01-26T00:00:00"/>
    <s v="BR001"/>
    <s v="P024"/>
    <s v="C0001"/>
    <n v="1"/>
    <n v="0"/>
    <n v="245000"/>
    <x v="2"/>
    <n v="245000"/>
    <x v="2"/>
  </r>
  <r>
    <s v="T00237"/>
    <d v="2025-01-12T00:00:00"/>
    <s v="BR003"/>
    <s v="P002"/>
    <s v="C0148"/>
    <n v="1"/>
    <n v="0"/>
    <n v="320000"/>
    <x v="0"/>
    <n v="320000"/>
    <x v="1"/>
  </r>
  <r>
    <s v="T00578"/>
    <d v="2025-11-03T00:00:00"/>
    <s v="BR001"/>
    <s v="P024"/>
    <s v="C0191"/>
    <n v="1"/>
    <n v="15"/>
    <n v="245000"/>
    <x v="2"/>
    <n v="208250"/>
    <x v="2"/>
  </r>
  <r>
    <s v="T00949"/>
    <d v="2025-08-05T00:00:00"/>
    <s v="BR002"/>
    <s v="P019"/>
    <s v="C0083"/>
    <n v="1"/>
    <n v="0"/>
    <n v="21000"/>
    <x v="1"/>
    <n v="21000"/>
    <x v="3"/>
  </r>
  <r>
    <s v="T01387"/>
    <d v="2025-04-02T00:00:00"/>
    <s v="BR001"/>
    <s v="P008"/>
    <s v="C0143"/>
    <n v="2"/>
    <n v="15"/>
    <n v="410000"/>
    <x v="2"/>
    <n v="697000"/>
    <x v="0"/>
  </r>
  <r>
    <s v="T01046"/>
    <d v="2025-02-02T00:00:00"/>
    <s v="BR001"/>
    <s v="P025"/>
    <s v="C0046"/>
    <n v="1"/>
    <n v="0"/>
    <n v="175000"/>
    <x v="2"/>
    <n v="175000"/>
    <x v="2"/>
  </r>
  <r>
    <s v="T01209"/>
    <d v="2025-07-21T00:00:00"/>
    <s v="BR003"/>
    <s v="P018"/>
    <s v="C0123"/>
    <n v="1"/>
    <n v="0"/>
    <n v="18000"/>
    <x v="0"/>
    <n v="18000"/>
    <x v="3"/>
  </r>
  <r>
    <s v="T01200"/>
    <d v="2025-12-28T00:00:00"/>
    <s v="BR002"/>
    <s v="P012"/>
    <s v="C0008"/>
    <n v="1"/>
    <n v="5"/>
    <n v="28000"/>
    <x v="1"/>
    <n v="26600"/>
    <x v="0"/>
  </r>
  <r>
    <s v="T00906"/>
    <d v="2025-04-11T00:00:00"/>
    <s v="BR002"/>
    <s v="P004"/>
    <s v="C0173"/>
    <n v="1"/>
    <n v="0"/>
    <n v="38000"/>
    <x v="1"/>
    <n v="38000"/>
    <x v="1"/>
  </r>
  <r>
    <s v="T00590"/>
    <d v="2025-11-24T00:00:00"/>
    <s v="BR003"/>
    <s v="P005"/>
    <s v="C0136"/>
    <n v="2"/>
    <n v="10"/>
    <n v="95000"/>
    <x v="0"/>
    <n v="171000"/>
    <x v="1"/>
  </r>
  <r>
    <s v="T01054"/>
    <d v="2025-06-12T00:00:00"/>
    <s v="BR002"/>
    <s v="P022"/>
    <s v="C0050"/>
    <n v="2"/>
    <n v="0"/>
    <n v="5200"/>
    <x v="1"/>
    <n v="10400"/>
    <x v="3"/>
  </r>
  <r>
    <s v="T00786"/>
    <d v="2025-08-12T00:00:00"/>
    <s v="BR002"/>
    <s v="P004"/>
    <s v="C0061"/>
    <n v="1"/>
    <n v="0"/>
    <n v="38000"/>
    <x v="1"/>
    <n v="38000"/>
    <x v="1"/>
  </r>
  <r>
    <s v="T01078"/>
    <d v="2025-07-25T00:00:00"/>
    <s v="BR002"/>
    <s v="P010"/>
    <s v="C0045"/>
    <n v="1"/>
    <n v="0"/>
    <n v="62000"/>
    <x v="1"/>
    <n v="62000"/>
    <x v="0"/>
  </r>
  <r>
    <s v="T00312"/>
    <d v="2025-10-02T00:00:00"/>
    <s v="BR002"/>
    <s v="P018"/>
    <s v="C0062"/>
    <n v="2"/>
    <n v="5"/>
    <n v="18000"/>
    <x v="1"/>
    <n v="34200"/>
    <x v="3"/>
  </r>
  <r>
    <s v="T01126"/>
    <d v="2025-10-17T00:00:00"/>
    <s v="BR003"/>
    <s v="P009"/>
    <s v="C0064"/>
    <n v="5"/>
    <n v="5"/>
    <n v="265000"/>
    <x v="0"/>
    <n v="1258750"/>
    <x v="0"/>
  </r>
  <r>
    <s v="T00302"/>
    <d v="2025-09-21T00:00:00"/>
    <s v="BR003"/>
    <s v="P003"/>
    <s v="C0026"/>
    <n v="1"/>
    <n v="0"/>
    <n v="45000"/>
    <x v="0"/>
    <n v="45000"/>
    <x v="1"/>
  </r>
  <r>
    <s v="T00723"/>
    <d v="2025-12-02T00:00:00"/>
    <s v="BR001"/>
    <s v="P016"/>
    <s v="C0166"/>
    <n v="1"/>
    <n v="5"/>
    <n v="19500"/>
    <x v="2"/>
    <n v="18525"/>
    <x v="0"/>
  </r>
  <r>
    <s v="T00690"/>
    <d v="2025-06-09T00:00:00"/>
    <s v="BR004"/>
    <s v="P013"/>
    <s v="C0147"/>
    <n v="1"/>
    <n v="15"/>
    <n v="22000"/>
    <x v="3"/>
    <n v="18700"/>
    <x v="0"/>
  </r>
  <r>
    <s v="T00813"/>
    <d v="2025-11-07T00:00:00"/>
    <s v="BR003"/>
    <s v="P012"/>
    <s v="C0190"/>
    <n v="1"/>
    <n v="5"/>
    <n v="28000"/>
    <x v="0"/>
    <n v="26600"/>
    <x v="0"/>
  </r>
  <r>
    <s v="T00038"/>
    <d v="2025-06-09T00:00:00"/>
    <s v="BR003"/>
    <s v="P009"/>
    <s v="C0044"/>
    <n v="1"/>
    <n v="20"/>
    <n v="265000"/>
    <x v="0"/>
    <n v="212000"/>
    <x v="0"/>
  </r>
  <r>
    <s v="T00354"/>
    <d v="2025-12-18T00:00:00"/>
    <s v="BR003"/>
    <s v="P014"/>
    <s v="C0149"/>
    <n v="1"/>
    <n v="0"/>
    <n v="285000"/>
    <x v="0"/>
    <n v="285000"/>
    <x v="0"/>
  </r>
  <r>
    <s v="T01291"/>
    <d v="2025-07-02T00:00:00"/>
    <s v="BR001"/>
    <s v="P012"/>
    <s v="C0040"/>
    <n v="1"/>
    <n v="0"/>
    <n v="28000"/>
    <x v="2"/>
    <n v="28000"/>
    <x v="0"/>
  </r>
  <r>
    <s v="T00715"/>
    <d v="2025-08-15T00:00:00"/>
    <s v="BR002"/>
    <s v="P010"/>
    <s v="C0167"/>
    <n v="1"/>
    <n v="0"/>
    <n v="62000"/>
    <x v="1"/>
    <n v="62000"/>
    <x v="0"/>
  </r>
  <r>
    <s v="T00237"/>
    <d v="2025-01-12T00:00:00"/>
    <s v="BR003"/>
    <s v="P002"/>
    <s v="C0148"/>
    <n v="1"/>
    <n v="0"/>
    <n v="320000"/>
    <x v="0"/>
    <n v="320000"/>
    <x v="1"/>
  </r>
  <r>
    <s v="T01172"/>
    <d v="2025-11-11T00:00:00"/>
    <s v="BR001"/>
    <s v="P018"/>
    <s v="C0047"/>
    <n v="2"/>
    <n v="25"/>
    <n v="18000"/>
    <x v="2"/>
    <n v="27000"/>
    <x v="3"/>
  </r>
  <r>
    <s v="T00730"/>
    <d v="2025-02-03T00:00:00"/>
    <s v="BR002"/>
    <s v="P018"/>
    <s v="C0035"/>
    <n v="2"/>
    <n v="0"/>
    <n v="18000"/>
    <x v="1"/>
    <n v="36000"/>
    <x v="3"/>
  </r>
  <r>
    <s v="T01158"/>
    <d v="2025-05-27T00:00:00"/>
    <s v="BR001"/>
    <s v="P017"/>
    <s v="C0141"/>
    <n v="2"/>
    <n v="0"/>
    <n v="24000"/>
    <x v="2"/>
    <n v="48000"/>
    <x v="0"/>
  </r>
  <r>
    <s v="T00878"/>
    <d v="2025-02-17T00:00:00"/>
    <s v="BR001"/>
    <s v="P015"/>
    <s v="C0037"/>
    <n v="5"/>
    <n v="0"/>
    <n v="15000"/>
    <x v="2"/>
    <n v="75000"/>
    <x v="0"/>
  </r>
  <r>
    <s v="T00500"/>
    <d v="2025-04-28T00:00:00"/>
    <s v="BR001"/>
    <s v="P019"/>
    <s v="C0094"/>
    <n v="2"/>
    <n v="0"/>
    <n v="21000"/>
    <x v="2"/>
    <n v="42000"/>
    <x v="3"/>
  </r>
  <r>
    <s v="T01160"/>
    <d v="2025-11-18T00:00:00"/>
    <s v="BR001"/>
    <s v="P011"/>
    <s v="C0071"/>
    <n v="1"/>
    <n v="10"/>
    <n v="74000"/>
    <x v="2"/>
    <n v="66600"/>
    <x v="0"/>
  </r>
  <r>
    <s v="T00554"/>
    <d v="2025-06-04T00:00:00"/>
    <s v="BR002"/>
    <s v="P015"/>
    <s v="C0082"/>
    <n v="1"/>
    <n v="5"/>
    <n v="15000"/>
    <x v="1"/>
    <n v="14250"/>
    <x v="0"/>
  </r>
  <r>
    <s v="T00056"/>
    <d v="2025-12-22T00:00:00"/>
    <s v="BR001"/>
    <s v="P009"/>
    <s v="C0108"/>
    <n v="1"/>
    <n v="5"/>
    <n v="265000"/>
    <x v="2"/>
    <n v="251750"/>
    <x v="0"/>
  </r>
  <r>
    <s v="T00303"/>
    <d v="2025-02-07T00:00:00"/>
    <s v="BR002"/>
    <s v="P022"/>
    <s v="C0130"/>
    <n v="1"/>
    <n v="10"/>
    <n v="5200"/>
    <x v="1"/>
    <n v="4680"/>
    <x v="3"/>
  </r>
  <r>
    <s v="T00795"/>
    <d v="2025-11-18T00:00:00"/>
    <s v="BR003"/>
    <s v="P020"/>
    <s v="C0113"/>
    <n v="1"/>
    <n v="5"/>
    <n v="8500"/>
    <x v="0"/>
    <n v="8075"/>
    <x v="3"/>
  </r>
  <r>
    <s v="T00287"/>
    <d v="2025-03-13T00:00:00"/>
    <s v="BR003"/>
    <s v="P015"/>
    <s v="C0067"/>
    <n v="5"/>
    <n v="15"/>
    <n v="15000"/>
    <x v="0"/>
    <n v="63750"/>
    <x v="0"/>
  </r>
  <r>
    <s v="T01072"/>
    <d v="2025-03-05T00:00:00"/>
    <s v="BR004"/>
    <s v="P001"/>
    <s v="C0215"/>
    <n v="1"/>
    <n v="5"/>
    <n v="185000"/>
    <x v="3"/>
    <n v="175750"/>
    <x v="1"/>
  </r>
  <r>
    <s v="T00220"/>
    <d v="2025-11-21T00:00:00"/>
    <s v="BR004"/>
    <s v="P012"/>
    <s v="C0070"/>
    <n v="1"/>
    <n v="10"/>
    <n v="28000"/>
    <x v="3"/>
    <n v="25200"/>
    <x v="0"/>
  </r>
  <r>
    <s v="T00893"/>
    <d v="2025-03-01T00:00:00"/>
    <s v="BR001"/>
    <s v="P019"/>
    <s v="C0190"/>
    <n v="1"/>
    <n v="10"/>
    <n v="21000"/>
    <x v="2"/>
    <n v="18900"/>
    <x v="3"/>
  </r>
  <r>
    <s v="T00388"/>
    <d v="2025-04-13T00:00:00"/>
    <s v="BR003"/>
    <s v="P002"/>
    <s v="C0177"/>
    <n v="1"/>
    <n v="20"/>
    <n v="320000"/>
    <x v="0"/>
    <n v="256000"/>
    <x v="1"/>
  </r>
  <r>
    <s v="T00305"/>
    <d v="2025-09-09T00:00:00"/>
    <s v="BR002"/>
    <s v="P009"/>
    <s v="C0065"/>
    <n v="1"/>
    <n v="0"/>
    <n v="265000"/>
    <x v="1"/>
    <n v="265000"/>
    <x v="0"/>
  </r>
  <r>
    <s v="T00391"/>
    <d v="2025-12-24T00:00:00"/>
    <s v="BR001"/>
    <s v="P015"/>
    <s v="C0084"/>
    <n v="2"/>
    <n v="15"/>
    <n v="15000"/>
    <x v="2"/>
    <n v="25500"/>
    <x v="0"/>
  </r>
  <r>
    <s v="T00907"/>
    <d v="2025-03-26T00:00:00"/>
    <s v="BR002"/>
    <s v="P018"/>
    <s v="C0002"/>
    <n v="1"/>
    <n v="0"/>
    <n v="18000"/>
    <x v="1"/>
    <n v="18000"/>
    <x v="3"/>
  </r>
  <r>
    <s v="T00353"/>
    <d v="2025-12-01T00:00:00"/>
    <s v="BR001"/>
    <s v="P018"/>
    <s v="C0217"/>
    <n v="2"/>
    <n v="5"/>
    <n v="18000"/>
    <x v="2"/>
    <n v="34200"/>
    <x v="3"/>
  </r>
  <r>
    <s v="T00194"/>
    <d v="2025-02-01T00:00:00"/>
    <s v="BR001"/>
    <s v="P022"/>
    <s v="C0150"/>
    <n v="1"/>
    <n v="0"/>
    <n v="5200"/>
    <x v="2"/>
    <n v="5200"/>
    <x v="3"/>
  </r>
  <r>
    <s v="T00236"/>
    <d v="2025-05-12T00:00:00"/>
    <s v="BR001"/>
    <s v="P005"/>
    <s v="C0019"/>
    <n v="1"/>
    <n v="0"/>
    <n v="95000"/>
    <x v="2"/>
    <n v="95000"/>
    <x v="1"/>
  </r>
  <r>
    <s v="T01193"/>
    <d v="2025-12-20T00:00:00"/>
    <s v="BR003"/>
    <s v="P005"/>
    <s v="C0109"/>
    <n v="1"/>
    <n v="10"/>
    <n v="95000"/>
    <x v="0"/>
    <n v="85500"/>
    <x v="1"/>
  </r>
  <r>
    <s v="T00695"/>
    <d v="2025-03-25T00:00:00"/>
    <s v="BR002"/>
    <s v="P022"/>
    <s v="C0211"/>
    <n v="1"/>
    <n v="0"/>
    <n v="5200"/>
    <x v="1"/>
    <n v="5200"/>
    <x v="3"/>
  </r>
  <r>
    <s v="T00481"/>
    <d v="2025-08-03T00:00:00"/>
    <s v="BR001"/>
    <s v="P018"/>
    <s v="C0209"/>
    <n v="1"/>
    <n v="0"/>
    <n v="18000"/>
    <x v="2"/>
    <n v="18000"/>
    <x v="3"/>
  </r>
  <r>
    <s v="T00568"/>
    <d v="2025-07-09T00:00:00"/>
    <s v="BR003"/>
    <s v="P005"/>
    <s v="C0105"/>
    <n v="2"/>
    <n v="20"/>
    <n v="95000"/>
    <x v="0"/>
    <n v="152000"/>
    <x v="1"/>
  </r>
  <r>
    <s v="T00117"/>
    <d v="2025-08-10T00:00:00"/>
    <s v="BR002"/>
    <s v="P022"/>
    <s v="C0015"/>
    <n v="2"/>
    <n v="0"/>
    <n v="5200"/>
    <x v="1"/>
    <n v="10400"/>
    <x v="3"/>
  </r>
  <r>
    <s v="T01116"/>
    <d v="2025-11-22T00:00:00"/>
    <s v="BR001"/>
    <s v="P020"/>
    <s v="C0130"/>
    <n v="2"/>
    <n v="5"/>
    <n v="8500"/>
    <x v="2"/>
    <n v="16150"/>
    <x v="3"/>
  </r>
  <r>
    <s v="T00654"/>
    <d v="2025-12-23T00:00:00"/>
    <s v="BR004"/>
    <s v="P016"/>
    <s v="C0157"/>
    <n v="1"/>
    <n v="10"/>
    <n v="19500"/>
    <x v="3"/>
    <n v="17550"/>
    <x v="0"/>
  </r>
  <r>
    <s v="T01384"/>
    <d v="2025-03-20T00:00:00"/>
    <s v="BR002"/>
    <s v="P025"/>
    <s v="C0157"/>
    <n v="1"/>
    <n v="0"/>
    <n v="175000"/>
    <x v="1"/>
    <n v="175000"/>
    <x v="2"/>
  </r>
  <r>
    <s v="T01303"/>
    <d v="2025-08-20T00:00:00"/>
    <s v="BR002"/>
    <s v="P001"/>
    <s v="C0220"/>
    <n v="3"/>
    <n v="0"/>
    <n v="185000"/>
    <x v="1"/>
    <n v="555000"/>
    <x v="1"/>
  </r>
  <r>
    <s v="T00758"/>
    <d v="2025-06-15T00:00:00"/>
    <s v="BR002"/>
    <s v="P001"/>
    <s v="C0212"/>
    <n v="1"/>
    <n v="10"/>
    <n v="185000"/>
    <x v="1"/>
    <n v="166500"/>
    <x v="1"/>
  </r>
  <r>
    <s v="T00445"/>
    <d v="2025-02-04T00:00:00"/>
    <s v="BR002"/>
    <s v="P003"/>
    <s v="C0104"/>
    <n v="2"/>
    <n v="15"/>
    <n v="45000"/>
    <x v="1"/>
    <n v="76500"/>
    <x v="1"/>
  </r>
  <r>
    <s v="T01370"/>
    <d v="2025-06-08T00:00:00"/>
    <s v="BR001"/>
    <s v="P015"/>
    <s v="C0133"/>
    <n v="2"/>
    <n v="10"/>
    <n v="15000"/>
    <x v="2"/>
    <n v="27000"/>
    <x v="0"/>
  </r>
  <r>
    <s v="T00121"/>
    <d v="2025-12-03T00:00:00"/>
    <s v="BR001"/>
    <s v="P007"/>
    <s v="C0161"/>
    <n v="1"/>
    <n v="15"/>
    <n v="145000"/>
    <x v="2"/>
    <n v="123250"/>
    <x v="1"/>
  </r>
  <r>
    <s v="T01080"/>
    <d v="2025-04-19T00:00:00"/>
    <s v="BR003"/>
    <s v="P008"/>
    <s v="C0115"/>
    <n v="1"/>
    <n v="20"/>
    <n v="410000"/>
    <x v="0"/>
    <n v="328000"/>
    <x v="0"/>
  </r>
  <r>
    <s v="T01206"/>
    <d v="2025-12-07T00:00:00"/>
    <s v="BR001"/>
    <s v="P019"/>
    <s v="C0106"/>
    <n v="1"/>
    <n v="15"/>
    <n v="21000"/>
    <x v="2"/>
    <n v="17850"/>
    <x v="3"/>
  </r>
  <r>
    <s v="T01056"/>
    <d v="2025-02-22T00:00:00"/>
    <s v="BR003"/>
    <s v="P004"/>
    <s v="C0133"/>
    <n v="2"/>
    <n v="0"/>
    <n v="38000"/>
    <x v="0"/>
    <n v="76000"/>
    <x v="1"/>
  </r>
  <r>
    <s v="T00063"/>
    <d v="2025-01-21T00:00:00"/>
    <s v="BR004"/>
    <s v="P004"/>
    <s v="C0093"/>
    <n v="1"/>
    <n v="20"/>
    <n v="38000"/>
    <x v="3"/>
    <n v="30400"/>
    <x v="1"/>
  </r>
  <r>
    <s v="T00744"/>
    <d v="2025-12-20T00:00:00"/>
    <s v="BR001"/>
    <s v="P018"/>
    <s v="C0051"/>
    <n v="1"/>
    <n v="20"/>
    <n v="18000"/>
    <x v="2"/>
    <n v="14400"/>
    <x v="3"/>
  </r>
  <r>
    <s v="T00931"/>
    <d v="2025-01-04T00:00:00"/>
    <s v="BR004"/>
    <s v="P022"/>
    <s v="C0121"/>
    <n v="1"/>
    <n v="5"/>
    <n v="5200"/>
    <x v="3"/>
    <n v="4940"/>
    <x v="3"/>
  </r>
  <r>
    <s v="T00454"/>
    <d v="2025-09-02T00:00:00"/>
    <s v="BR002"/>
    <s v="P021"/>
    <s v="C0211"/>
    <n v="1"/>
    <n v="20"/>
    <n v="6500"/>
    <x v="1"/>
    <n v="5200"/>
    <x v="3"/>
  </r>
  <r>
    <s v="T00516"/>
    <d v="2025-03-11T00:00:00"/>
    <s v="BR001"/>
    <s v="P016"/>
    <s v="C0019"/>
    <n v="1"/>
    <n v="0"/>
    <n v="19500"/>
    <x v="2"/>
    <n v="19500"/>
    <x v="0"/>
  </r>
  <r>
    <s v="T00571"/>
    <d v="2025-12-23T00:00:00"/>
    <s v="BR001"/>
    <s v="P004"/>
    <s v="C0069"/>
    <n v="1"/>
    <n v="20"/>
    <n v="38000"/>
    <x v="2"/>
    <n v="30400"/>
    <x v="1"/>
  </r>
  <r>
    <s v="T00224"/>
    <d v="2025-05-04T00:00:00"/>
    <s v="BR002"/>
    <s v="P016"/>
    <s v="C0038"/>
    <n v="1"/>
    <n v="0"/>
    <n v="19500"/>
    <x v="1"/>
    <n v="19500"/>
    <x v="0"/>
  </r>
  <r>
    <s v="T01047"/>
    <s v="24/12/2025"/>
    <s v="BR001"/>
    <s v="P010"/>
    <s v="C0080"/>
    <n v="1"/>
    <n v="5"/>
    <n v="62000"/>
    <x v="2"/>
    <n v="58900"/>
    <x v="0"/>
  </r>
  <r>
    <s v="T00614"/>
    <d v="2025-12-16T00:00:00"/>
    <s v="BR003"/>
    <s v="P011"/>
    <s v="C0089"/>
    <n v="1"/>
    <n v="10"/>
    <n v="74000"/>
    <x v="0"/>
    <n v="66600"/>
    <x v="0"/>
  </r>
  <r>
    <s v="T00844"/>
    <d v="2025-08-15T00:00:00"/>
    <s v="BR002"/>
    <s v="P015"/>
    <s v="C0066"/>
    <n v="2"/>
    <n v="0"/>
    <n v="15000"/>
    <x v="1"/>
    <n v="30000"/>
    <x v="0"/>
  </r>
  <r>
    <s v="T00222"/>
    <d v="2025-11-24T00:00:00"/>
    <s v="BR001"/>
    <s v="P014"/>
    <s v="C0064"/>
    <n v="1"/>
    <n v="0"/>
    <n v="285000"/>
    <x v="2"/>
    <n v="285000"/>
    <x v="0"/>
  </r>
  <r>
    <s v="T00942"/>
    <d v="2025-08-16T00:00:00"/>
    <s v="BR001"/>
    <s v="P023"/>
    <s v="C0132"/>
    <n v="1"/>
    <n v="5"/>
    <n v="195000"/>
    <x v="2"/>
    <n v="185250"/>
    <x v="2"/>
  </r>
  <r>
    <s v="T00517"/>
    <d v="2025-02-22T00:00:00"/>
    <s v="BR001"/>
    <s v="P015"/>
    <s v="C0115"/>
    <n v="1"/>
    <n v="15"/>
    <n v="15000"/>
    <x v="2"/>
    <n v="12750"/>
    <x v="0"/>
  </r>
  <r>
    <s v="T00466"/>
    <d v="2025-11-02T00:00:00"/>
    <s v="BR002"/>
    <s v="P014"/>
    <s v="C0165"/>
    <n v="1"/>
    <n v="10"/>
    <n v="285000"/>
    <x v="1"/>
    <n v="256500"/>
    <x v="0"/>
  </r>
  <r>
    <s v="T00053"/>
    <d v="2025-07-19T00:00:00"/>
    <s v="BR002"/>
    <s v="P022"/>
    <s v="C0064"/>
    <n v="1"/>
    <n v="15"/>
    <n v="5200"/>
    <x v="1"/>
    <n v="4420"/>
    <x v="3"/>
  </r>
  <r>
    <s v="T01288"/>
    <d v="2025-12-13T00:00:00"/>
    <s v="BR002"/>
    <s v="P007"/>
    <s v="C0154"/>
    <n v="2"/>
    <n v="5"/>
    <n v="145000"/>
    <x v="1"/>
    <n v="275500"/>
    <x v="1"/>
  </r>
  <r>
    <s v="T00486"/>
    <d v="2025-12-20T00:00:00"/>
    <s v="BR003"/>
    <s v="P006"/>
    <s v="C0128"/>
    <n v="1"/>
    <n v="30"/>
    <n v="78000"/>
    <x v="0"/>
    <n v="54600"/>
    <x v="1"/>
  </r>
  <r>
    <s v="T00876"/>
    <d v="2025-06-23T00:00:00"/>
    <s v="BR004"/>
    <s v="P023"/>
    <s v="C0108"/>
    <n v="1"/>
    <n v="0"/>
    <n v="195000"/>
    <x v="3"/>
    <n v="195000"/>
    <x v="2"/>
  </r>
  <r>
    <s v="T01339"/>
    <d v="2025-01-19T00:00:00"/>
    <s v="BR003"/>
    <s v="P001"/>
    <s v="C0070"/>
    <n v="5"/>
    <n v="5"/>
    <n v="185000"/>
    <x v="0"/>
    <n v="878750"/>
    <x v="1"/>
  </r>
  <r>
    <s v="T00819"/>
    <d v="2025-12-03T00:00:00"/>
    <s v="BR001"/>
    <s v="P011"/>
    <s v="C0216"/>
    <n v="1"/>
    <n v="5"/>
    <n v="74000"/>
    <x v="2"/>
    <n v="70300"/>
    <x v="0"/>
  </r>
  <r>
    <s v="T00387"/>
    <d v="2025-07-05T00:00:00"/>
    <s v="BR002"/>
    <s v="P005"/>
    <s v="C0180"/>
    <n v="1"/>
    <n v="0"/>
    <n v="95000"/>
    <x v="1"/>
    <n v="95000"/>
    <x v="1"/>
  </r>
  <r>
    <s v="T00156"/>
    <d v="2025-12-10T00:00:00"/>
    <s v="BR001"/>
    <s v="P010"/>
    <s v="C0192"/>
    <n v="2"/>
    <n v="15"/>
    <n v="62000"/>
    <x v="2"/>
    <n v="105400"/>
    <x v="0"/>
  </r>
  <r>
    <s v="T01145"/>
    <d v="2025-12-17T00:00:00"/>
    <s v="BR001"/>
    <s v="P009"/>
    <s v="C0074"/>
    <n v="2"/>
    <n v="15"/>
    <n v="265000"/>
    <x v="2"/>
    <n v="450500"/>
    <x v="0"/>
  </r>
  <r>
    <s v="T00601"/>
    <d v="2025-09-16T00:00:00"/>
    <s v="BR001"/>
    <s v="P020"/>
    <s v="C0194"/>
    <n v="1"/>
    <n v="0"/>
    <n v="8500"/>
    <x v="2"/>
    <n v="8500"/>
    <x v="3"/>
  </r>
  <r>
    <s v="T01121"/>
    <d v="2025-10-23T00:00:00"/>
    <s v="BR001"/>
    <s v="P011"/>
    <s v="C0122"/>
    <n v="2"/>
    <n v="0"/>
    <n v="74000"/>
    <x v="2"/>
    <n v="148000"/>
    <x v="0"/>
  </r>
  <r>
    <s v="T00249"/>
    <d v="2025-10-22T00:00:00"/>
    <s v="BR003"/>
    <s v="P005"/>
    <s v="C0023"/>
    <n v="1"/>
    <n v="5"/>
    <n v="95000"/>
    <x v="0"/>
    <n v="90250"/>
    <x v="1"/>
  </r>
  <r>
    <s v="T00762"/>
    <d v="2025-09-06T00:00:00"/>
    <s v="BR002"/>
    <s v="P021"/>
    <s v="C0070"/>
    <n v="2"/>
    <n v="10"/>
    <n v="6500"/>
    <x v="1"/>
    <n v="11700"/>
    <x v="3"/>
  </r>
  <r>
    <s v="T00871"/>
    <d v="2025-08-02T00:00:00"/>
    <s v="BR003"/>
    <s v="P011"/>
    <s v="C0122"/>
    <n v="1"/>
    <n v="5"/>
    <n v="74000"/>
    <x v="0"/>
    <n v="70300"/>
    <x v="0"/>
  </r>
  <r>
    <s v="T00856"/>
    <d v="2025-03-22T00:00:00"/>
    <s v="BR004"/>
    <s v="P023"/>
    <s v="C0116"/>
    <n v="1"/>
    <n v="10"/>
    <n v="195000"/>
    <x v="3"/>
    <n v="175500"/>
    <x v="2"/>
  </r>
  <r>
    <s v="T00442"/>
    <d v="2025-06-18T00:00:00"/>
    <s v="BR004"/>
    <s v="P005"/>
    <s v="C0191"/>
    <n v="1"/>
    <n v="0"/>
    <n v="95000"/>
    <x v="3"/>
    <n v="95000"/>
    <x v="1"/>
  </r>
  <r>
    <s v="T01278"/>
    <d v="2025-05-21T00:00:00"/>
    <s v="BR001"/>
    <s v="P018"/>
    <s v="C0149"/>
    <n v="1"/>
    <n v="0"/>
    <n v="18000"/>
    <x v="2"/>
    <n v="18000"/>
    <x v="3"/>
  </r>
  <r>
    <s v="T01292"/>
    <d v="2025-11-19T00:00:00"/>
    <s v="BR001"/>
    <s v="P021"/>
    <s v="C0048"/>
    <n v="1"/>
    <n v="10"/>
    <n v="6500"/>
    <x v="2"/>
    <n v="5850"/>
    <x v="3"/>
  </r>
  <r>
    <s v="T00543"/>
    <d v="2025-02-20T00:00:00"/>
    <s v="BR002"/>
    <s v="P024"/>
    <s v="C0220"/>
    <n v="1"/>
    <n v="5"/>
    <n v="245000"/>
    <x v="1"/>
    <n v="232750"/>
    <x v="2"/>
  </r>
  <r>
    <s v="T01019"/>
    <d v="2025-11-15T00:00:00"/>
    <s v="BR002"/>
    <s v="P004"/>
    <s v="C0083"/>
    <n v="1"/>
    <n v="10"/>
    <n v="38000"/>
    <x v="1"/>
    <n v="34200"/>
    <x v="1"/>
  </r>
  <r>
    <s v="T00702"/>
    <d v="2025-02-19T00:00:00"/>
    <s v="BR002"/>
    <s v="P003"/>
    <s v="C0079"/>
    <n v="1"/>
    <n v="10"/>
    <n v="45000"/>
    <x v="1"/>
    <n v="40500"/>
    <x v="1"/>
  </r>
  <r>
    <s v="T00118"/>
    <d v="2025-05-18T00:00:00"/>
    <s v="BR001"/>
    <s v="P012"/>
    <s v="C0151"/>
    <n v="1"/>
    <n v="0"/>
    <n v="28000"/>
    <x v="2"/>
    <n v="28000"/>
    <x v="0"/>
  </r>
  <r>
    <s v="T01021"/>
    <d v="2025-07-06T00:00:00"/>
    <s v="BR002"/>
    <s v="P008"/>
    <s v="C0137"/>
    <n v="1"/>
    <n v="0"/>
    <n v="410000"/>
    <x v="1"/>
    <n v="410000"/>
    <x v="0"/>
  </r>
  <r>
    <s v="T00629"/>
    <d v="2025-08-01T00:00:00"/>
    <s v="BR002"/>
    <s v="P005"/>
    <s v="C0111"/>
    <n v="1"/>
    <n v="0"/>
    <n v="95000"/>
    <x v="1"/>
    <n v="95000"/>
    <x v="1"/>
  </r>
  <r>
    <s v="T01006"/>
    <d v="2025-03-09T00:00:00"/>
    <s v="BR001"/>
    <s v="P005"/>
    <s v="C0145"/>
    <n v="1"/>
    <n v="15"/>
    <n v="95000"/>
    <x v="2"/>
    <n v="80750"/>
    <x v="1"/>
  </r>
  <r>
    <s v="T00207"/>
    <d v="2025-12-11T00:00:00"/>
    <s v="BR001"/>
    <s v="P018"/>
    <s v="C0140"/>
    <n v="1"/>
    <n v="25"/>
    <n v="18000"/>
    <x v="2"/>
    <n v="13500"/>
    <x v="3"/>
  </r>
  <r>
    <s v="T00292"/>
    <d v="2025-08-02T00:00:00"/>
    <s v="BR003"/>
    <s v="P016"/>
    <s v="C0196"/>
    <n v="3"/>
    <n v="0"/>
    <n v="19500"/>
    <x v="0"/>
    <n v="58500"/>
    <x v="0"/>
  </r>
  <r>
    <s v="T01230"/>
    <d v="2025-11-05T00:00:00"/>
    <s v="BR002"/>
    <s v="P021"/>
    <s v="C0170"/>
    <n v="1"/>
    <n v="20"/>
    <n v="6500"/>
    <x v="1"/>
    <n v="5200"/>
    <x v="3"/>
  </r>
  <r>
    <s v="T00382"/>
    <d v="2025-01-16T00:00:00"/>
    <s v="BR001"/>
    <s v="P002"/>
    <s v="C0175"/>
    <n v="1"/>
    <n v="0"/>
    <n v="320000"/>
    <x v="2"/>
    <n v="320000"/>
    <x v="1"/>
  </r>
  <r>
    <s v="T00820"/>
    <d v="2025-11-28T00:00:00"/>
    <s v="BR002"/>
    <s v="P004"/>
    <s v="C0081"/>
    <n v="1"/>
    <n v="10"/>
    <n v="38000"/>
    <x v="1"/>
    <n v="34200"/>
    <x v="1"/>
  </r>
  <r>
    <s v="T00984"/>
    <d v="2025-10-02T00:00:00"/>
    <s v="BR003"/>
    <s v="P005"/>
    <s v="C0058"/>
    <n v="1"/>
    <n v="0"/>
    <n v="95000"/>
    <x v="0"/>
    <n v="95000"/>
    <x v="1"/>
  </r>
  <r>
    <s v="T01077"/>
    <d v="2025-06-15T00:00:00"/>
    <s v="BR001"/>
    <s v="P021"/>
    <s v="C0089"/>
    <n v="1"/>
    <n v="20"/>
    <n v="6500"/>
    <x v="2"/>
    <n v="5200"/>
    <x v="3"/>
  </r>
  <r>
    <s v="T00201"/>
    <d v="2025-08-20T00:00:00"/>
    <s v="BR003"/>
    <s v="P017"/>
    <s v="C0099"/>
    <n v="2"/>
    <n v="10"/>
    <n v="24000"/>
    <x v="0"/>
    <n v="43200"/>
    <x v="0"/>
  </r>
  <r>
    <s v="T00597"/>
    <d v="2025-01-22T00:00:00"/>
    <s v="BR002"/>
    <s v="P011"/>
    <s v="C0125"/>
    <n v="2"/>
    <n v="0"/>
    <n v="74000"/>
    <x v="1"/>
    <n v="148000"/>
    <x v="0"/>
  </r>
  <r>
    <s v="T00898"/>
    <d v="2025-04-12T00:00:00"/>
    <s v="BR001"/>
    <s v="P021"/>
    <s v="C0056"/>
    <n v="1"/>
    <n v="0"/>
    <n v="6500"/>
    <x v="2"/>
    <n v="6500"/>
    <x v="3"/>
  </r>
  <r>
    <s v="T01235"/>
    <d v="2025-07-13T00:00:00"/>
    <s v="BR002"/>
    <s v="P007"/>
    <s v="C0121"/>
    <n v="1"/>
    <n v="0"/>
    <n v="145000"/>
    <x v="1"/>
    <n v="145000"/>
    <x v="1"/>
  </r>
  <r>
    <s v="T00855"/>
    <d v="2025-01-12T00:00:00"/>
    <s v="BR001"/>
    <s v="P001"/>
    <s v="C0077"/>
    <n v="1"/>
    <n v="10"/>
    <n v="185000"/>
    <x v="2"/>
    <n v="166500"/>
    <x v="1"/>
  </r>
  <r>
    <s v="T01336"/>
    <d v="2025-05-18T00:00:00"/>
    <s v="BR002"/>
    <s v="P019"/>
    <s v="C0005"/>
    <n v="1"/>
    <n v="0"/>
    <n v="21000"/>
    <x v="1"/>
    <n v="21000"/>
    <x v="3"/>
  </r>
  <r>
    <s v="T01397"/>
    <d v="2025-07-18T00:00:00"/>
    <s v="BR001"/>
    <s v="P014"/>
    <s v="C0040"/>
    <n v="2"/>
    <n v="5"/>
    <n v="285000"/>
    <x v="2"/>
    <n v="541500"/>
    <x v="0"/>
  </r>
  <r>
    <s v="T00805"/>
    <d v="2025-01-03T00:00:00"/>
    <s v="BR001"/>
    <s v="P003"/>
    <s v="C0154"/>
    <n v="1"/>
    <n v="5"/>
    <n v="45000"/>
    <x v="2"/>
    <n v="42750"/>
    <x v="1"/>
  </r>
  <r>
    <s v="T01371"/>
    <d v="2025-10-02T00:00:00"/>
    <s v="BR002"/>
    <s v="P019"/>
    <s v="C0174"/>
    <n v="1"/>
    <n v="5"/>
    <n v="21000"/>
    <x v="1"/>
    <n v="19950"/>
    <x v="3"/>
  </r>
  <r>
    <s v="T00976"/>
    <d v="2025-04-08T00:00:00"/>
    <s v="BR003"/>
    <s v="P007"/>
    <s v="C0142"/>
    <n v="1"/>
    <n v="15"/>
    <n v="145000"/>
    <x v="0"/>
    <n v="123250"/>
    <x v="1"/>
  </r>
  <r>
    <s v="T00793"/>
    <d v="2025-01-23T00:00:00"/>
    <s v="BR003"/>
    <s v="P005"/>
    <s v="C0055"/>
    <n v="1"/>
    <n v="0"/>
    <n v="95000"/>
    <x v="0"/>
    <n v="95000"/>
    <x v="1"/>
  </r>
  <r>
    <s v="T00770"/>
    <d v="2025-01-11T00:00:00"/>
    <s v="BR003"/>
    <s v="P023"/>
    <s v="C0160"/>
    <n v="1"/>
    <n v="0"/>
    <n v="195000"/>
    <x v="0"/>
    <n v="195000"/>
    <x v="2"/>
  </r>
  <r>
    <s v="T00961"/>
    <d v="2025-02-26T00:00:00"/>
    <s v="BR002"/>
    <s v="P013"/>
    <s v="C0091"/>
    <n v="1"/>
    <n v="15"/>
    <n v="22000"/>
    <x v="1"/>
    <n v="18700"/>
    <x v="0"/>
  </r>
  <r>
    <s v="T01182"/>
    <d v="2025-04-09T00:00:00"/>
    <s v="BR001"/>
    <s v="P020"/>
    <s v="C0031"/>
    <n v="2"/>
    <n v="0"/>
    <n v="8500"/>
    <x v="2"/>
    <n v="17000"/>
    <x v="3"/>
  </r>
  <r>
    <s v="T00814"/>
    <d v="2025-07-25T00:00:00"/>
    <s v="BR004"/>
    <s v="P010"/>
    <s v="C0060"/>
    <n v="1"/>
    <n v="5"/>
    <n v="62000"/>
    <x v="3"/>
    <n v="58900"/>
    <x v="0"/>
  </r>
  <r>
    <s v="T01123"/>
    <d v="2025-12-21T00:00:00"/>
    <s v="BR001"/>
    <s v="P014"/>
    <s v="C0198"/>
    <n v="1"/>
    <n v="0"/>
    <n v="285000"/>
    <x v="2"/>
    <n v="285000"/>
    <x v="0"/>
  </r>
  <r>
    <s v="T00506"/>
    <d v="2025-11-14T00:00:00"/>
    <s v="BR001"/>
    <s v="P007"/>
    <s v="C0006"/>
    <n v="1"/>
    <n v="5"/>
    <n v="145000"/>
    <x v="2"/>
    <n v="137750"/>
    <x v="1"/>
  </r>
  <r>
    <s v="T00892"/>
    <d v="2025-05-12T00:00:00"/>
    <s v="BR004"/>
    <s v="P011"/>
    <s v="C0139"/>
    <n v="1"/>
    <n v="10"/>
    <n v="74000"/>
    <x v="3"/>
    <n v="66600"/>
    <x v="0"/>
  </r>
  <r>
    <s v="T00349"/>
    <d v="2025-06-12T00:00:00"/>
    <s v="BR001"/>
    <s v="P020"/>
    <s v="C0017"/>
    <n v="2"/>
    <n v="10"/>
    <n v="8500"/>
    <x v="2"/>
    <n v="15300"/>
    <x v="3"/>
  </r>
  <r>
    <s v="T01045"/>
    <d v="2025-08-15T00:00:00"/>
    <s v="BR001"/>
    <s v="P009"/>
    <s v="C0009"/>
    <n v="2"/>
    <n v="0"/>
    <n v="265000"/>
    <x v="2"/>
    <n v="530000"/>
    <x v="0"/>
  </r>
  <r>
    <s v="T01149"/>
    <d v="2025-02-19T00:00:00"/>
    <s v="BR001"/>
    <s v="P020"/>
    <s v="C0176"/>
    <n v="1"/>
    <n v="15"/>
    <n v="8500"/>
    <x v="2"/>
    <n v="7225"/>
    <x v="3"/>
  </r>
  <r>
    <s v="T01400"/>
    <d v="2025-12-12T00:00:00"/>
    <s v="BR001"/>
    <s v="P008"/>
    <s v="C0126"/>
    <n v="1"/>
    <n v="10"/>
    <n v="410000"/>
    <x v="2"/>
    <n v="369000"/>
    <x v="0"/>
  </r>
  <r>
    <s v="T00341"/>
    <d v="2025-01-05T00:00:00"/>
    <s v="BR001"/>
    <s v="P010"/>
    <s v="C0105"/>
    <n v="1"/>
    <n v="0"/>
    <n v="62000"/>
    <x v="2"/>
    <n v="62000"/>
    <x v="0"/>
  </r>
  <r>
    <s v="T00787"/>
    <d v="2025-10-10T00:00:00"/>
    <s v="BR003"/>
    <s v="P023"/>
    <s v="C0152"/>
    <n v="1"/>
    <n v="0"/>
    <n v="195000"/>
    <x v="0"/>
    <n v="195000"/>
    <x v="2"/>
  </r>
  <r>
    <s v="T00616"/>
    <d v="2025-05-02T00:00:00"/>
    <s v="BR001"/>
    <s v="P021"/>
    <s v="C0123"/>
    <n v="1"/>
    <n v="0"/>
    <n v="6500"/>
    <x v="2"/>
    <n v="6500"/>
    <x v="3"/>
  </r>
  <r>
    <s v="T00155"/>
    <d v="2025-12-10T00:00:00"/>
    <s v="BR002"/>
    <s v="P004"/>
    <s v="C0072"/>
    <n v="1"/>
    <n v="15"/>
    <n v="38000"/>
    <x v="1"/>
    <n v="32300"/>
    <x v="1"/>
  </r>
  <r>
    <s v="T01300"/>
    <d v="2025-10-18T00:00:00"/>
    <s v="BR002"/>
    <s v="P009"/>
    <s v="C0096"/>
    <n v="2"/>
    <n v="0"/>
    <n v="265000"/>
    <x v="1"/>
    <n v="530000"/>
    <x v="0"/>
  </r>
  <r>
    <s v="T01271"/>
    <d v="2025-09-19T00:00:00"/>
    <s v="BR001"/>
    <s v="P003"/>
    <s v="C0043"/>
    <n v="2"/>
    <n v="5"/>
    <n v="45000"/>
    <x v="2"/>
    <n v="85500"/>
    <x v="1"/>
  </r>
  <r>
    <s v="T00078"/>
    <d v="2025-06-11T00:00:00"/>
    <s v="BR003"/>
    <s v="P019"/>
    <s v="C0166"/>
    <n v="1"/>
    <n v="0"/>
    <n v="21000"/>
    <x v="0"/>
    <n v="21000"/>
    <x v="3"/>
  </r>
  <r>
    <s v="T01395"/>
    <d v="2025-11-11T00:00:00"/>
    <s v="BR004"/>
    <s v="P015"/>
    <s v="C0178"/>
    <n v="3"/>
    <n v="0"/>
    <n v="15000"/>
    <x v="3"/>
    <n v="45000"/>
    <x v="0"/>
  </r>
  <r>
    <s v="T00288"/>
    <d v="2025-04-09T00:00:00"/>
    <s v="BR004"/>
    <s v="P005"/>
    <s v="C0101"/>
    <n v="1"/>
    <n v="5"/>
    <n v="95000"/>
    <x v="3"/>
    <n v="90250"/>
    <x v="1"/>
  </r>
  <r>
    <s v="T00323"/>
    <d v="2025-02-07T00:00:00"/>
    <s v="BR001"/>
    <s v="P007"/>
    <s v="C0183"/>
    <n v="1"/>
    <n v="0"/>
    <n v="145000"/>
    <x v="2"/>
    <n v="145000"/>
    <x v="1"/>
  </r>
  <r>
    <s v="T00687"/>
    <d v="2025-09-05T00:00:00"/>
    <s v="BR004"/>
    <s v="P018"/>
    <s v="C0198"/>
    <n v="1"/>
    <n v="10"/>
    <n v="18000"/>
    <x v="3"/>
    <n v="16200"/>
    <x v="3"/>
  </r>
  <r>
    <s v="T01084"/>
    <d v="2025-06-11T00:00:00"/>
    <s v="BR004"/>
    <s v="P012"/>
    <s v="C0156"/>
    <n v="1"/>
    <n v="5"/>
    <n v="28000"/>
    <x v="3"/>
    <n v="26600"/>
    <x v="0"/>
  </r>
  <r>
    <s v="T01356"/>
    <d v="2025-12-08T00:00:00"/>
    <s v="BR004"/>
    <s v="P009"/>
    <s v="C0175"/>
    <n v="1"/>
    <n v="10"/>
    <n v="265000"/>
    <x v="3"/>
    <n v="238500"/>
    <x v="0"/>
  </r>
  <r>
    <s v="T00914"/>
    <d v="2025-04-23T00:00:00"/>
    <s v="BR002"/>
    <s v="P003"/>
    <s v="C0050"/>
    <n v="2"/>
    <n v="0"/>
    <n v="45000"/>
    <x v="1"/>
    <n v="90000"/>
    <x v="1"/>
  </r>
  <r>
    <s v="T01275"/>
    <d v="2025-08-10T00:00:00"/>
    <s v="BR001"/>
    <s v="P023"/>
    <s v="C0153"/>
    <n v="1"/>
    <n v="0"/>
    <n v="195000"/>
    <x v="2"/>
    <n v="195000"/>
    <x v="2"/>
  </r>
  <r>
    <s v="T01109"/>
    <d v="2025-11-15T00:00:00"/>
    <s v="BR004"/>
    <s v="P001"/>
    <s v="C0160"/>
    <n v="1"/>
    <n v="5"/>
    <n v="185000"/>
    <x v="3"/>
    <n v="175750"/>
    <x v="1"/>
  </r>
  <r>
    <s v="T00083"/>
    <d v="2025-12-22T00:00:00"/>
    <s v="BR001"/>
    <s v="P014"/>
    <s v="C0021"/>
    <n v="1"/>
    <n v="20"/>
    <n v="285000"/>
    <x v="2"/>
    <n v="228000"/>
    <x v="0"/>
  </r>
  <r>
    <s v="T00513"/>
    <d v="2025-11-24T00:00:00"/>
    <s v="BR001"/>
    <s v="P023"/>
    <s v="C0215"/>
    <n v="1"/>
    <n v="15"/>
    <n v="195000"/>
    <x v="2"/>
    <n v="165750"/>
    <x v="2"/>
  </r>
  <r>
    <s v="T01284"/>
    <d v="2025-11-14T00:00:00"/>
    <s v="BR001"/>
    <s v="P001"/>
    <s v="C0161"/>
    <n v="2"/>
    <n v="10"/>
    <n v="185000"/>
    <x v="2"/>
    <n v="333000"/>
    <x v="1"/>
  </r>
  <r>
    <s v="T00965"/>
    <d v="2025-08-28T00:00:00"/>
    <s v="BR001"/>
    <s v="P021"/>
    <s v="C0158"/>
    <n v="1"/>
    <n v="20"/>
    <n v="6500"/>
    <x v="2"/>
    <n v="5200"/>
    <x v="3"/>
  </r>
  <r>
    <s v="T00465"/>
    <d v="2025-12-08T00:00:00"/>
    <s v="BR001"/>
    <s v="P003"/>
    <s v="C0052"/>
    <n v="1"/>
    <n v="25"/>
    <n v="45000"/>
    <x v="2"/>
    <n v="33750"/>
    <x v="1"/>
  </r>
  <r>
    <s v="T01068"/>
    <d v="2025-12-21T00:00:00"/>
    <s v="BR002"/>
    <s v="P002"/>
    <s v="C0008"/>
    <n v="1"/>
    <n v="5"/>
    <n v="320000"/>
    <x v="1"/>
    <n v="304000"/>
    <x v="1"/>
  </r>
  <r>
    <s v="T00360"/>
    <d v="2025-09-09T00:00:00"/>
    <s v="BR003"/>
    <s v="P021"/>
    <s v="C0087"/>
    <n v="1"/>
    <n v="0"/>
    <n v="6500"/>
    <x v="0"/>
    <n v="6500"/>
    <x v="3"/>
  </r>
  <r>
    <s v="T01375"/>
    <d v="2025-11-01T00:00:00"/>
    <s v="BR001"/>
    <s v="P016"/>
    <s v="C0191"/>
    <n v="1"/>
    <n v="5"/>
    <n v="19500"/>
    <x v="2"/>
    <n v="18525"/>
    <x v="0"/>
  </r>
  <r>
    <s v="T00930"/>
    <d v="2025-06-14T00:00:00"/>
    <s v="BR001"/>
    <s v="P010"/>
    <s v="C0152"/>
    <n v="2"/>
    <n v="0"/>
    <n v="62000"/>
    <x v="2"/>
    <n v="124000"/>
    <x v="0"/>
  </r>
  <r>
    <s v="T01143"/>
    <d v="2025-03-23T00:00:00"/>
    <s v="BR003"/>
    <s v="P019"/>
    <s v="C0029"/>
    <n v="1"/>
    <n v="0"/>
    <n v="21000"/>
    <x v="0"/>
    <n v="21000"/>
    <x v="3"/>
  </r>
  <r>
    <s v="T00334"/>
    <d v="2025-05-26T00:00:00"/>
    <s v="BR003"/>
    <s v="P018"/>
    <s v="C0140"/>
    <n v="1"/>
    <n v="0"/>
    <n v="18000"/>
    <x v="0"/>
    <n v="18000"/>
    <x v="3"/>
  </r>
  <r>
    <s v="T00011"/>
    <d v="2025-12-22T00:00:00"/>
    <s v="BR002"/>
    <s v="P002"/>
    <s v="C0072"/>
    <n v="1"/>
    <n v="0"/>
    <n v="320000"/>
    <x v="1"/>
    <n v="320000"/>
    <x v="1"/>
  </r>
  <r>
    <s v="T00739"/>
    <d v="2025-12-02T00:00:00"/>
    <s v="BR003"/>
    <s v="P011"/>
    <s v="C0033"/>
    <n v="1"/>
    <n v="5"/>
    <n v="74000"/>
    <x v="0"/>
    <n v="70300"/>
    <x v="0"/>
  </r>
  <r>
    <s v="T00471"/>
    <d v="2025-12-10T00:00:00"/>
    <s v="BR001"/>
    <s v="P021"/>
    <s v="C0002"/>
    <n v="1"/>
    <n v="20"/>
    <n v="6500"/>
    <x v="2"/>
    <n v="5200"/>
    <x v="3"/>
  </r>
  <r>
    <s v="T00832"/>
    <d v="2025-05-06T00:00:00"/>
    <s v="BR003"/>
    <s v="P003"/>
    <s v="C0138"/>
    <n v="1"/>
    <n v="10"/>
    <n v="45000"/>
    <x v="0"/>
    <n v="40500"/>
    <x v="1"/>
  </r>
  <r>
    <s v="T00033"/>
    <d v="2025-11-04T00:00:00"/>
    <s v="BR001"/>
    <s v="P005"/>
    <s v="C0090"/>
    <n v="2"/>
    <n v="10"/>
    <n v="95000"/>
    <x v="2"/>
    <n v="171000"/>
    <x v="1"/>
  </r>
  <r>
    <s v="T00151"/>
    <d v="2025-10-11T00:00:00"/>
    <s v="BR001"/>
    <s v="P001"/>
    <s v="C0157"/>
    <n v="5"/>
    <n v="0"/>
    <n v="185000"/>
    <x v="2"/>
    <n v="925000"/>
    <x v="1"/>
  </r>
  <r>
    <s v="T00414"/>
    <d v="2025-03-13T00:00:00"/>
    <s v="BR001"/>
    <s v="P005"/>
    <s v="C0121"/>
    <n v="1"/>
    <n v="0"/>
    <n v="95000"/>
    <x v="2"/>
    <n v="95000"/>
    <x v="1"/>
  </r>
  <r>
    <s v="T00581"/>
    <d v="2025-06-03T00:00:00"/>
    <s v="BR002"/>
    <s v="P020"/>
    <s v="C0146"/>
    <n v="2"/>
    <n v="10"/>
    <n v="8500"/>
    <x v="1"/>
    <n v="15300"/>
    <x v="3"/>
  </r>
  <r>
    <s v="T00383"/>
    <d v="2025-02-04T00:00:00"/>
    <s v="BR002"/>
    <s v="P015"/>
    <s v="C0110"/>
    <n v="1"/>
    <n v="0"/>
    <n v="15000"/>
    <x v="1"/>
    <n v="15000"/>
    <x v="0"/>
  </r>
  <r>
    <s v="T00794"/>
    <d v="2025-12-03T00:00:00"/>
    <s v="BR003"/>
    <s v="P010"/>
    <s v="C0202"/>
    <n v="5"/>
    <n v="5"/>
    <n v="62000"/>
    <x v="0"/>
    <n v="294500"/>
    <x v="0"/>
  </r>
  <r>
    <s v="T01085"/>
    <d v="2025-11-21T00:00:00"/>
    <s v="BR002"/>
    <s v="P005"/>
    <s v="C0123"/>
    <n v="1"/>
    <n v="10"/>
    <n v="95000"/>
    <x v="1"/>
    <n v="85500"/>
    <x v="1"/>
  </r>
  <r>
    <s v="T00377"/>
    <d v="2025-04-04T00:00:00"/>
    <s v="BR003"/>
    <s v="P017"/>
    <s v="C0212"/>
    <n v="2"/>
    <n v="0"/>
    <n v="24000"/>
    <x v="0"/>
    <n v="48000"/>
    <x v="0"/>
  </r>
  <r>
    <s v="T01332"/>
    <d v="2025-01-27T00:00:00"/>
    <s v="BR002"/>
    <s v="P003"/>
    <s v="C0030"/>
    <n v="1"/>
    <n v="0"/>
    <n v="45000"/>
    <x v="1"/>
    <n v="45000"/>
    <x v="1"/>
  </r>
  <r>
    <s v="T00615"/>
    <d v="2025-12-22T00:00:00"/>
    <s v="BR003"/>
    <s v="P002"/>
    <s v="C0010"/>
    <n v="1"/>
    <n v="5"/>
    <n v="320000"/>
    <x v="0"/>
    <n v="304000"/>
    <x v="1"/>
  </r>
  <r>
    <s v="T01338"/>
    <d v="2025-04-23T00:00:00"/>
    <s v="BR001"/>
    <s v="P016"/>
    <s v="C0178"/>
    <n v="1"/>
    <n v="5"/>
    <n v="19500"/>
    <x v="2"/>
    <n v="18525"/>
    <x v="0"/>
  </r>
  <r>
    <s v="T00379"/>
    <d v="2025-10-02T00:00:00"/>
    <s v="BR004"/>
    <s v="P020"/>
    <s v="C0214"/>
    <n v="1"/>
    <n v="0"/>
    <n v="8500"/>
    <x v="3"/>
    <n v="8500"/>
    <x v="3"/>
  </r>
  <r>
    <s v="T01015"/>
    <d v="2025-10-09T00:00:00"/>
    <s v="BR002"/>
    <s v="P009"/>
    <s v="C0064"/>
    <n v="1"/>
    <n v="0"/>
    <n v="265000"/>
    <x v="1"/>
    <n v="265000"/>
    <x v="0"/>
  </r>
  <r>
    <s v="T00090"/>
    <d v="2025-12-04T00:00:00"/>
    <s v="BR001"/>
    <s v="P013"/>
    <s v="C0076"/>
    <n v="1"/>
    <n v="15"/>
    <n v="22000"/>
    <x v="2"/>
    <n v="18700"/>
    <x v="0"/>
  </r>
  <r>
    <s v="T01188"/>
    <d v="2025-06-21T00:00:00"/>
    <s v="BR002"/>
    <s v="P020"/>
    <s v="C0003"/>
    <n v="5"/>
    <n v="5"/>
    <n v="8500"/>
    <x v="1"/>
    <n v="40375"/>
    <x v="3"/>
  </r>
  <r>
    <s v="T00693"/>
    <d v="2025-08-05T00:00:00"/>
    <s v="BR001"/>
    <s v="P008"/>
    <s v="C0127"/>
    <n v="1"/>
    <n v="0"/>
    <n v="410000"/>
    <x v="2"/>
    <n v="410000"/>
    <x v="0"/>
  </r>
  <r>
    <s v="T00602"/>
    <d v="2025-10-20T00:00:00"/>
    <s v="BR001"/>
    <s v="P013"/>
    <s v="C0175"/>
    <n v="1"/>
    <n v="0"/>
    <n v="22000"/>
    <x v="2"/>
    <n v="22000"/>
    <x v="0"/>
  </r>
  <r>
    <s v="T00214"/>
    <d v="2025-03-16T00:00:00"/>
    <s v="BR001"/>
    <s v="P003"/>
    <s v="C0180"/>
    <n v="5"/>
    <n v="10"/>
    <n v="45000"/>
    <x v="2"/>
    <n v="202500"/>
    <x v="1"/>
  </r>
  <r>
    <s v="T00834"/>
    <d v="2025-11-25T00:00:00"/>
    <s v="BR001"/>
    <s v="P022"/>
    <s v="C0129"/>
    <n v="1"/>
    <n v="15"/>
    <n v="5200"/>
    <x v="2"/>
    <n v="4420"/>
    <x v="3"/>
  </r>
  <r>
    <s v="T00333"/>
    <d v="2025-11-27T00:00:00"/>
    <s v="BR001"/>
    <s v="P013"/>
    <s v="C0050"/>
    <n v="1"/>
    <n v="5"/>
    <n v="22000"/>
    <x v="2"/>
    <n v="20900"/>
    <x v="0"/>
  </r>
  <r>
    <s v="T00134"/>
    <d v="2025-12-16T00:00:00"/>
    <s v="BR001"/>
    <s v="P022"/>
    <s v="C0014"/>
    <n v="2"/>
    <n v="20"/>
    <n v="5200"/>
    <x v="2"/>
    <n v="8320"/>
    <x v="3"/>
  </r>
  <r>
    <s v="T00556"/>
    <d v="2025-08-09T00:00:00"/>
    <s v="BR002"/>
    <s v="P004"/>
    <s v="C0196"/>
    <n v="1"/>
    <n v="10"/>
    <n v="38000"/>
    <x v="1"/>
    <n v="34200"/>
    <x v="1"/>
  </r>
  <r>
    <s v="T00321"/>
    <d v="2025-09-14T00:00:00"/>
    <s v="BR002"/>
    <s v="P025"/>
    <s v="C0005"/>
    <n v="2"/>
    <n v="0"/>
    <n v="175000"/>
    <x v="1"/>
    <n v="350000"/>
    <x v="2"/>
  </r>
  <r>
    <s v="T01233"/>
    <d v="2025-04-28T00:00:00"/>
    <s v="BR003"/>
    <s v="P021"/>
    <s v="C0135"/>
    <n v="2"/>
    <n v="0"/>
    <n v="6500"/>
    <x v="0"/>
    <n v="13000"/>
    <x v="3"/>
  </r>
  <r>
    <s v="T01379"/>
    <d v="2025-02-14T00:00:00"/>
    <s v="BR001"/>
    <s v="P016"/>
    <s v="C0095"/>
    <n v="2"/>
    <n v="0"/>
    <n v="19500"/>
    <x v="2"/>
    <n v="39000"/>
    <x v="0"/>
  </r>
  <r>
    <s v="T00635"/>
    <d v="2025-11-18T00:00:00"/>
    <s v="BR001"/>
    <s v="P012"/>
    <s v="C0054"/>
    <n v="5"/>
    <n v="10"/>
    <n v="28000"/>
    <x v="2"/>
    <n v="126000"/>
    <x v="0"/>
  </r>
  <r>
    <s v="T00553"/>
    <d v="2025-07-12T00:00:00"/>
    <s v="BR002"/>
    <s v="P016"/>
    <s v="C0017"/>
    <n v="1"/>
    <n v="0"/>
    <n v="19500"/>
    <x v="1"/>
    <n v="19500"/>
    <x v="0"/>
  </r>
  <r>
    <s v="T01091"/>
    <d v="2025-02-13T00:00:00"/>
    <s v="BR002"/>
    <s v="P024"/>
    <s v="C0155"/>
    <n v="1"/>
    <n v="20"/>
    <n v="245000"/>
    <x v="1"/>
    <n v="196000"/>
    <x v="2"/>
  </r>
  <r>
    <s v="T00797"/>
    <d v="2025-05-26T00:00:00"/>
    <s v="BR002"/>
    <s v="P013"/>
    <s v="C0069"/>
    <n v="1"/>
    <n v="5"/>
    <n v="22000"/>
    <x v="1"/>
    <n v="20900"/>
    <x v="0"/>
  </r>
  <r>
    <s v="T01165"/>
    <d v="2025-08-14T00:00:00"/>
    <s v="BR004"/>
    <s v="P022"/>
    <s v="C0155"/>
    <n v="1"/>
    <n v="5"/>
    <n v="5200"/>
    <x v="3"/>
    <n v="4940"/>
    <x v="3"/>
  </r>
  <r>
    <s v="T00175"/>
    <d v="2025-05-11T00:00:00"/>
    <s v="BR004"/>
    <s v="P012"/>
    <s v="C0137"/>
    <n v="1"/>
    <n v="5"/>
    <n v="28000"/>
    <x v="3"/>
    <n v="26600"/>
    <x v="0"/>
  </r>
  <r>
    <s v="T00767"/>
    <d v="2025-11-22T00:00:00"/>
    <s v="BR002"/>
    <s v="P011"/>
    <s v="C0086"/>
    <n v="1"/>
    <n v="10"/>
    <n v="74000"/>
    <x v="1"/>
    <n v="66600"/>
    <x v="0"/>
  </r>
  <r>
    <s v="T00246"/>
    <d v="2025-04-20T00:00:00"/>
    <s v="BR001"/>
    <s v="P018"/>
    <s v="C0032"/>
    <n v="2"/>
    <n v="0"/>
    <n v="18000"/>
    <x v="2"/>
    <n v="36000"/>
    <x v="3"/>
  </r>
  <r>
    <s v="T01213"/>
    <d v="2025-02-10T00:00:00"/>
    <s v="BR004"/>
    <s v="P005"/>
    <s v="C0029"/>
    <n v="1"/>
    <n v="5"/>
    <n v="95000"/>
    <x v="3"/>
    <n v="90250"/>
    <x v="1"/>
  </r>
  <r>
    <s v="T00146"/>
    <d v="2025-09-09T00:00:00"/>
    <s v="BR001"/>
    <s v="P004"/>
    <s v="C0188"/>
    <n v="3"/>
    <n v="0"/>
    <n v="38000"/>
    <x v="2"/>
    <n v="114000"/>
    <x v="1"/>
  </r>
  <r>
    <s v="T00091"/>
    <d v="2025-03-28T00:00:00"/>
    <s v="BR001"/>
    <s v="P011"/>
    <s v="C0073"/>
    <n v="3"/>
    <n v="5"/>
    <n v="74000"/>
    <x v="2"/>
    <n v="210900"/>
    <x v="0"/>
  </r>
  <r>
    <s v="T00683"/>
    <d v="2025-02-24T00:00:00"/>
    <s v="BR003"/>
    <s v="P003"/>
    <s v="C0201"/>
    <n v="2"/>
    <n v="0"/>
    <n v="45000"/>
    <x v="0"/>
    <n v="90000"/>
    <x v="1"/>
  </r>
  <r>
    <s v="T00311"/>
    <d v="2025-07-21T00:00:00"/>
    <s v="BR001"/>
    <s v="P012"/>
    <s v="C0089"/>
    <n v="1"/>
    <n v="0"/>
    <n v="28000"/>
    <x v="2"/>
    <n v="28000"/>
    <x v="0"/>
  </r>
  <r>
    <s v="T00094"/>
    <d v="2025-10-01T00:00:00"/>
    <s v="BR002"/>
    <s v="P024"/>
    <s v="C0009"/>
    <n v="1"/>
    <n v="15"/>
    <n v="245000"/>
    <x v="1"/>
    <n v="208250"/>
    <x v="2"/>
  </r>
  <r>
    <s v="T01390"/>
    <d v="2025-12-17T00:00:00"/>
    <s v="BR001"/>
    <s v="P019"/>
    <s v="C0169"/>
    <n v="2"/>
    <n v="0"/>
    <n v="21000"/>
    <x v="2"/>
    <n v="42000"/>
    <x v="3"/>
  </r>
  <r>
    <s v="T00925"/>
    <d v="2025-07-07T00:00:00"/>
    <s v="BR001"/>
    <s v="P005"/>
    <s v="C0163"/>
    <n v="1"/>
    <n v="20"/>
    <n v="95000"/>
    <x v="2"/>
    <n v="76000"/>
    <x v="1"/>
  </r>
  <r>
    <s v="T01181"/>
    <d v="2025-10-18T00:00:00"/>
    <s v="BR001"/>
    <s v="P006"/>
    <s v="C0036"/>
    <n v="1"/>
    <n v="0"/>
    <n v="78000"/>
    <x v="2"/>
    <n v="78000"/>
    <x v="1"/>
  </r>
  <r>
    <s v="T01036"/>
    <d v="2025-08-03T00:00:00"/>
    <s v="BR001"/>
    <s v="P024"/>
    <s v="C0186"/>
    <n v="2"/>
    <n v="5"/>
    <n v="245000"/>
    <x v="2"/>
    <n v="465500"/>
    <x v="2"/>
  </r>
  <r>
    <s v="T00244"/>
    <d v="2025-02-06T00:00:00"/>
    <s v="BR004"/>
    <s v="P023"/>
    <s v="C0086"/>
    <n v="1"/>
    <n v="15"/>
    <n v="195000"/>
    <x v="3"/>
    <n v="165750"/>
    <x v="2"/>
  </r>
  <r>
    <s v="T00215"/>
    <d v="2025-08-28T00:00:00"/>
    <s v="BR003"/>
    <s v="P009"/>
    <s v="C0174"/>
    <n v="1"/>
    <n v="10"/>
    <n v="265000"/>
    <x v="0"/>
    <n v="238500"/>
    <x v="0"/>
  </r>
  <r>
    <s v="T00999"/>
    <d v="2025-12-02T00:00:00"/>
    <s v="BR002"/>
    <s v="P025"/>
    <s v="C0080"/>
    <n v="3"/>
    <n v="0"/>
    <n v="175000"/>
    <x v="1"/>
    <n v="525000"/>
    <x v="2"/>
  </r>
  <r>
    <s v="T00854"/>
    <d v="2025-12-27T00:00:00"/>
    <s v="BR002"/>
    <s v="P017"/>
    <s v="C0186"/>
    <n v="2"/>
    <n v="5"/>
    <n v="24000"/>
    <x v="1"/>
    <n v="45600"/>
    <x v="0"/>
  </r>
  <r>
    <s v="T00426"/>
    <d v="2025-04-03T00:00:00"/>
    <s v="BR002"/>
    <s v="P024"/>
    <s v="C0176"/>
    <n v="1"/>
    <n v="0"/>
    <n v="245000"/>
    <x v="1"/>
    <n v="245000"/>
    <x v="2"/>
  </r>
  <r>
    <s v="T01229"/>
    <d v="2025-05-20T00:00:00"/>
    <s v="BR002"/>
    <s v="P001"/>
    <s v="C0067"/>
    <n v="1"/>
    <n v="0"/>
    <n v="185000"/>
    <x v="1"/>
    <n v="185000"/>
    <x v="1"/>
  </r>
  <r>
    <s v="T00227"/>
    <d v="2025-09-28T00:00:00"/>
    <s v="BR003"/>
    <s v="P025"/>
    <s v="C0061"/>
    <n v="3"/>
    <n v="5"/>
    <n v="175000"/>
    <x v="0"/>
    <n v="498750"/>
    <x v="2"/>
  </r>
  <r>
    <s v="T01141"/>
    <d v="2025-12-03T00:00:00"/>
    <s v="BR002"/>
    <s v="P011"/>
    <s v="C0154"/>
    <n v="1"/>
    <n v="20"/>
    <n v="74000"/>
    <x v="1"/>
    <n v="59200"/>
    <x v="0"/>
  </r>
  <r>
    <s v="T00001"/>
    <d v="2025-05-20T00:00:00"/>
    <s v="BR001"/>
    <s v="P021"/>
    <s v="C0074"/>
    <n v="5"/>
    <n v="0"/>
    <n v="6500"/>
    <x v="2"/>
    <n v="32500"/>
    <x v="3"/>
  </r>
  <r>
    <s v="T00402"/>
    <d v="2025-12-09T00:00:00"/>
    <s v="BR003"/>
    <s v="P002"/>
    <s v="C0180"/>
    <n v="1"/>
    <n v="10"/>
    <n v="320000"/>
    <x v="0"/>
    <n v="288000"/>
    <x v="1"/>
  </r>
  <r>
    <s v="T00085"/>
    <d v="2025-08-02T00:00:00"/>
    <s v="BR002"/>
    <s v="P018"/>
    <s v="C0037"/>
    <n v="1"/>
    <n v="0"/>
    <n v="18000"/>
    <x v="1"/>
    <n v="18000"/>
    <x v="3"/>
  </r>
  <r>
    <s v="T00163"/>
    <d v="2025-10-11T00:00:00"/>
    <s v="BR003"/>
    <s v="P008"/>
    <s v="C0151"/>
    <n v="3"/>
    <n v="0"/>
    <n v="410000"/>
    <x v="0"/>
    <n v="1230000"/>
    <x v="0"/>
  </r>
  <r>
    <s v="T00115"/>
    <d v="2025-06-23T00:00:00"/>
    <s v="BR001"/>
    <s v="P001"/>
    <s v="C0106"/>
    <n v="1"/>
    <n v="0"/>
    <n v="185000"/>
    <x v="2"/>
    <n v="185000"/>
    <x v="1"/>
  </r>
  <r>
    <s v="T00671"/>
    <d v="2025-08-28T00:00:00"/>
    <s v="BR003"/>
    <s v="P014"/>
    <s v="C0097"/>
    <n v="1"/>
    <n v="0"/>
    <n v="285000"/>
    <x v="0"/>
    <n v="285000"/>
    <x v="0"/>
  </r>
  <r>
    <s v="T01070"/>
    <d v="2025-12-13T00:00:00"/>
    <s v="BR002"/>
    <s v="P010"/>
    <s v="C0076"/>
    <n v="1"/>
    <n v="25"/>
    <n v="62000"/>
    <x v="1"/>
    <n v="46500"/>
    <x v="0"/>
  </r>
  <r>
    <s v="T00890"/>
    <d v="2025-02-08T00:00:00"/>
    <s v="BR002"/>
    <s v="P014"/>
    <s v="C0090"/>
    <n v="2"/>
    <n v="10"/>
    <n v="285000"/>
    <x v="1"/>
    <n v="513000"/>
    <x v="0"/>
  </r>
  <r>
    <s v="T00626"/>
    <d v="2025-09-10T00:00:00"/>
    <s v="BR001"/>
    <s v="P020"/>
    <s v="C0176"/>
    <n v="1"/>
    <n v="0"/>
    <n v="8500"/>
    <x v="2"/>
    <n v="8500"/>
    <x v="3"/>
  </r>
  <r>
    <s v="T00953"/>
    <d v="2025-11-08T00:00:00"/>
    <s v="BR004"/>
    <s v="P023"/>
    <s v="C0014"/>
    <n v="1"/>
    <n v="10"/>
    <n v="195000"/>
    <x v="3"/>
    <n v="175500"/>
    <x v="2"/>
  </r>
  <r>
    <s v="T00808"/>
    <d v="2025-12-14T00:00:00"/>
    <s v="BR004"/>
    <s v="P002"/>
    <s v="C0168"/>
    <n v="1"/>
    <n v="15"/>
    <n v="320000"/>
    <x v="3"/>
    <n v="272000"/>
    <x v="1"/>
  </r>
  <r>
    <s v="T00259"/>
    <d v="2025-06-01T00:00:00"/>
    <s v="BR003"/>
    <s v="P015"/>
    <s v="C0065"/>
    <n v="1"/>
    <n v="15"/>
    <n v="15000"/>
    <x v="0"/>
    <n v="12750"/>
    <x v="0"/>
  </r>
  <r>
    <s v="T00625"/>
    <d v="2025-05-12T00:00:00"/>
    <s v="BR001"/>
    <s v="P016"/>
    <s v="C0007"/>
    <n v="1"/>
    <n v="10"/>
    <n v="19500"/>
    <x v="2"/>
    <n v="17550"/>
    <x v="0"/>
  </r>
  <r>
    <s v="T00827"/>
    <d v="2025-09-11T00:00:00"/>
    <s v="BR003"/>
    <s v="P004"/>
    <s v="C0017"/>
    <n v="1"/>
    <n v="0"/>
    <n v="38000"/>
    <x v="0"/>
    <n v="38000"/>
    <x v="1"/>
  </r>
  <r>
    <s v="T00235"/>
    <d v="2025-05-10T00:00:00"/>
    <s v="BR003"/>
    <s v="P024"/>
    <s v="C0169"/>
    <n v="1"/>
    <n v="15"/>
    <n v="245000"/>
    <x v="0"/>
    <n v="208250"/>
    <x v="2"/>
  </r>
  <r>
    <s v="T00136"/>
    <d v="2025-05-18T00:00:00"/>
    <s v="BR001"/>
    <s v="P015"/>
    <s v="C0149"/>
    <n v="2"/>
    <n v="0"/>
    <n v="15000"/>
    <x v="2"/>
    <n v="30000"/>
    <x v="0"/>
  </r>
  <r>
    <s v="T00617"/>
    <d v="2025-12-08T00:00:00"/>
    <s v="BR001"/>
    <s v="P004"/>
    <s v="C0016"/>
    <n v="1"/>
    <n v="20"/>
    <n v="38000"/>
    <x v="2"/>
    <n v="30400"/>
    <x v="1"/>
  </r>
  <r>
    <s v="T00837"/>
    <d v="2025-08-15T00:00:00"/>
    <s v="BR002"/>
    <s v="P018"/>
    <s v="C0185"/>
    <n v="3"/>
    <n v="15"/>
    <n v="18000"/>
    <x v="1"/>
    <n v="45900"/>
    <x v="3"/>
  </r>
  <r>
    <s v="T00843"/>
    <d v="2025-09-08T00:00:00"/>
    <s v="BR001"/>
    <s v="P021"/>
    <s v="C0133"/>
    <n v="1"/>
    <n v="5"/>
    <n v="6500"/>
    <x v="2"/>
    <n v="6175"/>
    <x v="3"/>
  </r>
  <r>
    <s v="T00960"/>
    <d v="2025-11-18T00:00:00"/>
    <s v="BR004"/>
    <s v="P009"/>
    <s v="C0049"/>
    <n v="1"/>
    <n v="20"/>
    <n v="265000"/>
    <x v="3"/>
    <n v="212000"/>
    <x v="0"/>
  </r>
  <r>
    <s v="T00593"/>
    <d v="2025-10-03T00:00:00"/>
    <s v="BR003"/>
    <s v="P024"/>
    <s v="C0180"/>
    <n v="1"/>
    <n v="0"/>
    <n v="245000"/>
    <x v="0"/>
    <n v="245000"/>
    <x v="2"/>
  </r>
  <r>
    <s v="T00344"/>
    <d v="2025-06-24T00:00:00"/>
    <s v="BR001"/>
    <s v="P025"/>
    <s v="C0138"/>
    <n v="1"/>
    <n v="10"/>
    <n v="175000"/>
    <x v="2"/>
    <n v="157500"/>
    <x v="2"/>
  </r>
  <r>
    <s v="T01154"/>
    <d v="2025-12-15T00:00:00"/>
    <s v="BR001"/>
    <s v="P021"/>
    <s v="C0099"/>
    <n v="1"/>
    <n v="5"/>
    <n v="6500"/>
    <x v="2"/>
    <n v="6175"/>
    <x v="3"/>
  </r>
  <r>
    <s v="T00294"/>
    <d v="2025-05-24T00:00:00"/>
    <s v="BR004"/>
    <s v="P007"/>
    <s v="C0212"/>
    <n v="1"/>
    <n v="10"/>
    <n v="145000"/>
    <x v="3"/>
    <n v="130500"/>
    <x v="1"/>
  </r>
  <r>
    <s v="T00365"/>
    <d v="2025-11-08T00:00:00"/>
    <s v="BR002"/>
    <s v="P009"/>
    <s v="C0075"/>
    <n v="1"/>
    <n v="25"/>
    <n v="265000"/>
    <x v="1"/>
    <n v="198750"/>
    <x v="0"/>
  </r>
  <r>
    <s v="T00179"/>
    <d v="2025-02-13T00:00:00"/>
    <s v="BR001"/>
    <s v="P017"/>
    <s v="C0112"/>
    <n v="1"/>
    <n v="0"/>
    <n v="24000"/>
    <x v="2"/>
    <n v="24000"/>
    <x v="0"/>
  </r>
  <r>
    <s v="T00660"/>
    <d v="2025-08-06T00:00:00"/>
    <s v="BR004"/>
    <s v="P012"/>
    <s v="C0071"/>
    <n v="1"/>
    <n v="0"/>
    <n v="28000"/>
    <x v="3"/>
    <n v="28000"/>
    <x v="0"/>
  </r>
  <r>
    <s v="T00997"/>
    <d v="2025-03-10T00:00:00"/>
    <s v="BR001"/>
    <s v="P018"/>
    <s v="C0037"/>
    <n v="1"/>
    <n v="0"/>
    <n v="18000"/>
    <x v="2"/>
    <n v="18000"/>
    <x v="3"/>
  </r>
  <r>
    <s v="T00015"/>
    <d v="2025-08-21T00:00:00"/>
    <s v="BR002"/>
    <s v="P021"/>
    <s v="C0153"/>
    <n v="1"/>
    <n v="0"/>
    <n v="6500"/>
    <x v="1"/>
    <n v="6500"/>
    <x v="3"/>
  </r>
  <r>
    <s v="T00166"/>
    <d v="2025-11-11T00:00:00"/>
    <s v="BR002"/>
    <s v="P006"/>
    <s v="C0047"/>
    <n v="2"/>
    <n v="0"/>
    <n v="78000"/>
    <x v="1"/>
    <n v="156000"/>
    <x v="1"/>
  </r>
  <r>
    <s v="T00060"/>
    <d v="2025-01-25T00:00:00"/>
    <s v="BR004"/>
    <s v="P019"/>
    <s v="C0189"/>
    <n v="3"/>
    <n v="0"/>
    <n v="21000"/>
    <x v="3"/>
    <n v="63000"/>
    <x v="3"/>
  </r>
  <r>
    <s v="T00710"/>
    <d v="2025-03-20T00:00:00"/>
    <s v="BR003"/>
    <s v="P006"/>
    <s v="C0208"/>
    <n v="1"/>
    <n v="0"/>
    <n v="78000"/>
    <x v="0"/>
    <n v="78000"/>
    <x v="1"/>
  </r>
  <r>
    <s v="T00677"/>
    <d v="2025-12-03T00:00:00"/>
    <s v="BR001"/>
    <s v="P024"/>
    <s v="C0196"/>
    <n v="1"/>
    <n v="20"/>
    <n v="245000"/>
    <x v="2"/>
    <n v="196000"/>
    <x v="2"/>
  </r>
  <r>
    <s v="T00781"/>
    <d v="2025-10-28T00:00:00"/>
    <s v="BR002"/>
    <s v="P008"/>
    <s v="C0118"/>
    <n v="1"/>
    <n v="0"/>
    <n v="410000"/>
    <x v="1"/>
    <n v="410000"/>
    <x v="0"/>
  </r>
  <r>
    <s v="T00425"/>
    <d v="2025-01-07T00:00:00"/>
    <s v="BR002"/>
    <s v="P008"/>
    <s v="C0019"/>
    <n v="1"/>
    <n v="15"/>
    <n v="410000"/>
    <x v="1"/>
    <n v="348500"/>
    <x v="0"/>
  </r>
  <r>
    <s v="T00293"/>
    <d v="2025-02-20T00:00:00"/>
    <s v="BR003"/>
    <s v="P021"/>
    <s v="C0021"/>
    <n v="1"/>
    <n v="15"/>
    <n v="6500"/>
    <x v="0"/>
    <n v="5525"/>
    <x v="3"/>
  </r>
  <r>
    <s v="T01066"/>
    <d v="2025-06-08T00:00:00"/>
    <s v="BR002"/>
    <s v="P018"/>
    <s v="C0143"/>
    <n v="1"/>
    <n v="15"/>
    <n v="18000"/>
    <x v="1"/>
    <n v="15300"/>
    <x v="3"/>
  </r>
  <r>
    <s v="T01250"/>
    <d v="2025-05-13T00:00:00"/>
    <s v="BR001"/>
    <s v="P006"/>
    <s v="C0140"/>
    <n v="1"/>
    <n v="5"/>
    <n v="78000"/>
    <x v="2"/>
    <n v="74100"/>
    <x v="1"/>
  </r>
  <r>
    <s v="T00330"/>
    <d v="2025-02-09T00:00:00"/>
    <s v="BR001"/>
    <s v="P019"/>
    <s v="C0083"/>
    <n v="1"/>
    <n v="0"/>
    <n v="21000"/>
    <x v="2"/>
    <n v="21000"/>
    <x v="3"/>
  </r>
  <r>
    <s v="T00430"/>
    <d v="2025-06-07T00:00:00"/>
    <s v="BR001"/>
    <s v="P018"/>
    <s v="C0180"/>
    <n v="1"/>
    <n v="0"/>
    <n v="18000"/>
    <x v="2"/>
    <n v="18000"/>
    <x v="3"/>
  </r>
  <r>
    <s v="T01013"/>
    <d v="2025-02-21T00:00:00"/>
    <s v="BR001"/>
    <s v="P019"/>
    <s v="C0173"/>
    <n v="1"/>
    <n v="0"/>
    <n v="21000"/>
    <x v="2"/>
    <n v="21000"/>
    <x v="3"/>
  </r>
  <r>
    <s v="T00080"/>
    <d v="2025-01-23T00:00:00"/>
    <s v="BR001"/>
    <s v="P007"/>
    <s v="C0039"/>
    <n v="1"/>
    <n v="10"/>
    <n v="145000"/>
    <x v="2"/>
    <n v="130500"/>
    <x v="1"/>
  </r>
  <r>
    <s v="T01053"/>
    <d v="2025-02-13T00:00:00"/>
    <s v="BR003"/>
    <s v="P023"/>
    <s v="C0099"/>
    <n v="1"/>
    <n v="5"/>
    <n v="195000"/>
    <x v="0"/>
    <n v="185250"/>
    <x v="2"/>
  </r>
  <r>
    <s v="T00938"/>
    <d v="2025-12-21T00:00:00"/>
    <s v="BR001"/>
    <s v="P016"/>
    <s v="C0214"/>
    <n v="2"/>
    <n v="10"/>
    <n v="19500"/>
    <x v="2"/>
    <n v="35100"/>
    <x v="0"/>
  </r>
  <r>
    <s v="T00835"/>
    <d v="2025-04-26T00:00:00"/>
    <s v="BR001"/>
    <s v="P017"/>
    <s v="C0005"/>
    <n v="1"/>
    <n v="0"/>
    <n v="24000"/>
    <x v="2"/>
    <n v="24000"/>
    <x v="0"/>
  </r>
  <r>
    <s v="T00750"/>
    <d v="2025-07-23T00:00:00"/>
    <s v="BR004"/>
    <s v="P025"/>
    <s v="C0073"/>
    <n v="1"/>
    <n v="0"/>
    <n v="175000"/>
    <x v="3"/>
    <n v="175000"/>
    <x v="2"/>
  </r>
  <r>
    <s v="T00891"/>
    <d v="2025-11-27T00:00:00"/>
    <s v="BR002"/>
    <s v="P012"/>
    <s v="C0029"/>
    <n v="1"/>
    <n v="5"/>
    <n v="28000"/>
    <x v="1"/>
    <n v="26600"/>
    <x v="0"/>
  </r>
  <r>
    <s v="T00255"/>
    <d v="2025-11-21T00:00:00"/>
    <s v="BR002"/>
    <s v="P008"/>
    <s v="C0199"/>
    <n v="1"/>
    <n v="5"/>
    <n v="410000"/>
    <x v="1"/>
    <n v="389500"/>
    <x v="0"/>
  </r>
  <r>
    <s v="T01369"/>
    <d v="2025-04-22T00:00:00"/>
    <s v="BR004"/>
    <s v="P022"/>
    <s v="C0085"/>
    <n v="1"/>
    <n v="5"/>
    <n v="5200"/>
    <x v="3"/>
    <n v="4940"/>
    <x v="3"/>
  </r>
  <r>
    <s v="T00137"/>
    <d v="2025-06-05T00:00:00"/>
    <s v="BR001"/>
    <s v="P014"/>
    <s v="C0119"/>
    <n v="2"/>
    <n v="0"/>
    <n v="285000"/>
    <x v="2"/>
    <n v="570000"/>
    <x v="0"/>
  </r>
  <r>
    <s v="T00853"/>
    <d v="2025-12-10T00:00:00"/>
    <s v="BR002"/>
    <s v="P001"/>
    <s v="C0171"/>
    <n v="2"/>
    <n v="20"/>
    <n v="185000"/>
    <x v="1"/>
    <n v="296000"/>
    <x v="1"/>
  </r>
  <r>
    <s v="T00724"/>
    <d v="2025-11-17T00:00:00"/>
    <s v="BR004"/>
    <s v="P022"/>
    <s v="C0165"/>
    <n v="2"/>
    <n v="5"/>
    <n v="5200"/>
    <x v="3"/>
    <n v="9880"/>
    <x v="3"/>
  </r>
  <r>
    <s v="T00860"/>
    <d v="2025-06-10T00:00:00"/>
    <s v="BR002"/>
    <s v="P013"/>
    <s v="C0202"/>
    <n v="1"/>
    <n v="25"/>
    <n v="22000"/>
    <x v="1"/>
    <n v="16500"/>
    <x v="0"/>
  </r>
  <r>
    <s v="T00970"/>
    <d v="2025-10-09T00:00:00"/>
    <s v="BR001"/>
    <s v="P021"/>
    <s v="C0053"/>
    <n v="3"/>
    <n v="0"/>
    <n v="6500"/>
    <x v="2"/>
    <n v="19500"/>
    <x v="3"/>
  </r>
  <r>
    <s v="T00497"/>
    <d v="2025-01-04T00:00:00"/>
    <s v="BR001"/>
    <s v="P020"/>
    <s v="C0016"/>
    <n v="1"/>
    <n v="0"/>
    <n v="8500"/>
    <x v="2"/>
    <n v="8500"/>
    <x v="3"/>
  </r>
  <r>
    <s v="T00951"/>
    <d v="2025-11-14T00:00:00"/>
    <s v="BR003"/>
    <s v="P012"/>
    <s v="C0140"/>
    <n v="1"/>
    <n v="10"/>
    <n v="28000"/>
    <x v="0"/>
    <n v="25200"/>
    <x v="0"/>
  </r>
  <r>
    <s v="T00806"/>
    <d v="2025-09-21T00:00:00"/>
    <s v="BR003"/>
    <s v="P006"/>
    <s v="C0218"/>
    <n v="2"/>
    <n v="0"/>
    <n v="78000"/>
    <x v="0"/>
    <n v="156000"/>
    <x v="1"/>
  </r>
  <r>
    <s v="T00130"/>
    <d v="2025-03-17T00:00:00"/>
    <s v="BR003"/>
    <s v="P021"/>
    <s v="C0198"/>
    <n v="1"/>
    <n v="10"/>
    <n v="6500"/>
    <x v="0"/>
    <n v="5850"/>
    <x v="3"/>
  </r>
  <r>
    <s v="T00338"/>
    <d v="2025-03-11T00:00:00"/>
    <s v="BR001"/>
    <s v="P003"/>
    <s v="C0219"/>
    <n v="1"/>
    <n v="20"/>
    <n v="45000"/>
    <x v="2"/>
    <n v="36000"/>
    <x v="1"/>
  </r>
  <r>
    <s v="T01396"/>
    <d v="2025-07-15T00:00:00"/>
    <s v="BR001"/>
    <s v="P016"/>
    <s v="C0194"/>
    <n v="3"/>
    <n v="10"/>
    <n v="19500"/>
    <x v="2"/>
    <n v="52650"/>
    <x v="0"/>
  </r>
  <r>
    <s v="T00609"/>
    <d v="2025-12-12T00:00:00"/>
    <s v="BR001"/>
    <s v="P002"/>
    <s v="C0212"/>
    <n v="1"/>
    <n v="5"/>
    <n v="320000"/>
    <x v="2"/>
    <n v="304000"/>
    <x v="1"/>
  </r>
  <r>
    <s v="T00196"/>
    <d v="2025-03-14T00:00:00"/>
    <s v="BR001"/>
    <s v="P016"/>
    <s v="C0049"/>
    <n v="1"/>
    <n v="0"/>
    <n v="19500"/>
    <x v="2"/>
    <n v="19500"/>
    <x v="0"/>
  </r>
  <r>
    <s v="T00910"/>
    <d v="2025-05-02T00:00:00"/>
    <s v="BR004"/>
    <s v="P015"/>
    <s v="C0085"/>
    <n v="1"/>
    <n v="20"/>
    <n v="15000"/>
    <x v="3"/>
    <n v="12000"/>
    <x v="0"/>
  </r>
  <r>
    <s v="T00585"/>
    <d v="2025-05-15T00:00:00"/>
    <s v="BR002"/>
    <s v="P016"/>
    <s v="C0190"/>
    <n v="1"/>
    <n v="25"/>
    <n v="19500"/>
    <x v="1"/>
    <n v="14625"/>
    <x v="0"/>
  </r>
  <r>
    <s v="T00104"/>
    <d v="2025-10-02T00:00:00"/>
    <s v="BR001"/>
    <s v="P012"/>
    <s v="C0074"/>
    <n v="3"/>
    <n v="0"/>
    <n v="28000"/>
    <x v="2"/>
    <n v="84000"/>
    <x v="0"/>
  </r>
  <r>
    <s v="T01293"/>
    <d v="2025-03-07T00:00:00"/>
    <s v="BR001"/>
    <s v="P017"/>
    <s v="C0057"/>
    <n v="1"/>
    <n v="5"/>
    <n v="24000"/>
    <x v="2"/>
    <n v="22800"/>
    <x v="0"/>
  </r>
  <r>
    <s v="T01307"/>
    <d v="2025-02-05T00:00:00"/>
    <s v="BR004"/>
    <s v="P011"/>
    <s v="C0212"/>
    <n v="1"/>
    <n v="0"/>
    <n v="74000"/>
    <x v="3"/>
    <n v="74000"/>
    <x v="0"/>
  </r>
  <r>
    <s v="T00720"/>
    <d v="2025-08-26T00:00:00"/>
    <s v="BR001"/>
    <s v="P001"/>
    <s v="C0016"/>
    <n v="1"/>
    <n v="0"/>
    <n v="185000"/>
    <x v="2"/>
    <n v="185000"/>
    <x v="1"/>
  </r>
  <r>
    <s v="T00885"/>
    <d v="2025-03-15T00:00:00"/>
    <s v="BR001"/>
    <s v="P018"/>
    <s v="C0116"/>
    <n v="1"/>
    <n v="20"/>
    <n v="18000"/>
    <x v="2"/>
    <n v="14400"/>
    <x v="3"/>
  </r>
  <r>
    <s v="T00777"/>
    <d v="2025-01-24T00:00:00"/>
    <s v="BR001"/>
    <s v="P021"/>
    <s v="C0141"/>
    <n v="1"/>
    <n v="0"/>
    <n v="6500"/>
    <x v="2"/>
    <n v="6500"/>
    <x v="3"/>
  </r>
  <r>
    <s v="T00850"/>
    <d v="2025-04-15T00:00:00"/>
    <s v="BR003"/>
    <s v="P011"/>
    <s v="C0124"/>
    <n v="1"/>
    <n v="0"/>
    <n v="74000"/>
    <x v="0"/>
    <n v="74000"/>
    <x v="0"/>
  </r>
  <r>
    <s v="T00895"/>
    <d v="2025-01-02T00:00:00"/>
    <s v="BR002"/>
    <s v="P017"/>
    <s v="C0086"/>
    <n v="1"/>
    <n v="0"/>
    <n v="24000"/>
    <x v="1"/>
    <n v="24000"/>
    <x v="0"/>
  </r>
  <r>
    <s v="T00228"/>
    <d v="2025-05-04T00:00:00"/>
    <s v="BR001"/>
    <s v="P006"/>
    <s v="C0130"/>
    <n v="1"/>
    <n v="10"/>
    <n v="78000"/>
    <x v="2"/>
    <n v="70200"/>
    <x v="1"/>
  </r>
  <r>
    <s v="T01317"/>
    <d v="2025-09-02T00:00:00"/>
    <s v="BR001"/>
    <s v="P007"/>
    <s v="C0165"/>
    <n v="2"/>
    <n v="5"/>
    <n v="145000"/>
    <x v="2"/>
    <n v="275500"/>
    <x v="1"/>
  </r>
  <r>
    <s v="T00127"/>
    <d v="2025-05-05T00:00:00"/>
    <s v="BR002"/>
    <s v="P003"/>
    <s v="C0100"/>
    <n v="2"/>
    <n v="10"/>
    <n v="45000"/>
    <x v="1"/>
    <n v="81000"/>
    <x v="1"/>
  </r>
  <r>
    <s v="T00406"/>
    <d v="2025-03-15T00:00:00"/>
    <s v="BR002"/>
    <s v="P005"/>
    <s v="C0003"/>
    <n v="1"/>
    <n v="0"/>
    <n v="95000"/>
    <x v="1"/>
    <n v="95000"/>
    <x v="1"/>
  </r>
  <r>
    <s v="T00776"/>
    <d v="2025-12-10T00:00:00"/>
    <s v="BR001"/>
    <s v="P015"/>
    <s v="C0082"/>
    <n v="1"/>
    <n v="10"/>
    <n v="15000"/>
    <x v="2"/>
    <n v="13500"/>
    <x v="0"/>
  </r>
  <r>
    <s v="T00822"/>
    <d v="2025-04-25T00:00:00"/>
    <s v="BR001"/>
    <s v="P015"/>
    <s v="C0101"/>
    <n v="1"/>
    <n v="20"/>
    <n v="15000"/>
    <x v="2"/>
    <n v="12000"/>
    <x v="0"/>
  </r>
  <r>
    <s v="T00712"/>
    <d v="2025-12-28T00:00:00"/>
    <s v="BR004"/>
    <s v="P019"/>
    <s v="C0092"/>
    <n v="1"/>
    <n v="10"/>
    <n v="21000"/>
    <x v="3"/>
    <n v="18900"/>
    <x v="3"/>
  </r>
  <r>
    <s v="T01321"/>
    <d v="2025-11-17T00:00:00"/>
    <s v="BR001"/>
    <s v="P009"/>
    <s v="C0179"/>
    <n v="1"/>
    <n v="5"/>
    <n v="265000"/>
    <x v="2"/>
    <n v="251750"/>
    <x v="0"/>
  </r>
  <r>
    <s v="T01061"/>
    <d v="2025-08-26T00:00:00"/>
    <s v="BR001"/>
    <s v="P013"/>
    <s v="C0034"/>
    <n v="1"/>
    <n v="10"/>
    <n v="22000"/>
    <x v="2"/>
    <n v="19800"/>
    <x v="0"/>
  </r>
  <r>
    <s v="T00304"/>
    <d v="2025-02-20T00:00:00"/>
    <s v="BR001"/>
    <s v="P010"/>
    <s v="C0135"/>
    <n v="1"/>
    <n v="0"/>
    <n v="62000"/>
    <x v="2"/>
    <n v="62000"/>
    <x v="0"/>
  </r>
  <r>
    <s v="T00268"/>
    <d v="2025-04-19T00:00:00"/>
    <s v="BR002"/>
    <s v="P006"/>
    <s v="C0096"/>
    <n v="1"/>
    <n v="0"/>
    <n v="78000"/>
    <x v="1"/>
    <n v="78000"/>
    <x v="1"/>
  </r>
  <r>
    <s v="T00546"/>
    <d v="2025-11-04T00:00:00"/>
    <s v="BR001"/>
    <s v="P024"/>
    <s v="C0206"/>
    <n v="1"/>
    <n v="10"/>
    <n v="245000"/>
    <x v="2"/>
    <n v="220500"/>
    <x v="2"/>
  </r>
  <r>
    <s v="T00213"/>
    <d v="2025-09-25T00:00:00"/>
    <s v="BR003"/>
    <s v="P016"/>
    <s v="C0088"/>
    <n v="2"/>
    <n v="20"/>
    <n v="19500"/>
    <x v="0"/>
    <n v="31200"/>
    <x v="0"/>
  </r>
  <r>
    <s v="T00897"/>
    <d v="2025-01-17T00:00:00"/>
    <s v="BR001"/>
    <s v="P017"/>
    <s v="C0120"/>
    <n v="1"/>
    <n v="10"/>
    <n v="24000"/>
    <x v="2"/>
    <n v="21600"/>
    <x v="0"/>
  </r>
  <r>
    <s v="T00917"/>
    <d v="2025-05-25T00:00:00"/>
    <s v="BR002"/>
    <s v="P020"/>
    <s v="C0173"/>
    <n v="2"/>
    <n v="0"/>
    <n v="8500"/>
    <x v="1"/>
    <n v="17000"/>
    <x v="3"/>
  </r>
  <r>
    <s v="T00676"/>
    <d v="2025-11-11T00:00:00"/>
    <s v="BR002"/>
    <s v="P018"/>
    <s v="C0139"/>
    <n v="1"/>
    <n v="0"/>
    <n v="18000"/>
    <x v="1"/>
    <n v="18000"/>
    <x v="3"/>
  </r>
  <r>
    <s v="T00815"/>
    <d v="2025-09-16T00:00:00"/>
    <s v="BR002"/>
    <s v="P018"/>
    <s v="C0097"/>
    <n v="5"/>
    <n v="0"/>
    <n v="18000"/>
    <x v="1"/>
    <n v="90000"/>
    <x v="3"/>
  </r>
  <r>
    <s v="T00343"/>
    <d v="2025-12-28T00:00:00"/>
    <s v="BR002"/>
    <s v="P007"/>
    <s v="C0085"/>
    <n v="1"/>
    <n v="10"/>
    <n v="145000"/>
    <x v="1"/>
    <n v="130500"/>
    <x v="1"/>
  </r>
  <r>
    <s v="T00550"/>
    <d v="2025-11-16T00:00:00"/>
    <s v="BR003"/>
    <s v="P005"/>
    <s v="C0080"/>
    <n v="1"/>
    <n v="0"/>
    <n v="95000"/>
    <x v="0"/>
    <n v="95000"/>
    <x v="1"/>
  </r>
  <r>
    <s v="T00967"/>
    <d v="2025-12-02T00:00:00"/>
    <s v="BR003"/>
    <s v="P001"/>
    <s v="C0146"/>
    <n v="3"/>
    <n v="10"/>
    <n v="185000"/>
    <x v="0"/>
    <n v="499500"/>
    <x v="1"/>
  </r>
  <r>
    <s v="T00296"/>
    <d v="2025-06-27T00:00:00"/>
    <s v="BR002"/>
    <s v="P018"/>
    <s v="C0038"/>
    <n v="1"/>
    <n v="10"/>
    <n v="18000"/>
    <x v="1"/>
    <n v="16200"/>
    <x v="3"/>
  </r>
  <r>
    <s v="T00696"/>
    <d v="2025-12-21T00:00:00"/>
    <s v="BR003"/>
    <s v="P002"/>
    <s v="C0121"/>
    <n v="2"/>
    <n v="10"/>
    <n v="320000"/>
    <x v="0"/>
    <n v="576000"/>
    <x v="1"/>
  </r>
  <r>
    <s v="T00074"/>
    <d v="2025-06-22T00:00:00"/>
    <s v="BR002"/>
    <s v="P013"/>
    <s v="C0017"/>
    <n v="3"/>
    <n v="10"/>
    <n v="22000"/>
    <x v="1"/>
    <n v="59400"/>
    <x v="0"/>
  </r>
  <r>
    <s v="T00606"/>
    <d v="2025-08-25T00:00:00"/>
    <s v="BR002"/>
    <s v="P019"/>
    <s v="C0091"/>
    <n v="1"/>
    <n v="0"/>
    <n v="21000"/>
    <x v="1"/>
    <n v="21000"/>
    <x v="3"/>
  </r>
  <r>
    <s v="T00105"/>
    <d v="2025-06-07T00:00:00"/>
    <s v="BR003"/>
    <s v="P005"/>
    <s v="C0148"/>
    <n v="1"/>
    <n v="0"/>
    <n v="95000"/>
    <x v="0"/>
    <n v="95000"/>
    <x v="1"/>
  </r>
  <r>
    <s v="T00646"/>
    <d v="2025-07-15T00:00:00"/>
    <s v="BR001"/>
    <s v="P019"/>
    <s v="C0068"/>
    <n v="2"/>
    <n v="0"/>
    <n v="21000"/>
    <x v="2"/>
    <n v="42000"/>
    <x v="3"/>
  </r>
  <r>
    <s v="T00755"/>
    <d v="2025-07-08T00:00:00"/>
    <s v="BR001"/>
    <s v="P001"/>
    <s v="C0116"/>
    <n v="3"/>
    <n v="5"/>
    <n v="185000"/>
    <x v="2"/>
    <n v="527250"/>
    <x v="1"/>
  </r>
  <r>
    <s v="T01041"/>
    <d v="2025-09-14T00:00:00"/>
    <s v="BR003"/>
    <s v="P014"/>
    <s v="C0152"/>
    <n v="2"/>
    <n v="10"/>
    <n v="285000"/>
    <x v="0"/>
    <n v="513000"/>
    <x v="0"/>
  </r>
  <r>
    <s v="T00440"/>
    <d v="2025-03-05T00:00:00"/>
    <s v="BR001"/>
    <s v="P013"/>
    <s v="C0037"/>
    <n v="2"/>
    <n v="0"/>
    <n v="22000"/>
    <x v="2"/>
    <n v="44000"/>
    <x v="0"/>
  </r>
  <r>
    <s v="T01020"/>
    <d v="2025-03-11T00:00:00"/>
    <s v="BR004"/>
    <s v="P010"/>
    <s v="C0027"/>
    <n v="1"/>
    <n v="20"/>
    <n v="62000"/>
    <x v="3"/>
    <n v="49600"/>
    <x v="0"/>
  </r>
  <r>
    <s v="T00092"/>
    <d v="2025-05-17T00:00:00"/>
    <s v="BR001"/>
    <s v="P003"/>
    <s v="C0153"/>
    <n v="1"/>
    <n v="0"/>
    <n v="45000"/>
    <x v="2"/>
    <n v="45000"/>
    <x v="1"/>
  </r>
  <r>
    <s v="T01113"/>
    <d v="2025-04-22T00:00:00"/>
    <s v="BR002"/>
    <s v="P005"/>
    <s v="C0137"/>
    <n v="1"/>
    <n v="15"/>
    <n v="95000"/>
    <x v="1"/>
    <n v="80750"/>
    <x v="1"/>
  </r>
  <r>
    <s v="T01225"/>
    <d v="2025-06-16T00:00:00"/>
    <s v="BR001"/>
    <s v="P007"/>
    <s v="C0193"/>
    <n v="1"/>
    <n v="0"/>
    <n v="145000"/>
    <x v="2"/>
    <n v="145000"/>
    <x v="1"/>
  </r>
  <r>
    <s v="T00909"/>
    <d v="2025-07-05T00:00:00"/>
    <s v="BR002"/>
    <s v="P020"/>
    <s v="C0054"/>
    <n v="1"/>
    <n v="0"/>
    <n v="8500"/>
    <x v="1"/>
    <n v="8500"/>
    <x v="3"/>
  </r>
  <r>
    <s v="T00103"/>
    <d v="2025-01-25T00:00:00"/>
    <s v="BR001"/>
    <s v="P003"/>
    <s v="C0171"/>
    <n v="2"/>
    <n v="20"/>
    <n v="45000"/>
    <x v="2"/>
    <n v="72000"/>
    <x v="1"/>
  </r>
  <r>
    <s v="T00239"/>
    <d v="2025-12-05T00:00:00"/>
    <s v="BR003"/>
    <s v="P020"/>
    <s v="C0076"/>
    <n v="3"/>
    <n v="10"/>
    <n v="8500"/>
    <x v="0"/>
    <n v="22950"/>
    <x v="3"/>
  </r>
  <r>
    <s v="T01394"/>
    <d v="2025-12-17T00:00:00"/>
    <s v="BR003"/>
    <s v="P021"/>
    <s v="C0055"/>
    <n v="1"/>
    <n v="5"/>
    <n v="6500"/>
    <x v="0"/>
    <n v="6175"/>
    <x v="3"/>
  </r>
  <r>
    <s v="T00943"/>
    <d v="2025-12-20T00:00:00"/>
    <s v="BR002"/>
    <s v="P018"/>
    <s v="C0004"/>
    <n v="1"/>
    <n v="10"/>
    <n v="18000"/>
    <x v="1"/>
    <n v="16200"/>
    <x v="3"/>
  </r>
  <r>
    <s v="T00939"/>
    <d v="2025-05-15T00:00:00"/>
    <s v="BR003"/>
    <s v="P008"/>
    <s v="C0111"/>
    <n v="2"/>
    <n v="0"/>
    <n v="410000"/>
    <x v="0"/>
    <n v="820000"/>
    <x v="0"/>
  </r>
  <r>
    <s v="T00006"/>
    <d v="2025-07-10T00:00:00"/>
    <s v="BR001"/>
    <s v="P020"/>
    <s v="C0115"/>
    <n v="2"/>
    <n v="5"/>
    <n v="8500"/>
    <x v="2"/>
    <n v="16150"/>
    <x v="3"/>
  </r>
  <r>
    <s v="T01270"/>
    <d v="2025-08-07T00:00:00"/>
    <s v="BR004"/>
    <s v="P019"/>
    <s v="C0195"/>
    <n v="1"/>
    <n v="10"/>
    <n v="21000"/>
    <x v="3"/>
    <n v="18900"/>
    <x v="3"/>
  </r>
  <r>
    <s v="T00966"/>
    <d v="2025-01-16T00:00:00"/>
    <s v="BR001"/>
    <s v="P001"/>
    <s v="C0098"/>
    <n v="2"/>
    <n v="15"/>
    <n v="185000"/>
    <x v="2"/>
    <n v="314500"/>
    <x v="1"/>
  </r>
  <r>
    <s v="T00019"/>
    <d v="2025-11-07T00:00:00"/>
    <s v="BR003"/>
    <s v="P002"/>
    <s v="C0037"/>
    <n v="1"/>
    <n v="5"/>
    <n v="320000"/>
    <x v="0"/>
    <n v="304000"/>
    <x v="1"/>
  </r>
  <r>
    <s v="T00122"/>
    <d v="2025-11-27T00:00:00"/>
    <s v="BR003"/>
    <s v="P018"/>
    <s v="C0020"/>
    <n v="1"/>
    <n v="0"/>
    <n v="18000"/>
    <x v="0"/>
    <n v="18000"/>
    <x v="3"/>
  </r>
  <r>
    <s v="T00662"/>
    <d v="2025-10-15T00:00:00"/>
    <s v="BR002"/>
    <s v="P011"/>
    <s v="C0154"/>
    <n v="1"/>
    <n v="0"/>
    <n v="74000"/>
    <x v="1"/>
    <n v="74000"/>
    <x v="0"/>
  </r>
  <r>
    <s v="T01180"/>
    <d v="2025-10-21T00:00:00"/>
    <s v="BR003"/>
    <s v="P001"/>
    <s v="C0156"/>
    <n v="3"/>
    <n v="0"/>
    <n v="185000"/>
    <x v="0"/>
    <n v="555000"/>
    <x v="1"/>
  </r>
  <r>
    <s v="T00275"/>
    <d v="2025-12-10T00:00:00"/>
    <s v="BR002"/>
    <s v="P014"/>
    <s v="C0156"/>
    <n v="1"/>
    <n v="0"/>
    <n v="285000"/>
    <x v="1"/>
    <n v="285000"/>
    <x v="0"/>
  </r>
  <r>
    <s v="T00434"/>
    <d v="2025-07-05T00:00:00"/>
    <s v="BR001"/>
    <s v="P022"/>
    <s v="C0004"/>
    <n v="1"/>
    <n v="10"/>
    <n v="5200"/>
    <x v="2"/>
    <n v="4680"/>
    <x v="3"/>
  </r>
  <r>
    <s v="T00812"/>
    <d v="2025-05-06T00:00:00"/>
    <s v="BR003"/>
    <s v="P021"/>
    <s v="C0018"/>
    <n v="1"/>
    <n v="0"/>
    <n v="6500"/>
    <x v="0"/>
    <n v="6500"/>
    <x v="3"/>
  </r>
  <r>
    <s v="T01308"/>
    <d v="2025-11-04T00:00:00"/>
    <s v="BR003"/>
    <s v="P002"/>
    <s v="C0160"/>
    <n v="1"/>
    <n v="15"/>
    <n v="320000"/>
    <x v="0"/>
    <n v="272000"/>
    <x v="1"/>
  </r>
  <r>
    <s v="T01322"/>
    <d v="2025-05-05T00:00:00"/>
    <s v="BR001"/>
    <s v="P007"/>
    <s v="C0045"/>
    <n v="1"/>
    <n v="5"/>
    <n v="145000"/>
    <x v="2"/>
    <n v="137750"/>
    <x v="1"/>
  </r>
  <r>
    <s v="T00182"/>
    <d v="2025-01-27T00:00:00"/>
    <s v="BR001"/>
    <s v="P017"/>
    <s v="C0180"/>
    <n v="1"/>
    <n v="0"/>
    <n v="24000"/>
    <x v="2"/>
    <n v="24000"/>
    <x v="0"/>
  </r>
  <r>
    <s v="T00185"/>
    <d v="2025-01-02T00:00:00"/>
    <s v="BR004"/>
    <s v="P016"/>
    <s v="C0104"/>
    <n v="1"/>
    <n v="0"/>
    <n v="19500"/>
    <x v="3"/>
    <n v="19500"/>
    <x v="0"/>
  </r>
  <r>
    <s v="T00407"/>
    <d v="2025-09-08T00:00:00"/>
    <s v="BR001"/>
    <s v="P016"/>
    <s v="C0024"/>
    <n v="1"/>
    <n v="0"/>
    <n v="19500"/>
    <x v="2"/>
    <n v="19500"/>
    <x v="0"/>
  </r>
  <r>
    <s v="T00866"/>
    <d v="2025-08-27T00:00:00"/>
    <s v="BR002"/>
    <s v="P018"/>
    <s v="C0166"/>
    <n v="1"/>
    <n v="0"/>
    <n v="18000"/>
    <x v="1"/>
    <n v="18000"/>
    <x v="3"/>
  </r>
  <r>
    <s v="T00521"/>
    <s v="16/09/2025"/>
    <s v="BR001"/>
    <s v="P010"/>
    <s v="C0054"/>
    <n v="1"/>
    <n v="0"/>
    <n v="62000"/>
    <x v="2"/>
    <n v="62000"/>
    <x v="0"/>
  </r>
  <r>
    <s v="T01004"/>
    <d v="2025-12-27T00:00:00"/>
    <s v="BR003"/>
    <s v="P016"/>
    <s v="C0100"/>
    <n v="5"/>
    <n v="10"/>
    <n v="19500"/>
    <x v="0"/>
    <n v="87750"/>
    <x v="0"/>
  </r>
  <r>
    <s v="T00381"/>
    <d v="2025-04-10T00:00:00"/>
    <s v="BR003"/>
    <s v="P020"/>
    <s v="C0058"/>
    <n v="1"/>
    <n v="0"/>
    <n v="8500"/>
    <x v="0"/>
    <n v="8500"/>
    <x v="3"/>
  </r>
  <r>
    <s v="T00428"/>
    <d v="2025-11-25T00:00:00"/>
    <s v="BR003"/>
    <s v="P003"/>
    <s v="C0218"/>
    <n v="1"/>
    <n v="15"/>
    <n v="45000"/>
    <x v="0"/>
    <n v="38250"/>
    <x v="1"/>
  </r>
  <r>
    <s v="T00079"/>
    <s v="14/07/2025"/>
    <s v="BR003"/>
    <s v="P004"/>
    <s v="C0121"/>
    <n v="1"/>
    <n v="0"/>
    <n v="38000"/>
    <x v="0"/>
    <n v="38000"/>
    <x v="1"/>
  </r>
  <r>
    <s v="T01010"/>
    <d v="2025-08-12T00:00:00"/>
    <s v="BR002"/>
    <s v="P008"/>
    <s v="C0015"/>
    <n v="2"/>
    <n v="25"/>
    <n v="410000"/>
    <x v="1"/>
    <n v="615000"/>
    <x v="0"/>
  </r>
  <r>
    <s v="T01380"/>
    <d v="2025-11-23T00:00:00"/>
    <s v="BR001"/>
    <s v="P008"/>
    <s v="C0127"/>
    <n v="2"/>
    <n v="0"/>
    <n v="410000"/>
    <x v="2"/>
    <n v="820000"/>
    <x v="0"/>
  </r>
  <r>
    <s v="T00608"/>
    <d v="2025-09-04T00:00:00"/>
    <s v="BR003"/>
    <s v="P001"/>
    <s v="C0138"/>
    <n v="1"/>
    <n v="0"/>
    <n v="185000"/>
    <x v="0"/>
    <n v="185000"/>
    <x v="1"/>
  </r>
  <r>
    <s v="T01351"/>
    <d v="2025-08-20T00:00:00"/>
    <s v="BR001"/>
    <s v="P007"/>
    <s v="C0197"/>
    <n v="1"/>
    <n v="0"/>
    <n v="145000"/>
    <x v="2"/>
    <n v="145000"/>
    <x v="1"/>
  </r>
  <r>
    <s v="T01393"/>
    <d v="2025-10-16T00:00:00"/>
    <s v="BR002"/>
    <s v="P018"/>
    <s v="C0015"/>
    <n v="1"/>
    <n v="5"/>
    <n v="18000"/>
    <x v="1"/>
    <n v="17100"/>
    <x v="3"/>
  </r>
  <r>
    <s v="T01276"/>
    <d v="2025-12-16T00:00:00"/>
    <s v="BR001"/>
    <s v="P002"/>
    <s v="C0131"/>
    <n v="1"/>
    <n v="10"/>
    <n v="320000"/>
    <x v="2"/>
    <n v="288000"/>
    <x v="1"/>
  </r>
  <r>
    <s v="T01058"/>
    <d v="2025-02-01T00:00:00"/>
    <s v="BR002"/>
    <s v="P010"/>
    <s v="C0205"/>
    <n v="1"/>
    <n v="0"/>
    <n v="62000"/>
    <x v="1"/>
    <n v="62000"/>
    <x v="0"/>
  </r>
  <r>
    <s v="T01092"/>
    <d v="2025-05-18T00:00:00"/>
    <s v="BR001"/>
    <s v="P011"/>
    <s v="C0044"/>
    <n v="1"/>
    <n v="0"/>
    <n v="74000"/>
    <x v="2"/>
    <n v="74000"/>
    <x v="0"/>
  </r>
  <r>
    <s v="T01102"/>
    <d v="2025-03-23T00:00:00"/>
    <s v="BR001"/>
    <s v="P017"/>
    <s v="C0171"/>
    <n v="1"/>
    <n v="0"/>
    <n v="24000"/>
    <x v="2"/>
    <n v="24000"/>
    <x v="0"/>
  </r>
  <r>
    <s v="T01130"/>
    <d v="2025-10-05T00:00:00"/>
    <s v="BR001"/>
    <s v="P023"/>
    <s v="C0191"/>
    <n v="1"/>
    <n v="10"/>
    <n v="195000"/>
    <x v="2"/>
    <n v="175500"/>
    <x v="2"/>
  </r>
  <r>
    <s v="T01231"/>
    <d v="2025-12-28T00:00:00"/>
    <s v="BR003"/>
    <s v="P007"/>
    <s v="C0142"/>
    <n v="1"/>
    <n v="10"/>
    <n v="145000"/>
    <x v="0"/>
    <n v="130500"/>
    <x v="1"/>
  </r>
  <r>
    <s v="T00959"/>
    <d v="2025-12-03T00:00:00"/>
    <s v="BR001"/>
    <s v="P020"/>
    <s v="C0092"/>
    <n v="1"/>
    <n v="15"/>
    <n v="8500"/>
    <x v="2"/>
    <n v="7225"/>
    <x v="3"/>
  </r>
  <r>
    <s v="T00560"/>
    <d v="2025-08-25T00:00:00"/>
    <s v="BR001"/>
    <s v="P005"/>
    <s v="C0140"/>
    <n v="1"/>
    <n v="5"/>
    <n v="95000"/>
    <x v="2"/>
    <n v="90250"/>
    <x v="1"/>
  </r>
  <r>
    <s v="T00847"/>
    <d v="2025-04-25T00:00:00"/>
    <s v="BR002"/>
    <s v="P008"/>
    <s v="C0166"/>
    <n v="1"/>
    <n v="0"/>
    <n v="410000"/>
    <x v="1"/>
    <n v="410000"/>
    <x v="0"/>
  </r>
  <r>
    <s v="T00691"/>
    <d v="2025-12-07T00:00:00"/>
    <s v="BR004"/>
    <s v="P018"/>
    <s v="C0212"/>
    <n v="2"/>
    <n v="0"/>
    <n v="18000"/>
    <x v="3"/>
    <n v="36000"/>
    <x v="3"/>
  </r>
  <r>
    <s v="T01358"/>
    <d v="2025-04-19T00:00:00"/>
    <s v="BR003"/>
    <s v="P002"/>
    <s v="C0165"/>
    <n v="5"/>
    <n v="0"/>
    <n v="320000"/>
    <x v="0"/>
    <n v="1600000"/>
    <x v="1"/>
  </r>
  <r>
    <s v="T01306"/>
    <d v="2025-06-04T00:00:00"/>
    <s v="BR001"/>
    <s v="P008"/>
    <s v="C0010"/>
    <n v="1"/>
    <n v="0"/>
    <n v="410000"/>
    <x v="2"/>
    <n v="410000"/>
    <x v="0"/>
  </r>
  <r>
    <s v="T00437"/>
    <d v="2025-09-01T00:00:00"/>
    <s v="BR003"/>
    <s v="P004"/>
    <s v="C0178"/>
    <n v="1"/>
    <n v="5"/>
    <n v="38000"/>
    <x v="0"/>
    <n v="36100"/>
    <x v="1"/>
  </r>
  <r>
    <s v="T00491"/>
    <d v="2025-06-20T00:00:00"/>
    <s v="BR001"/>
    <s v="P004"/>
    <s v="C0119"/>
    <n v="1"/>
    <n v="20"/>
    <n v="38000"/>
    <x v="2"/>
    <n v="30400"/>
    <x v="1"/>
  </r>
  <r>
    <s v="T01398"/>
    <d v="2025-01-11T00:00:00"/>
    <s v="BR001"/>
    <s v="P021"/>
    <s v="C0203"/>
    <n v="1"/>
    <n v="0"/>
    <n v="6500"/>
    <x v="2"/>
    <n v="6500"/>
    <x v="3"/>
  </r>
  <r>
    <s v="T01285"/>
    <d v="2025-12-09T00:00:00"/>
    <s v="BR001"/>
    <s v="P022"/>
    <s v="C0073"/>
    <n v="1"/>
    <n v="20"/>
    <n v="5200"/>
    <x v="2"/>
    <n v="4160"/>
    <x v="3"/>
  </r>
  <r>
    <s v="T00070"/>
    <d v="2025-08-16T00:00:00"/>
    <s v="BR001"/>
    <s v="P002"/>
    <s v="C0029"/>
    <n v="2"/>
    <n v="20"/>
    <n v="320000"/>
    <x v="2"/>
    <n v="512000"/>
    <x v="1"/>
  </r>
  <r>
    <s v="T00809"/>
    <d v="2025-05-12T00:00:00"/>
    <s v="BR002"/>
    <s v="P005"/>
    <s v="C0214"/>
    <n v="1"/>
    <n v="0"/>
    <n v="95000"/>
    <x v="1"/>
    <n v="95000"/>
    <x v="1"/>
  </r>
  <r>
    <s v="T01185"/>
    <d v="2025-01-20T00:00:00"/>
    <s v="BR003"/>
    <s v="P024"/>
    <s v="C0027"/>
    <n v="1"/>
    <n v="0"/>
    <n v="245000"/>
    <x v="0"/>
    <n v="245000"/>
    <x v="2"/>
  </r>
  <r>
    <s v="T00012"/>
    <d v="2025-02-09T00:00:00"/>
    <s v="BR004"/>
    <s v="P014"/>
    <s v="C0010"/>
    <n v="1"/>
    <n v="0"/>
    <n v="285000"/>
    <x v="3"/>
    <n v="285000"/>
    <x v="0"/>
  </r>
  <r>
    <s v="T00145"/>
    <d v="2025-10-03T00:00:00"/>
    <s v="BR001"/>
    <s v="P023"/>
    <s v="C0017"/>
    <n v="5"/>
    <n v="0"/>
    <n v="195000"/>
    <x v="2"/>
    <n v="975000"/>
    <x v="2"/>
  </r>
  <r>
    <s v="T00918"/>
    <d v="2025-12-23T00:00:00"/>
    <s v="BR001"/>
    <s v="P018"/>
    <s v="C0078"/>
    <n v="2"/>
    <n v="5"/>
    <n v="18000"/>
    <x v="2"/>
    <n v="34200"/>
    <x v="3"/>
  </r>
  <r>
    <s v="T00640"/>
    <d v="2025-06-26T00:00:00"/>
    <s v="BR001"/>
    <s v="P015"/>
    <s v="C0108"/>
    <n v="1"/>
    <n v="10"/>
    <n v="15000"/>
    <x v="2"/>
    <n v="13500"/>
    <x v="0"/>
  </r>
  <r>
    <s v="T00177"/>
    <s v="23/06/2025"/>
    <s v="BR002"/>
    <s v="P009"/>
    <s v="C0164"/>
    <n v="1"/>
    <n v="0"/>
    <n v="265000"/>
    <x v="1"/>
    <n v="265000"/>
    <x v="0"/>
  </r>
  <r>
    <s v="T00995"/>
    <d v="2025-09-25T00:00:00"/>
    <s v="BR001"/>
    <s v="P017"/>
    <s v="C0008"/>
    <n v="1"/>
    <n v="15"/>
    <n v="24000"/>
    <x v="2"/>
    <n v="20400"/>
    <x v="0"/>
  </r>
  <r>
    <s v="T00441"/>
    <d v="2025-05-05T00:00:00"/>
    <s v="BR001"/>
    <s v="P019"/>
    <s v="C0034"/>
    <n v="1"/>
    <n v="15"/>
    <n v="21000"/>
    <x v="2"/>
    <n v="17850"/>
    <x v="3"/>
  </r>
  <r>
    <s v="T00522"/>
    <d v="2025-05-03T00:00:00"/>
    <s v="BR001"/>
    <s v="P023"/>
    <s v="C0034"/>
    <n v="2"/>
    <n v="5"/>
    <n v="195000"/>
    <x v="2"/>
    <n v="370500"/>
    <x v="2"/>
  </r>
  <r>
    <s v="T01386"/>
    <d v="2025-07-24T00:00:00"/>
    <s v="BR001"/>
    <s v="P020"/>
    <s v="C0163"/>
    <n v="2"/>
    <n v="0"/>
    <n v="8500"/>
    <x v="2"/>
    <n v="17000"/>
    <x v="3"/>
  </r>
  <r>
    <s v="T01005"/>
    <d v="2025-10-16T00:00:00"/>
    <s v="BR001"/>
    <s v="P025"/>
    <s v="C0218"/>
    <n v="1"/>
    <n v="0"/>
    <n v="175000"/>
    <x v="2"/>
    <n v="175000"/>
    <x v="2"/>
  </r>
  <r>
    <s v="T00144"/>
    <d v="2025-02-28T00:00:00"/>
    <s v="BR004"/>
    <s v="P005"/>
    <s v="C0055"/>
    <n v="1"/>
    <n v="0"/>
    <n v="95000"/>
    <x v="3"/>
    <n v="95000"/>
    <x v="1"/>
  </r>
  <r>
    <s v="T00754"/>
    <d v="2025-08-02T00:00:00"/>
    <s v="BR001"/>
    <s v="P010"/>
    <s v="C0136"/>
    <n v="1"/>
    <n v="0"/>
    <n v="62000"/>
    <x v="2"/>
    <n v="62000"/>
    <x v="0"/>
  </r>
  <r>
    <s v="T00520"/>
    <d v="2025-12-05T00:00:00"/>
    <s v="BR004"/>
    <s v="P003"/>
    <s v="C0208"/>
    <n v="1"/>
    <n v="10"/>
    <n v="45000"/>
    <x v="3"/>
    <n v="40500"/>
    <x v="1"/>
  </r>
  <r>
    <s v="T00823"/>
    <d v="2025-12-18T00:00:00"/>
    <s v="BR003"/>
    <s v="P010"/>
    <s v="C0187"/>
    <n v="1"/>
    <n v="10"/>
    <n v="62000"/>
    <x v="0"/>
    <n v="55800"/>
    <x v="0"/>
  </r>
  <r>
    <s v="T00429"/>
    <d v="2025-12-07T00:00:00"/>
    <s v="BR003"/>
    <s v="P019"/>
    <s v="C0109"/>
    <n v="2"/>
    <n v="10"/>
    <n v="21000"/>
    <x v="0"/>
    <n v="37800"/>
    <x v="3"/>
  </r>
  <r>
    <s v="T00613"/>
    <d v="2025-03-19T00:00:00"/>
    <s v="BR003"/>
    <s v="P022"/>
    <s v="C0043"/>
    <n v="1"/>
    <n v="0"/>
    <n v="5200"/>
    <x v="0"/>
    <n v="5200"/>
    <x v="3"/>
  </r>
  <r>
    <s v="T01033"/>
    <d v="2025-05-10T00:00:00"/>
    <s v="BR003"/>
    <s v="P004"/>
    <s v="C0100"/>
    <n v="1"/>
    <n v="0"/>
    <n v="38000"/>
    <x v="0"/>
    <n v="38000"/>
    <x v="1"/>
  </r>
  <r>
    <s v="T00157"/>
    <d v="2025-12-19T00:00:00"/>
    <s v="BR002"/>
    <s v="P002"/>
    <s v="C0199"/>
    <n v="1"/>
    <n v="25"/>
    <n v="320000"/>
    <x v="1"/>
    <n v="240000"/>
    <x v="1"/>
  </r>
  <r>
    <s v="T00540"/>
    <d v="2025-06-28T00:00:00"/>
    <s v="BR001"/>
    <s v="P010"/>
    <s v="C0218"/>
    <n v="1"/>
    <n v="0"/>
    <n v="62000"/>
    <x v="2"/>
    <n v="62000"/>
    <x v="0"/>
  </r>
  <r>
    <s v="T00462"/>
    <d v="2025-11-19T00:00:00"/>
    <s v="BR004"/>
    <s v="P016"/>
    <s v="C0072"/>
    <n v="1"/>
    <n v="5"/>
    <n v="19500"/>
    <x v="3"/>
    <n v="18525"/>
    <x v="0"/>
  </r>
  <r>
    <s v="T00577"/>
    <d v="2025-02-13T00:00:00"/>
    <s v="BR001"/>
    <s v="P018"/>
    <s v="C0203"/>
    <n v="2"/>
    <n v="0"/>
    <n v="18000"/>
    <x v="2"/>
    <n v="36000"/>
    <x v="3"/>
  </r>
  <r>
    <s v="T00256"/>
    <d v="2025-05-15T00:00:00"/>
    <s v="BR004"/>
    <s v="P002"/>
    <s v="C0054"/>
    <n v="1"/>
    <n v="0"/>
    <n v="320000"/>
    <x v="3"/>
    <n v="320000"/>
    <x v="1"/>
  </r>
  <r>
    <s v="T00980"/>
    <d v="2025-03-25T00:00:00"/>
    <s v="BR001"/>
    <s v="P010"/>
    <s v="C0177"/>
    <n v="2"/>
    <n v="0"/>
    <n v="62000"/>
    <x v="2"/>
    <n v="124000"/>
    <x v="0"/>
  </r>
  <r>
    <s v="T01186"/>
    <d v="2025-01-18T00:00:00"/>
    <s v="BR001"/>
    <s v="P001"/>
    <s v="C0217"/>
    <n v="2"/>
    <n v="10"/>
    <n v="185000"/>
    <x v="2"/>
    <n v="333000"/>
    <x v="1"/>
  </r>
  <r>
    <s v="T01007"/>
    <d v="2025-12-02T00:00:00"/>
    <s v="BR001"/>
    <s v="P003"/>
    <s v="C0039"/>
    <n v="1"/>
    <n v="10"/>
    <n v="45000"/>
    <x v="2"/>
    <n v="40500"/>
    <x v="1"/>
  </r>
  <r>
    <s v="T00561"/>
    <d v="2025-04-27T00:00:00"/>
    <s v="BR004"/>
    <s v="P019"/>
    <s v="C0009"/>
    <n v="5"/>
    <n v="0"/>
    <n v="21000"/>
    <x v="3"/>
    <n v="105000"/>
    <x v="3"/>
  </r>
  <r>
    <s v="T00209"/>
    <d v="2025-04-13T00:00:00"/>
    <s v="BR001"/>
    <s v="P024"/>
    <s v="C0140"/>
    <n v="2"/>
    <n v="0"/>
    <n v="245000"/>
    <x v="2"/>
    <n v="490000"/>
    <x v="2"/>
  </r>
  <r>
    <s v="T00911"/>
    <d v="2025-04-10T00:00:00"/>
    <s v="BR003"/>
    <s v="P014"/>
    <s v="C0036"/>
    <n v="2"/>
    <n v="15"/>
    <n v="285000"/>
    <x v="0"/>
    <n v="484500"/>
    <x v="0"/>
  </r>
  <r>
    <s v="T00002"/>
    <d v="2025-01-16T00:00:00"/>
    <s v="BR001"/>
    <s v="P006"/>
    <s v="C0145"/>
    <n v="1"/>
    <n v="10"/>
    <n v="78000"/>
    <x v="2"/>
    <n v="70200"/>
    <x v="1"/>
  </r>
  <r>
    <s v="T00270"/>
    <d v="2025-02-21T00:00:00"/>
    <s v="BR001"/>
    <s v="P008"/>
    <s v="C0044"/>
    <n v="1"/>
    <n v="0"/>
    <n v="410000"/>
    <x v="2"/>
    <n v="410000"/>
    <x v="0"/>
  </r>
  <r>
    <s v="T00266"/>
    <d v="2025-11-03T00:00:00"/>
    <s v="BR002"/>
    <s v="P003"/>
    <s v="C0007"/>
    <n v="1"/>
    <n v="0"/>
    <n v="45000"/>
    <x v="1"/>
    <n v="45000"/>
    <x v="1"/>
  </r>
  <r>
    <s v="T00915"/>
    <d v="2025-10-27T00:00:00"/>
    <s v="BR001"/>
    <s v="P025"/>
    <s v="C0063"/>
    <n v="1"/>
    <n v="15"/>
    <n v="175000"/>
    <x v="2"/>
    <n v="148750"/>
    <x v="2"/>
  </r>
  <r>
    <s v="T00231"/>
    <d v="2025-12-23T00:00:00"/>
    <s v="BR001"/>
    <s v="P001"/>
    <s v="C0056"/>
    <n v="3"/>
    <n v="5"/>
    <n v="185000"/>
    <x v="2"/>
    <n v="527250"/>
    <x v="1"/>
  </r>
  <r>
    <s v="T01383"/>
    <d v="2025-02-25T00:00:00"/>
    <s v="BR004"/>
    <s v="P023"/>
    <s v="C0079"/>
    <n v="1"/>
    <n v="0"/>
    <n v="195000"/>
    <x v="3"/>
    <n v="195000"/>
    <x v="2"/>
  </r>
  <r>
    <s v="T01120"/>
    <d v="2025-11-10T00:00:00"/>
    <s v="BR001"/>
    <s v="P022"/>
    <s v="C0009"/>
    <n v="1"/>
    <n v="0"/>
    <n v="5200"/>
    <x v="2"/>
    <n v="5200"/>
    <x v="3"/>
  </r>
  <r>
    <s v="T01378"/>
    <d v="2025-05-05T00:00:00"/>
    <s v="BR001"/>
    <s v="P004"/>
    <s v="C0157"/>
    <n v="2"/>
    <n v="5"/>
    <n v="38000"/>
    <x v="2"/>
    <n v="72200"/>
    <x v="1"/>
  </r>
  <r>
    <s v="T00865"/>
    <d v="2025-07-06T00:00:00"/>
    <s v="BR001"/>
    <s v="P012"/>
    <s v="C0060"/>
    <n v="1"/>
    <n v="5"/>
    <n v="28000"/>
    <x v="2"/>
    <n v="26600"/>
    <x v="0"/>
  </r>
  <r>
    <s v="T01067"/>
    <d v="2025-02-25T00:00:00"/>
    <s v="BR001"/>
    <s v="P001"/>
    <s v="C0218"/>
    <n v="1"/>
    <n v="0"/>
    <n v="185000"/>
    <x v="2"/>
    <n v="185000"/>
    <x v="1"/>
  </r>
  <r>
    <s v="T00874"/>
    <d v="2025-02-18T00:00:00"/>
    <s v="BR001"/>
    <s v="P018"/>
    <s v="C0130"/>
    <n v="1"/>
    <n v="0"/>
    <n v="18000"/>
    <x v="2"/>
    <n v="18000"/>
    <x v="3"/>
  </r>
  <r>
    <s v="T01254"/>
    <d v="2025-04-27T00:00:00"/>
    <s v="BR001"/>
    <s v="P009"/>
    <s v="C0089"/>
    <n v="3"/>
    <n v="0"/>
    <n v="265000"/>
    <x v="2"/>
    <n v="795000"/>
    <x v="0"/>
  </r>
  <r>
    <s v="T00399"/>
    <d v="2025-03-16T00:00:00"/>
    <s v="BR001"/>
    <s v="P013"/>
    <s v="C0095"/>
    <n v="1"/>
    <n v="0"/>
    <n v="22000"/>
    <x v="2"/>
    <n v="22000"/>
    <x v="0"/>
  </r>
  <r>
    <s v="T01279"/>
    <d v="2025-01-22T00:00:00"/>
    <s v="BR002"/>
    <s v="P015"/>
    <s v="C0173"/>
    <n v="1"/>
    <n v="10"/>
    <n v="15000"/>
    <x v="1"/>
    <n v="13500"/>
    <x v="0"/>
  </r>
  <r>
    <s v="T00046"/>
    <d v="2025-09-14T00:00:00"/>
    <s v="BR002"/>
    <s v="P005"/>
    <s v="C0045"/>
    <n v="1"/>
    <n v="0"/>
    <n v="95000"/>
    <x v="1"/>
    <n v="95000"/>
    <x v="1"/>
  </r>
  <r>
    <s v="T00162"/>
    <d v="2025-06-12T00:00:00"/>
    <s v="BR001"/>
    <s v="P011"/>
    <s v="C0082"/>
    <n v="2"/>
    <n v="0"/>
    <n v="74000"/>
    <x v="2"/>
    <n v="148000"/>
    <x v="0"/>
  </r>
  <r>
    <s v="T00992"/>
    <d v="2025-04-06T00:00:00"/>
    <s v="BR001"/>
    <s v="P003"/>
    <s v="C0119"/>
    <n v="2"/>
    <n v="15"/>
    <n v="45000"/>
    <x v="2"/>
    <n v="76500"/>
    <x v="1"/>
  </r>
  <r>
    <s v="T00728"/>
    <d v="2025-03-12T00:00:00"/>
    <s v="BR001"/>
    <s v="P014"/>
    <s v="C0115"/>
    <n v="2"/>
    <n v="0"/>
    <n v="285000"/>
    <x v="2"/>
    <n v="570000"/>
    <x v="0"/>
  </r>
  <r>
    <s v="T00630"/>
    <d v="2025-03-16T00:00:00"/>
    <s v="BR004"/>
    <s v="P024"/>
    <s v="C0150"/>
    <n v="1"/>
    <n v="20"/>
    <n v="245000"/>
    <x v="3"/>
    <n v="196000"/>
    <x v="2"/>
  </r>
  <r>
    <s v="T00289"/>
    <d v="2025-11-01T00:00:00"/>
    <s v="BR001"/>
    <s v="P020"/>
    <s v="C0021"/>
    <n v="2"/>
    <n v="10"/>
    <n v="8500"/>
    <x v="2"/>
    <n v="15300"/>
    <x v="3"/>
  </r>
  <r>
    <s v="T01060"/>
    <d v="2025-01-22T00:00:00"/>
    <s v="BR004"/>
    <s v="P010"/>
    <s v="C0209"/>
    <n v="1"/>
    <n v="0"/>
    <n v="62000"/>
    <x v="3"/>
    <n v="62000"/>
    <x v="0"/>
  </r>
  <r>
    <s v="T01367"/>
    <d v="2025-02-05T00:00:00"/>
    <s v="BR002"/>
    <s v="P005"/>
    <s v="C0216"/>
    <n v="1"/>
    <n v="0"/>
    <n v="95000"/>
    <x v="1"/>
    <n v="95000"/>
    <x v="1"/>
  </r>
  <r>
    <s v="T00576"/>
    <d v="2025-02-22T00:00:00"/>
    <s v="BR003"/>
    <s v="P002"/>
    <s v="C0133"/>
    <n v="1"/>
    <n v="0"/>
    <n v="320000"/>
    <x v="0"/>
    <n v="320000"/>
    <x v="1"/>
  </r>
  <r>
    <s v="T00851"/>
    <d v="2025-08-08T00:00:00"/>
    <s v="BR001"/>
    <s v="P025"/>
    <s v="C0019"/>
    <n v="2"/>
    <n v="10"/>
    <n v="175000"/>
    <x v="2"/>
    <n v="315000"/>
    <x v="2"/>
  </r>
  <r>
    <s v="T00912"/>
    <d v="2025-08-27T00:00:00"/>
    <s v="BR001"/>
    <s v="P022"/>
    <s v="C0049"/>
    <n v="1"/>
    <n v="20"/>
    <n v="5200"/>
    <x v="2"/>
    <n v="4160"/>
    <x v="3"/>
  </r>
  <r>
    <s v="T01255"/>
    <d v="2025-05-11T00:00:00"/>
    <s v="BR001"/>
    <s v="P001"/>
    <s v="C0106"/>
    <n v="3"/>
    <n v="0"/>
    <n v="185000"/>
    <x v="2"/>
    <n v="555000"/>
    <x v="1"/>
  </r>
  <r>
    <s v="T01272"/>
    <d v="2025-10-12T00:00:00"/>
    <s v="BR002"/>
    <s v="P020"/>
    <s v="C0188"/>
    <n v="3"/>
    <n v="0"/>
    <n v="8500"/>
    <x v="1"/>
    <n v="25500"/>
    <x v="3"/>
  </r>
  <r>
    <s v="T00933"/>
    <d v="2025-07-10T00:00:00"/>
    <s v="BR002"/>
    <s v="P019"/>
    <s v="C0198"/>
    <n v="1"/>
    <n v="0"/>
    <n v="21000"/>
    <x v="1"/>
    <n v="21000"/>
    <x v="3"/>
  </r>
  <r>
    <s v="T01101"/>
    <d v="2025-07-10T00:00:00"/>
    <s v="BR002"/>
    <s v="P022"/>
    <s v="C0115"/>
    <n v="1"/>
    <n v="0"/>
    <n v="5200"/>
    <x v="1"/>
    <n v="5200"/>
    <x v="3"/>
  </r>
  <r>
    <s v="T01208"/>
    <d v="2025-09-20T00:00:00"/>
    <s v="BR001"/>
    <s v="P006"/>
    <s v="C0013"/>
    <n v="1"/>
    <n v="10"/>
    <n v="78000"/>
    <x v="2"/>
    <n v="70200"/>
    <x v="1"/>
  </r>
  <r>
    <s v="T00248"/>
    <d v="2025-12-13T00:00:00"/>
    <s v="BR001"/>
    <s v="P020"/>
    <s v="C0010"/>
    <n v="1"/>
    <n v="30"/>
    <n v="8500"/>
    <x v="2"/>
    <n v="5950"/>
    <x v="3"/>
  </r>
  <r>
    <s v="T00477"/>
    <d v="2025-09-22T00:00:00"/>
    <s v="BR001"/>
    <s v="P001"/>
    <s v="C0082"/>
    <n v="1"/>
    <n v="10"/>
    <n v="185000"/>
    <x v="2"/>
    <n v="166500"/>
    <x v="1"/>
  </r>
  <r>
    <s v="T00086"/>
    <d v="2025-11-15T00:00:00"/>
    <s v="BR001"/>
    <s v="P016"/>
    <s v="C0082"/>
    <n v="1"/>
    <n v="0"/>
    <n v="19500"/>
    <x v="2"/>
    <n v="19500"/>
    <x v="0"/>
  </r>
  <r>
    <s v="T00470"/>
    <d v="2025-07-17T00:00:00"/>
    <s v="BR003"/>
    <s v="P005"/>
    <s v="C0153"/>
    <n v="1"/>
    <n v="0"/>
    <n v="95000"/>
    <x v="0"/>
    <n v="95000"/>
    <x v="1"/>
  </r>
  <r>
    <s v="T00226"/>
    <d v="2025-02-23T00:00:00"/>
    <s v="BR002"/>
    <s v="P024"/>
    <s v="C0037"/>
    <n v="1"/>
    <n v="20"/>
    <n v="245000"/>
    <x v="1"/>
    <n v="196000"/>
    <x v="2"/>
  </r>
  <r>
    <s v="T00775"/>
    <d v="2025-11-22T00:00:00"/>
    <s v="BR001"/>
    <s v="P013"/>
    <s v="C0209"/>
    <n v="1"/>
    <n v="5"/>
    <n v="22000"/>
    <x v="2"/>
    <n v="20900"/>
    <x v="0"/>
  </r>
  <r>
    <s v="T00332"/>
    <d v="2025-12-06T00:00:00"/>
    <s v="BR001"/>
    <s v="P015"/>
    <s v="C0031"/>
    <n v="1"/>
    <n v="5"/>
    <n v="15000"/>
    <x v="2"/>
    <n v="14250"/>
    <x v="0"/>
  </r>
  <r>
    <s v="T00234"/>
    <d v="2025-11-11T00:00:00"/>
    <s v="BR003"/>
    <s v="P025"/>
    <s v="C0195"/>
    <n v="1"/>
    <n v="10"/>
    <n v="175000"/>
    <x v="0"/>
    <n v="157500"/>
    <x v="2"/>
  </r>
  <r>
    <s v="T00589"/>
    <d v="2025-09-10T00:00:00"/>
    <s v="BR003"/>
    <s v="P019"/>
    <s v="C0017"/>
    <n v="1"/>
    <n v="10"/>
    <n v="21000"/>
    <x v="0"/>
    <n v="18900"/>
    <x v="3"/>
  </r>
  <r>
    <s v="T00476"/>
    <d v="2025-10-14T00:00:00"/>
    <s v="BR003"/>
    <s v="P002"/>
    <s v="C0079"/>
    <n v="1"/>
    <n v="0"/>
    <n v="320000"/>
    <x v="0"/>
    <n v="320000"/>
    <x v="1"/>
  </r>
  <r>
    <s v="T00600"/>
    <d v="2025-11-22T00:00:00"/>
    <s v="BR001"/>
    <s v="P005"/>
    <s v="C0123"/>
    <n v="1"/>
    <n v="25"/>
    <n v="95000"/>
    <x v="2"/>
    <n v="71250"/>
    <x v="1"/>
  </r>
  <r>
    <s v="T00422"/>
    <d v="2025-05-26T00:00:00"/>
    <s v="BR004"/>
    <s v="P010"/>
    <s v="C0137"/>
    <n v="1"/>
    <n v="0"/>
    <n v="62000"/>
    <x v="3"/>
    <n v="62000"/>
    <x v="0"/>
  </r>
  <r>
    <s v="T00183"/>
    <d v="2025-12-21T00:00:00"/>
    <s v="BR003"/>
    <s v="P011"/>
    <s v="C0156"/>
    <n v="1"/>
    <n v="0"/>
    <n v="74000"/>
    <x v="0"/>
    <n v="74000"/>
    <x v="0"/>
  </r>
  <r>
    <s v="T00989"/>
    <d v="2025-04-15T00:00:00"/>
    <s v="BR001"/>
    <s v="P012"/>
    <s v="C0184"/>
    <n v="3"/>
    <n v="5"/>
    <n v="28000"/>
    <x v="2"/>
    <n v="79800"/>
    <x v="0"/>
  </r>
  <r>
    <s v="T01001"/>
    <d v="2025-07-11T00:00:00"/>
    <s v="BR001"/>
    <s v="P025"/>
    <s v="C0135"/>
    <n v="1"/>
    <n v="0"/>
    <n v="175000"/>
    <x v="2"/>
    <n v="175000"/>
    <x v="2"/>
  </r>
  <r>
    <s v="T00050"/>
    <d v="2025-06-01T00:00:00"/>
    <s v="BR004"/>
    <s v="P003"/>
    <s v="C0156"/>
    <n v="2"/>
    <n v="15"/>
    <n v="45000"/>
    <x v="3"/>
    <n v="76500"/>
    <x v="1"/>
  </r>
  <r>
    <s v="T01313"/>
    <d v="2025-11-07T00:00:00"/>
    <s v="BR001"/>
    <s v="P012"/>
    <s v="C0100"/>
    <n v="1"/>
    <n v="10"/>
    <n v="28000"/>
    <x v="2"/>
    <n v="25200"/>
    <x v="0"/>
  </r>
  <r>
    <s v="T01030"/>
    <d v="2025-06-14T00:00:00"/>
    <s v="BR001"/>
    <s v="P006"/>
    <s v="C0019"/>
    <n v="1"/>
    <n v="0"/>
    <n v="78000"/>
    <x v="2"/>
    <n v="78000"/>
    <x v="1"/>
  </r>
  <r>
    <s v="T00530"/>
    <d v="2025-07-18T00:00:00"/>
    <s v="BR001"/>
    <s v="P018"/>
    <s v="C0190"/>
    <n v="1"/>
    <n v="0"/>
    <n v="18000"/>
    <x v="2"/>
    <n v="18000"/>
    <x v="3"/>
  </r>
  <r>
    <s v="T01259"/>
    <d v="2025-12-07T00:00:00"/>
    <s v="BR002"/>
    <s v="P022"/>
    <s v="C0153"/>
    <n v="2"/>
    <n v="5"/>
    <n v="5200"/>
    <x v="1"/>
    <n v="9880"/>
    <x v="3"/>
  </r>
  <r>
    <s v="T00487"/>
    <d v="2025-12-19T00:00:00"/>
    <s v="BR002"/>
    <s v="P022"/>
    <s v="C0102"/>
    <n v="3"/>
    <n v="30"/>
    <n v="5200"/>
    <x v="1"/>
    <n v="10920"/>
    <x v="3"/>
  </r>
  <r>
    <s v="T00498"/>
    <d v="2025-12-26T00:00:00"/>
    <s v="BR001"/>
    <s v="P016"/>
    <s v="C0140"/>
    <n v="1"/>
    <n v="10"/>
    <n v="19500"/>
    <x v="2"/>
    <n v="17550"/>
    <x v="0"/>
  </r>
  <r>
    <s v="T00107"/>
    <d v="2025-04-18T00:00:00"/>
    <s v="BR003"/>
    <s v="P023"/>
    <s v="C0073"/>
    <n v="1"/>
    <n v="0"/>
    <n v="195000"/>
    <x v="0"/>
    <n v="195000"/>
    <x v="2"/>
  </r>
  <r>
    <s v="T00444"/>
    <d v="2025-12-26T00:00:00"/>
    <s v="BR001"/>
    <s v="P012"/>
    <s v="C0095"/>
    <n v="1"/>
    <n v="0"/>
    <n v="28000"/>
    <x v="2"/>
    <n v="28000"/>
    <x v="0"/>
  </r>
  <r>
    <s v="T00647"/>
    <d v="2025-03-03T00:00:00"/>
    <s v="BR003"/>
    <s v="P003"/>
    <s v="C0092"/>
    <n v="1"/>
    <n v="10"/>
    <n v="45000"/>
    <x v="0"/>
    <n v="40500"/>
    <x v="1"/>
  </r>
  <r>
    <s v="T01037"/>
    <d v="2025-08-11T00:00:00"/>
    <s v="BR001"/>
    <s v="P022"/>
    <s v="C0093"/>
    <n v="1"/>
    <n v="10"/>
    <n v="5200"/>
    <x v="2"/>
    <n v="4680"/>
    <x v="3"/>
  </r>
  <r>
    <s v="T00727"/>
    <d v="2025-12-02T00:00:00"/>
    <s v="BR001"/>
    <s v="P015"/>
    <s v="C0058"/>
    <n v="2"/>
    <n v="0"/>
    <n v="15000"/>
    <x v="2"/>
    <n v="30000"/>
    <x v="0"/>
  </r>
  <r>
    <s v="T00191"/>
    <d v="2025-08-04T00:00:00"/>
    <s v="BR001"/>
    <s v="P020"/>
    <s v="C0078"/>
    <n v="1"/>
    <n v="5"/>
    <n v="8500"/>
    <x v="2"/>
    <n v="8075"/>
    <x v="3"/>
  </r>
  <r>
    <s v="T00283"/>
    <d v="2025-11-10T00:00:00"/>
    <s v="BR002"/>
    <s v="P017"/>
    <s v="C0047"/>
    <n v="1"/>
    <n v="10"/>
    <n v="24000"/>
    <x v="1"/>
    <n v="21600"/>
    <x v="0"/>
  </r>
  <r>
    <s v="T00030"/>
    <d v="2025-11-27T00:00:00"/>
    <s v="BR001"/>
    <s v="P008"/>
    <s v="C0084"/>
    <n v="1"/>
    <n v="15"/>
    <n v="410000"/>
    <x v="2"/>
    <n v="348500"/>
    <x v="0"/>
  </r>
  <r>
    <s v="T00170"/>
    <d v="2025-11-13T00:00:00"/>
    <s v="BR003"/>
    <s v="P021"/>
    <s v="C0212"/>
    <n v="1"/>
    <n v="0"/>
    <n v="6500"/>
    <x v="0"/>
    <n v="6500"/>
    <x v="3"/>
  </r>
  <r>
    <s v="T01002"/>
    <d v="2025-11-10T00:00:00"/>
    <s v="BR002"/>
    <s v="P025"/>
    <s v="C0136"/>
    <n v="3"/>
    <n v="10"/>
    <n v="175000"/>
    <x v="1"/>
    <n v="472500"/>
    <x v="2"/>
  </r>
  <r>
    <s v="T01205"/>
    <d v="2025-11-09T00:00:00"/>
    <s v="BR001"/>
    <s v="P020"/>
    <s v="C0137"/>
    <n v="1"/>
    <n v="20"/>
    <n v="8500"/>
    <x v="2"/>
    <n v="6800"/>
    <x v="3"/>
  </r>
  <r>
    <s v="T00101"/>
    <d v="2025-06-21T00:00:00"/>
    <s v="BR002"/>
    <s v="P023"/>
    <s v="C0045"/>
    <n v="2"/>
    <n v="0"/>
    <n v="195000"/>
    <x v="1"/>
    <n v="390000"/>
    <x v="2"/>
  </r>
  <r>
    <s v="T00198"/>
    <d v="2025-11-05T00:00:00"/>
    <s v="BR002"/>
    <s v="P002"/>
    <s v="C0196"/>
    <n v="1"/>
    <n v="15"/>
    <n v="320000"/>
    <x v="1"/>
    <n v="272000"/>
    <x v="1"/>
  </r>
  <r>
    <s v="T00496"/>
    <d v="2025-11-20T00:00:00"/>
    <s v="BR002"/>
    <s v="P021"/>
    <s v="C0024"/>
    <n v="2"/>
    <n v="5"/>
    <n v="6500"/>
    <x v="1"/>
    <n v="12350"/>
    <x v="3"/>
  </r>
  <r>
    <s v="T00648"/>
    <d v="2025-07-28T00:00:00"/>
    <s v="BR002"/>
    <s v="P016"/>
    <s v="C0142"/>
    <n v="1"/>
    <n v="0"/>
    <n v="19500"/>
    <x v="1"/>
    <n v="19500"/>
    <x v="0"/>
  </r>
  <r>
    <s v="T00988"/>
    <d v="2025-12-06T00:00:00"/>
    <s v="BR001"/>
    <s v="P001"/>
    <s v="C0176"/>
    <n v="1"/>
    <n v="10"/>
    <n v="185000"/>
    <x v="2"/>
    <n v="166500"/>
    <x v="1"/>
  </r>
  <r>
    <s v="T00045"/>
    <d v="2025-03-02T00:00:00"/>
    <s v="BR003"/>
    <s v="P023"/>
    <s v="C0014"/>
    <n v="3"/>
    <n v="0"/>
    <n v="195000"/>
    <x v="0"/>
    <n v="585000"/>
    <x v="2"/>
  </r>
  <r>
    <s v="T00711"/>
    <d v="2025-07-11T00:00:00"/>
    <s v="BR003"/>
    <s v="P025"/>
    <s v="C0195"/>
    <n v="1"/>
    <n v="25"/>
    <n v="175000"/>
    <x v="0"/>
    <n v="131250"/>
    <x v="2"/>
  </r>
  <r>
    <s v="T00374"/>
    <d v="2025-06-10T00:00:00"/>
    <s v="BR002"/>
    <s v="P020"/>
    <s v="C0177"/>
    <n v="1"/>
    <n v="10"/>
    <n v="8500"/>
    <x v="1"/>
    <n v="7650"/>
    <x v="3"/>
  </r>
  <r>
    <s v="T00679"/>
    <d v="2025-12-17T00:00:00"/>
    <s v="BR003"/>
    <s v="P017"/>
    <s v="C0072"/>
    <n v="1"/>
    <n v="20"/>
    <n v="24000"/>
    <x v="0"/>
    <n v="19200"/>
    <x v="0"/>
  </r>
  <r>
    <s v="T00567"/>
    <d v="2025-12-27T00:00:00"/>
    <s v="BR001"/>
    <s v="P017"/>
    <s v="C0111"/>
    <n v="5"/>
    <n v="25"/>
    <n v="24000"/>
    <x v="2"/>
    <n v="90000"/>
    <x v="0"/>
  </r>
  <r>
    <s v="T00848"/>
    <d v="2025-01-24T00:00:00"/>
    <s v="BR003"/>
    <s v="P012"/>
    <s v="C0104"/>
    <n v="1"/>
    <n v="5"/>
    <n v="28000"/>
    <x v="0"/>
    <n v="26600"/>
    <x v="0"/>
  </r>
  <r>
    <s v="T00461"/>
    <d v="2025-03-17T00:00:00"/>
    <s v="BR004"/>
    <s v="P022"/>
    <s v="C0063"/>
    <n v="2"/>
    <n v="0"/>
    <n v="5200"/>
    <x v="3"/>
    <n v="10400"/>
    <x v="3"/>
  </r>
  <r>
    <s v="T01156"/>
    <d v="2025-02-17T00:00:00"/>
    <s v="BR003"/>
    <s v="P002"/>
    <s v="C0205"/>
    <n v="2"/>
    <n v="0"/>
    <n v="320000"/>
    <x v="0"/>
    <n v="640000"/>
    <x v="1"/>
  </r>
  <r>
    <s v="T00040"/>
    <d v="2025-04-18T00:00:00"/>
    <s v="BR001"/>
    <s v="P015"/>
    <s v="C0005"/>
    <n v="2"/>
    <n v="0"/>
    <n v="15000"/>
    <x v="2"/>
    <n v="30000"/>
    <x v="0"/>
  </r>
  <r>
    <s v="T00435"/>
    <d v="2025-01-26T00:00:00"/>
    <s v="BR002"/>
    <s v="P018"/>
    <s v="C0100"/>
    <n v="1"/>
    <n v="5"/>
    <n v="18000"/>
    <x v="1"/>
    <n v="17100"/>
    <x v="3"/>
  </r>
  <r>
    <s v="T00974"/>
    <d v="2025-05-03T00:00:00"/>
    <s v="BR001"/>
    <s v="P023"/>
    <s v="C0104"/>
    <n v="2"/>
    <n v="10"/>
    <n v="195000"/>
    <x v="2"/>
    <n v="351000"/>
    <x v="2"/>
  </r>
  <r>
    <s v="T01240"/>
    <d v="2025-04-18T00:00:00"/>
    <s v="BR004"/>
    <s v="P001"/>
    <s v="C0107"/>
    <n v="1"/>
    <n v="5"/>
    <n v="185000"/>
    <x v="3"/>
    <n v="175750"/>
    <x v="1"/>
  </r>
  <r>
    <s v="T01008"/>
    <d v="2025-10-07T00:00:00"/>
    <s v="BR001"/>
    <s v="P002"/>
    <s v="C0189"/>
    <n v="5"/>
    <n v="0"/>
    <n v="320000"/>
    <x v="2"/>
    <n v="1600000"/>
    <x v="1"/>
  </r>
  <r>
    <s v="T00457"/>
    <d v="2025-07-17T00:00:00"/>
    <s v="BR001"/>
    <s v="P008"/>
    <s v="C0078"/>
    <n v="1"/>
    <n v="5"/>
    <n v="410000"/>
    <x v="2"/>
    <n v="389500"/>
    <x v="0"/>
  </r>
  <r>
    <s v="T00261"/>
    <d v="2025-02-15T00:00:00"/>
    <s v="BR002"/>
    <s v="P001"/>
    <s v="C0047"/>
    <n v="1"/>
    <n v="0"/>
    <n v="185000"/>
    <x v="1"/>
    <n v="185000"/>
    <x v="1"/>
  </r>
  <r>
    <s v="T00036"/>
    <d v="2025-03-23T00:00:00"/>
    <s v="BR001"/>
    <s v="P013"/>
    <s v="C0217"/>
    <n v="1"/>
    <n v="20"/>
    <n v="22000"/>
    <x v="2"/>
    <n v="17600"/>
    <x v="0"/>
  </r>
  <r>
    <s v="T00828"/>
    <d v="2025-12-25T00:00:00"/>
    <s v="BR001"/>
    <s v="P011"/>
    <s v="C0088"/>
    <n v="2"/>
    <n v="20"/>
    <n v="74000"/>
    <x v="2"/>
    <n v="118400"/>
    <x v="0"/>
  </r>
  <r>
    <s v="T00310"/>
    <d v="2025-11-04T00:00:00"/>
    <s v="BR003"/>
    <s v="P019"/>
    <s v="C0172"/>
    <n v="1"/>
    <n v="10"/>
    <n v="21000"/>
    <x v="0"/>
    <n v="18900"/>
    <x v="3"/>
  </r>
  <r>
    <s v="T00277"/>
    <d v="2025-03-28T00:00:00"/>
    <s v="BR001"/>
    <s v="P001"/>
    <s v="C0148"/>
    <n v="1"/>
    <n v="0"/>
    <n v="185000"/>
    <x v="2"/>
    <n v="185000"/>
    <x v="1"/>
  </r>
  <r>
    <s v="T00637"/>
    <d v="2025-01-18T00:00:00"/>
    <s v="BR001"/>
    <s v="P013"/>
    <s v="C0219"/>
    <n v="1"/>
    <n v="0"/>
    <n v="22000"/>
    <x v="2"/>
    <n v="22000"/>
    <x v="0"/>
  </r>
  <r>
    <s v="T00655"/>
    <d v="2025-06-14T00:00:00"/>
    <s v="BR002"/>
    <s v="P015"/>
    <s v="C0112"/>
    <n v="1"/>
    <n v="0"/>
    <n v="15000"/>
    <x v="1"/>
    <n v="15000"/>
    <x v="0"/>
  </r>
  <r>
    <s v="T00623"/>
    <d v="2025-09-07T00:00:00"/>
    <s v="BR002"/>
    <s v="P012"/>
    <s v="C0141"/>
    <n v="1"/>
    <n v="0"/>
    <n v="28000"/>
    <x v="1"/>
    <n v="28000"/>
    <x v="0"/>
  </r>
  <r>
    <s v="T00845"/>
    <d v="2025-06-20T00:00:00"/>
    <s v="BR003"/>
    <s v="P007"/>
    <s v="C0033"/>
    <n v="1"/>
    <n v="0"/>
    <n v="145000"/>
    <x v="0"/>
    <n v="145000"/>
    <x v="1"/>
  </r>
  <r>
    <s v="T00394"/>
    <d v="2025-06-19T00:00:00"/>
    <s v="BR003"/>
    <s v="P013"/>
    <s v="C0143"/>
    <n v="2"/>
    <n v="0"/>
    <n v="22000"/>
    <x v="0"/>
    <n v="44000"/>
    <x v="0"/>
  </r>
  <r>
    <s v="T00108"/>
    <d v="2025-10-05T00:00:00"/>
    <s v="BR001"/>
    <s v="P017"/>
    <s v="C0067"/>
    <n v="5"/>
    <n v="0"/>
    <n v="24000"/>
    <x v="2"/>
    <n v="120000"/>
    <x v="0"/>
  </r>
  <r>
    <s v="T00350"/>
    <d v="2025-02-03T00:00:00"/>
    <s v="BR001"/>
    <s v="P011"/>
    <s v="C0087"/>
    <n v="1"/>
    <n v="0"/>
    <n v="74000"/>
    <x v="2"/>
    <n v="74000"/>
    <x v="0"/>
  </r>
  <r>
    <s v="T00525"/>
    <d v="2025-03-14T00:00:00"/>
    <s v="BR002"/>
    <s v="P006"/>
    <s v="C0003"/>
    <n v="1"/>
    <n v="0"/>
    <n v="78000"/>
    <x v="1"/>
    <n v="78000"/>
    <x v="1"/>
  </r>
  <r>
    <s v="T00785"/>
    <d v="2025-06-05T00:00:00"/>
    <s v="BR002"/>
    <s v="P023"/>
    <s v="C0039"/>
    <n v="1"/>
    <n v="0"/>
    <n v="195000"/>
    <x v="1"/>
    <n v="195000"/>
    <x v="2"/>
  </r>
  <r>
    <s v="T00048"/>
    <d v="2025-03-20T00:00:00"/>
    <s v="BR003"/>
    <s v="P023"/>
    <s v="C0083"/>
    <n v="1"/>
    <n v="0"/>
    <n v="195000"/>
    <x v="0"/>
    <n v="195000"/>
    <x v="2"/>
  </r>
  <r>
    <s v="T00204"/>
    <d v="2025-08-21T00:00:00"/>
    <s v="BR002"/>
    <s v="P023"/>
    <s v="C0193"/>
    <n v="1"/>
    <n v="0"/>
    <n v="195000"/>
    <x v="1"/>
    <n v="195000"/>
    <x v="2"/>
  </r>
  <r>
    <s v="T00022"/>
    <d v="2025-10-08T00:00:00"/>
    <s v="BR001"/>
    <s v="P013"/>
    <s v="C0155"/>
    <n v="2"/>
    <n v="0"/>
    <n v="22000"/>
    <x v="2"/>
    <n v="44000"/>
    <x v="0"/>
  </r>
  <r>
    <s v="T00403"/>
    <d v="2025-10-23T00:00:00"/>
    <s v="BR002"/>
    <s v="P006"/>
    <s v="C0181"/>
    <n v="1"/>
    <n v="0"/>
    <n v="78000"/>
    <x v="1"/>
    <n v="78000"/>
    <x v="1"/>
  </r>
  <r>
    <s v="T01108"/>
    <d v="2025-07-03T00:00:00"/>
    <s v="BR001"/>
    <s v="P017"/>
    <s v="C0141"/>
    <n v="1"/>
    <n v="0"/>
    <n v="24000"/>
    <x v="2"/>
    <n v="24000"/>
    <x v="0"/>
  </r>
  <r>
    <s v="T01155"/>
    <d v="2025-03-22T00:00:00"/>
    <s v="BR003"/>
    <s v="P022"/>
    <s v="C0035"/>
    <n v="1"/>
    <n v="10"/>
    <n v="5200"/>
    <x v="0"/>
    <n v="4680"/>
    <x v="3"/>
  </r>
  <r>
    <s v="T00990"/>
    <d v="2025-12-23T00:00:00"/>
    <s v="BR003"/>
    <s v="P012"/>
    <s v="C0192"/>
    <n v="1"/>
    <n v="10"/>
    <n v="28000"/>
    <x v="0"/>
    <n v="25200"/>
    <x v="0"/>
  </r>
  <r>
    <s v="T00742"/>
    <d v="2025-05-07T00:00:00"/>
    <s v="BR003"/>
    <s v="P021"/>
    <s v="C0220"/>
    <n v="1"/>
    <n v="10"/>
    <n v="6500"/>
    <x v="0"/>
    <n v="5850"/>
    <x v="3"/>
  </r>
  <r>
    <s v="T01311"/>
    <d v="2025-07-25T00:00:00"/>
    <s v="BR002"/>
    <s v="P013"/>
    <s v="C0176"/>
    <n v="1"/>
    <n v="0"/>
    <n v="22000"/>
    <x v="1"/>
    <n v="22000"/>
    <x v="0"/>
  </r>
  <r>
    <s v="T01148"/>
    <d v="2025-01-27T00:00:00"/>
    <s v="BR004"/>
    <s v="P021"/>
    <s v="C0177"/>
    <n v="2"/>
    <n v="10"/>
    <n v="6500"/>
    <x v="3"/>
    <n v="11700"/>
    <x v="3"/>
  </r>
  <r>
    <s v="T00034"/>
    <d v="2025-07-23T00:00:00"/>
    <s v="BR001"/>
    <s v="P007"/>
    <s v="C0084"/>
    <n v="1"/>
    <n v="5"/>
    <n v="145000"/>
    <x v="2"/>
    <n v="137750"/>
    <x v="1"/>
  </r>
  <r>
    <s v="T00788"/>
    <d v="2025-06-21T00:00:00"/>
    <s v="BR001"/>
    <s v="P006"/>
    <s v="C0212"/>
    <n v="2"/>
    <n v="5"/>
    <n v="78000"/>
    <x v="2"/>
    <n v="148200"/>
    <x v="1"/>
  </r>
  <r>
    <s v="T00924"/>
    <d v="2025-07-09T00:00:00"/>
    <s v="BR001"/>
    <s v="P004"/>
    <s v="C0206"/>
    <n v="2"/>
    <n v="0"/>
    <n v="38000"/>
    <x v="2"/>
    <n v="76000"/>
    <x v="1"/>
  </r>
  <r>
    <s v="T01044"/>
    <d v="2025-03-12T00:00:00"/>
    <s v="BR002"/>
    <s v="P016"/>
    <s v="C0002"/>
    <n v="1"/>
    <n v="0"/>
    <n v="19500"/>
    <x v="1"/>
    <n v="19500"/>
    <x v="0"/>
  </r>
  <r>
    <s v="T01353"/>
    <d v="2025-01-09T00:00:00"/>
    <s v="BR004"/>
    <s v="P008"/>
    <s v="C0111"/>
    <n v="1"/>
    <n v="0"/>
    <n v="410000"/>
    <x v="3"/>
    <n v="410000"/>
    <x v="0"/>
  </r>
  <r>
    <s v="T01244"/>
    <d v="2025-11-04T00:00:00"/>
    <s v="BR001"/>
    <s v="P008"/>
    <s v="C0020"/>
    <n v="2"/>
    <n v="25"/>
    <n v="410000"/>
    <x v="2"/>
    <n v="615000"/>
    <x v="0"/>
  </r>
  <r>
    <s v="T00580"/>
    <d v="2025-12-21T00:00:00"/>
    <s v="BR003"/>
    <s v="P016"/>
    <s v="C0070"/>
    <n v="1"/>
    <n v="0"/>
    <n v="19500"/>
    <x v="0"/>
    <n v="19500"/>
    <x v="0"/>
  </r>
  <r>
    <s v="T00482"/>
    <d v="2025-06-11T00:00:00"/>
    <s v="BR002"/>
    <s v="P011"/>
    <s v="C0205"/>
    <n v="1"/>
    <n v="0"/>
    <n v="74000"/>
    <x v="1"/>
    <n v="74000"/>
    <x v="0"/>
  </r>
  <r>
    <s v="T00932"/>
    <d v="2025-08-25T00:00:00"/>
    <s v="BR001"/>
    <s v="P011"/>
    <s v="C0206"/>
    <n v="1"/>
    <n v="0"/>
    <n v="74000"/>
    <x v="2"/>
    <n v="74000"/>
    <x v="0"/>
  </r>
  <r>
    <s v="T00357"/>
    <d v="2025-02-22T00:00:00"/>
    <s v="BR001"/>
    <s v="P008"/>
    <s v="C0077"/>
    <n v="1"/>
    <n v="0"/>
    <n v="410000"/>
    <x v="2"/>
    <n v="410000"/>
    <x v="0"/>
  </r>
  <r>
    <s v="T01249"/>
    <d v="2025-04-10T00:00:00"/>
    <s v="BR001"/>
    <s v="P006"/>
    <s v="C0196"/>
    <n v="5"/>
    <n v="0"/>
    <n v="78000"/>
    <x v="2"/>
    <n v="390000"/>
    <x v="1"/>
  </r>
  <r>
    <s v="T00760"/>
    <d v="2025-06-17T00:00:00"/>
    <s v="BR001"/>
    <s v="P011"/>
    <s v="C0089"/>
    <n v="2"/>
    <n v="0"/>
    <n v="74000"/>
    <x v="2"/>
    <n v="148000"/>
    <x v="0"/>
  </r>
  <r>
    <s v="T00093"/>
    <d v="2025-04-27T00:00:00"/>
    <s v="BR001"/>
    <s v="P020"/>
    <s v="C0140"/>
    <n v="1"/>
    <n v="0"/>
    <n v="8500"/>
    <x v="2"/>
    <n v="8500"/>
    <x v="3"/>
  </r>
  <r>
    <s v="T01176"/>
    <d v="2025-08-10T00:00:00"/>
    <s v="BR001"/>
    <s v="P013"/>
    <s v="C0003"/>
    <n v="1"/>
    <n v="0"/>
    <n v="22000"/>
    <x v="2"/>
    <n v="22000"/>
    <x v="0"/>
  </r>
  <r>
    <s v="T01342"/>
    <d v="2025-12-27T00:00:00"/>
    <s v="BR001"/>
    <s v="P007"/>
    <s v="C0033"/>
    <n v="1"/>
    <n v="5"/>
    <n v="145000"/>
    <x v="2"/>
    <n v="137750"/>
    <x v="1"/>
  </r>
  <r>
    <s v="T00804"/>
    <d v="2025-01-17T00:00:00"/>
    <s v="BR004"/>
    <s v="P021"/>
    <s v="C0111"/>
    <n v="1"/>
    <n v="0"/>
    <n v="6500"/>
    <x v="3"/>
    <n v="6500"/>
    <x v="3"/>
  </r>
  <r>
    <s v="T00746"/>
    <d v="2025-01-05T00:00:00"/>
    <s v="BR001"/>
    <s v="P014"/>
    <s v="C0201"/>
    <n v="3"/>
    <n v="0"/>
    <n v="285000"/>
    <x v="2"/>
    <n v="855000"/>
    <x v="0"/>
  </r>
  <r>
    <s v="T00280"/>
    <d v="2025-10-13T00:00:00"/>
    <s v="BR001"/>
    <s v="P004"/>
    <s v="C0032"/>
    <n v="1"/>
    <n v="5"/>
    <n v="38000"/>
    <x v="2"/>
    <n v="36100"/>
    <x v="1"/>
  </r>
  <r>
    <s v="T00765"/>
    <d v="2025-10-13T00:00:00"/>
    <s v="BR002"/>
    <s v="P021"/>
    <s v="C0120"/>
    <n v="2"/>
    <n v="0"/>
    <n v="6500"/>
    <x v="1"/>
    <n v="13000"/>
    <x v="3"/>
  </r>
  <r>
    <s v="T00605"/>
    <d v="2025-05-07T00:00:00"/>
    <s v="BR001"/>
    <s v="P023"/>
    <s v="C0147"/>
    <n v="1"/>
    <n v="0"/>
    <n v="195000"/>
    <x v="2"/>
    <n v="195000"/>
    <x v="2"/>
  </r>
  <r>
    <s v="T01391"/>
    <d v="2025-04-18T00:00:00"/>
    <s v="BR003"/>
    <s v="P002"/>
    <s v="C0085"/>
    <n v="2"/>
    <n v="0"/>
    <n v="320000"/>
    <x v="0"/>
    <n v="640000"/>
    <x v="1"/>
  </r>
  <r>
    <s v="T00401"/>
    <d v="2025-08-14T00:00:00"/>
    <s v="BR001"/>
    <s v="P021"/>
    <s v="C0040"/>
    <n v="2"/>
    <n v="0"/>
    <n v="6500"/>
    <x v="2"/>
    <n v="13000"/>
    <x v="3"/>
  </r>
  <r>
    <s v="T00258"/>
    <d v="2025-08-22T00:00:00"/>
    <s v="BR001"/>
    <s v="P001"/>
    <s v="C0213"/>
    <n v="1"/>
    <n v="5"/>
    <n v="185000"/>
    <x v="2"/>
    <n v="175750"/>
    <x v="1"/>
  </r>
  <r>
    <s v="T00945"/>
    <d v="2025-03-21T00:00:00"/>
    <s v="BR001"/>
    <s v="P016"/>
    <s v="C0109"/>
    <n v="3"/>
    <n v="0"/>
    <n v="19500"/>
    <x v="2"/>
    <n v="58500"/>
    <x v="0"/>
  </r>
  <r>
    <s v="T01097"/>
    <d v="2025-06-23T00:00:00"/>
    <s v="BR001"/>
    <s v="P023"/>
    <s v="C0040"/>
    <n v="2"/>
    <n v="0"/>
    <n v="195000"/>
    <x v="2"/>
    <n v="390000"/>
    <x v="2"/>
  </r>
  <r>
    <s v="T01220"/>
    <d v="2025-11-15T00:00:00"/>
    <s v="BR004"/>
    <s v="P013"/>
    <s v="C0092"/>
    <n v="2"/>
    <n v="0"/>
    <n v="22000"/>
    <x v="3"/>
    <n v="44000"/>
    <x v="0"/>
  </r>
  <r>
    <s v="T01162"/>
    <d v="2025-01-06T00:00:00"/>
    <s v="BR003"/>
    <s v="P025"/>
    <s v="C0056"/>
    <n v="1"/>
    <n v="0"/>
    <n v="175000"/>
    <x v="0"/>
    <n v="175000"/>
    <x v="2"/>
  </r>
  <r>
    <s v="T00495"/>
    <d v="2025-01-17T00:00:00"/>
    <s v="BR001"/>
    <s v="P020"/>
    <s v="C0135"/>
    <n v="1"/>
    <n v="0"/>
    <n v="8500"/>
    <x v="2"/>
    <n v="8500"/>
    <x v="3"/>
  </r>
  <r>
    <s v="T00773"/>
    <d v="2025-06-04T00:00:00"/>
    <s v="BR001"/>
    <s v="P017"/>
    <s v="C0153"/>
    <n v="1"/>
    <n v="0"/>
    <n v="24000"/>
    <x v="2"/>
    <n v="24000"/>
    <x v="0"/>
  </r>
  <r>
    <s v="T00551"/>
    <d v="2025-12-28T00:00:00"/>
    <s v="BR001"/>
    <s v="P008"/>
    <s v="C0209"/>
    <n v="2"/>
    <n v="0"/>
    <n v="410000"/>
    <x v="2"/>
    <n v="820000"/>
    <x v="0"/>
  </r>
  <r>
    <s v="T00202"/>
    <d v="2025-01-23T00:00:00"/>
    <s v="BR002"/>
    <s v="P019"/>
    <s v="C0202"/>
    <n v="1"/>
    <n v="15"/>
    <n v="21000"/>
    <x v="1"/>
    <n v="17850"/>
    <x v="3"/>
  </r>
  <r>
    <s v="T00313"/>
    <d v="2025-11-10T00:00:00"/>
    <s v="BR004"/>
    <s v="P012"/>
    <s v="C0187"/>
    <n v="1"/>
    <n v="10"/>
    <n v="28000"/>
    <x v="3"/>
    <n v="25200"/>
    <x v="0"/>
  </r>
  <r>
    <s v="T00291"/>
    <d v="2025-11-22T00:00:00"/>
    <s v="BR001"/>
    <s v="P022"/>
    <s v="C0100"/>
    <n v="1"/>
    <n v="10"/>
    <n v="5200"/>
    <x v="2"/>
    <n v="4680"/>
    <x v="3"/>
  </r>
  <r>
    <s v="T01214"/>
    <d v="2025-07-21T00:00:00"/>
    <s v="BR001"/>
    <s v="P004"/>
    <s v="C0108"/>
    <n v="1"/>
    <n v="5"/>
    <n v="38000"/>
    <x v="2"/>
    <n v="36100"/>
    <x v="1"/>
  </r>
  <r>
    <s v="T00764"/>
    <d v="2025-11-12T00:00:00"/>
    <s v="BR001"/>
    <s v="P022"/>
    <s v="C0075"/>
    <n v="1"/>
    <n v="5"/>
    <n v="5200"/>
    <x v="2"/>
    <n v="4940"/>
    <x v="3"/>
  </r>
  <r>
    <s v="T01137"/>
    <d v="2025-06-26T00:00:00"/>
    <s v="BR001"/>
    <s v="P010"/>
    <s v="C0169"/>
    <n v="2"/>
    <n v="0"/>
    <n v="62000"/>
    <x v="2"/>
    <n v="124000"/>
    <x v="0"/>
  </r>
  <r>
    <s v="T00950"/>
    <d v="2025-05-10T00:00:00"/>
    <s v="BR003"/>
    <s v="P009"/>
    <s v="C0050"/>
    <n v="3"/>
    <n v="0"/>
    <n v="265000"/>
    <x v="0"/>
    <n v="795000"/>
    <x v="0"/>
  </r>
  <r>
    <s v="T00184"/>
    <d v="2025-08-16T00:00:00"/>
    <s v="BR004"/>
    <s v="P004"/>
    <s v="C0155"/>
    <n v="1"/>
    <n v="0"/>
    <n v="38000"/>
    <x v="3"/>
    <n v="38000"/>
    <x v="1"/>
  </r>
  <r>
    <s v="T01177"/>
    <d v="2025-12-28T00:00:00"/>
    <s v="BR001"/>
    <s v="P010"/>
    <s v="C0104"/>
    <n v="1"/>
    <n v="0"/>
    <n v="62000"/>
    <x v="2"/>
    <n v="62000"/>
    <x v="0"/>
  </r>
  <r>
    <s v="T01350"/>
    <d v="2025-04-01T00:00:00"/>
    <s v="BR002"/>
    <s v="P019"/>
    <s v="C0021"/>
    <n v="1"/>
    <n v="0"/>
    <n v="21000"/>
    <x v="1"/>
    <n v="21000"/>
    <x v="3"/>
  </r>
  <r>
    <s v="T01069"/>
    <d v="2025-04-12T00:00:00"/>
    <s v="BR001"/>
    <s v="P007"/>
    <s v="C0012"/>
    <n v="5"/>
    <n v="0"/>
    <n v="145000"/>
    <x v="2"/>
    <n v="725000"/>
    <x v="1"/>
  </r>
  <r>
    <s v="T01031"/>
    <d v="2025-11-20T00:00:00"/>
    <s v="BR004"/>
    <s v="P021"/>
    <s v="C0116"/>
    <n v="1"/>
    <n v="0"/>
    <n v="6500"/>
    <x v="3"/>
    <n v="6500"/>
    <x v="3"/>
  </r>
  <r>
    <s v="T00251"/>
    <d v="2025-08-16T00:00:00"/>
    <s v="BR001"/>
    <s v="P016"/>
    <s v="C0196"/>
    <n v="2"/>
    <n v="15"/>
    <n v="19500"/>
    <x v="2"/>
    <n v="33150"/>
    <x v="0"/>
  </r>
  <r>
    <s v="T00824"/>
    <d v="2025-05-17T00:00:00"/>
    <s v="BR004"/>
    <s v="P013"/>
    <s v="C0220"/>
    <n v="1"/>
    <n v="0"/>
    <n v="22000"/>
    <x v="3"/>
    <n v="22000"/>
    <x v="0"/>
  </r>
  <r>
    <s v="T01100"/>
    <d v="2025-04-20T00:00:00"/>
    <s v="BR001"/>
    <s v="P006"/>
    <s v="C0147"/>
    <n v="1"/>
    <n v="0"/>
    <n v="78000"/>
    <x v="2"/>
    <n v="78000"/>
    <x v="1"/>
  </r>
  <r>
    <s v="T00941"/>
    <d v="2025-08-27T00:00:00"/>
    <s v="BR001"/>
    <s v="P011"/>
    <s v="C0047"/>
    <n v="1"/>
    <n v="0"/>
    <n v="74000"/>
    <x v="2"/>
    <n v="74000"/>
    <x v="0"/>
  </r>
  <r>
    <s v="T00392"/>
    <d v="2025-06-18T00:00:00"/>
    <s v="BR003"/>
    <s v="P011"/>
    <s v="C0219"/>
    <n v="1"/>
    <n v="0"/>
    <n v="74000"/>
    <x v="0"/>
    <n v="74000"/>
    <x v="0"/>
  </r>
  <r>
    <s v="T01093"/>
    <d v="2025-01-04T00:00:00"/>
    <s v="BR001"/>
    <s v="P014"/>
    <s v="C0044"/>
    <n v="1"/>
    <n v="0"/>
    <n v="285000"/>
    <x v="2"/>
    <n v="285000"/>
    <x v="0"/>
  </r>
  <r>
    <s v="T01192"/>
    <d v="2025-12-06T00:00:00"/>
    <s v="BR002"/>
    <s v="P021"/>
    <s v="C0134"/>
    <n v="1"/>
    <n v="10"/>
    <n v="6500"/>
    <x v="1"/>
    <n v="5850"/>
    <x v="3"/>
  </r>
  <r>
    <s v="T00905"/>
    <d v="2025-11-23T00:00:00"/>
    <s v="BR003"/>
    <s v="P013"/>
    <s v="C0167"/>
    <n v="1"/>
    <n v="15"/>
    <n v="22000"/>
    <x v="0"/>
    <n v="18700"/>
    <x v="0"/>
  </r>
  <r>
    <s v="T00731"/>
    <d v="2025-08-21T00:00:00"/>
    <s v="BR002"/>
    <s v="P018"/>
    <s v="C0037"/>
    <n v="1"/>
    <n v="10"/>
    <n v="18000"/>
    <x v="1"/>
    <n v="16200"/>
    <x v="3"/>
  </r>
  <r>
    <s v="T00555"/>
    <d v="2025-01-25T00:00:00"/>
    <s v="BR001"/>
    <s v="P021"/>
    <s v="C0098"/>
    <n v="1"/>
    <n v="10"/>
    <n v="6500"/>
    <x v="2"/>
    <n v="5850"/>
    <x v="3"/>
  </r>
  <r>
    <s v="T00367"/>
    <d v="2025-06-20T00:00:00"/>
    <s v="BR002"/>
    <s v="P012"/>
    <s v="C0196"/>
    <n v="1"/>
    <n v="0"/>
    <n v="28000"/>
    <x v="1"/>
    <n v="28000"/>
    <x v="0"/>
  </r>
  <r>
    <s v="T00346"/>
    <d v="2025-09-13T00:00:00"/>
    <s v="BR002"/>
    <s v="P016"/>
    <s v="C0092"/>
    <n v="1"/>
    <n v="0"/>
    <n v="19500"/>
    <x v="1"/>
    <n v="19500"/>
    <x v="0"/>
  </r>
  <r>
    <s v="T00536"/>
    <d v="2025-12-14T00:00:00"/>
    <s v="BR001"/>
    <s v="P016"/>
    <s v="C0056"/>
    <n v="1"/>
    <n v="10"/>
    <n v="19500"/>
    <x v="2"/>
    <n v="17550"/>
    <x v="0"/>
  </r>
  <r>
    <s v="T01210"/>
    <d v="2025-11-01T00:00:00"/>
    <s v="BR001"/>
    <s v="P016"/>
    <s v="C0215"/>
    <n v="2"/>
    <n v="5"/>
    <n v="19500"/>
    <x v="2"/>
    <n v="37050"/>
    <x v="0"/>
  </r>
  <r>
    <s v="T01373"/>
    <d v="2025-07-23T00:00:00"/>
    <s v="BR003"/>
    <s v="P010"/>
    <s v="C0060"/>
    <n v="2"/>
    <n v="0"/>
    <n v="62000"/>
    <x v="0"/>
    <n v="124000"/>
    <x v="0"/>
  </r>
  <r>
    <s v="T00920"/>
    <d v="2025-02-20T00:00:00"/>
    <s v="BR004"/>
    <s v="P018"/>
    <s v="C0206"/>
    <n v="2"/>
    <n v="0"/>
    <n v="18000"/>
    <x v="3"/>
    <n v="36000"/>
    <x v="3"/>
  </r>
  <r>
    <s v="T00212"/>
    <d v="2025-02-23T00:00:00"/>
    <s v="BR001"/>
    <s v="P005"/>
    <s v="C0153"/>
    <n v="2"/>
    <n v="5"/>
    <n v="95000"/>
    <x v="2"/>
    <n v="180500"/>
    <x v="1"/>
  </r>
  <r>
    <s v="T00503"/>
    <d v="2025-07-25T00:00:00"/>
    <s v="BR002"/>
    <s v="P002"/>
    <s v="C0165"/>
    <n v="1"/>
    <n v="0"/>
    <n v="320000"/>
    <x v="1"/>
    <n v="320000"/>
    <x v="1"/>
  </r>
  <r>
    <s v="T00538"/>
    <d v="2025-10-22T00:00:00"/>
    <s v="BR001"/>
    <s v="P002"/>
    <s v="C0003"/>
    <n v="1"/>
    <n v="0"/>
    <n v="320000"/>
    <x v="2"/>
    <n v="320000"/>
    <x v="1"/>
  </r>
  <r>
    <s v="T01221"/>
    <d v="2025-11-23T00:00:00"/>
    <s v="BR001"/>
    <s v="P021"/>
    <s v="C0055"/>
    <n v="1"/>
    <n v="0"/>
    <n v="6500"/>
    <x v="2"/>
    <n v="6500"/>
    <x v="3"/>
  </r>
  <r>
    <s v="T00176"/>
    <d v="2025-11-24T00:00:00"/>
    <s v="BR003"/>
    <s v="P006"/>
    <s v="C0070"/>
    <n v="1"/>
    <n v="0"/>
    <n v="78000"/>
    <x v="0"/>
    <n v="7800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408">
  <r>
    <s v="T01320"/>
    <d v="2025-11-11T00:00:00"/>
    <s v="BR003"/>
    <s v="P008"/>
    <s v="C0059"/>
    <n v="1"/>
    <n v="25"/>
    <n v="410000"/>
    <s v="Naija Mart GRA"/>
    <n v="307500"/>
    <s v="Home Appliances"/>
    <x v="0"/>
  </r>
  <r>
    <s v="T00314"/>
    <d v="2025-02-04T00:00:00"/>
    <s v="BR002"/>
    <s v="P017"/>
    <s v="C0133"/>
    <n v="1"/>
    <n v="0"/>
    <n v="24000"/>
    <s v="Naija Mart Wuse"/>
    <n v="24000"/>
    <s v="Home Appliances"/>
    <x v="1"/>
  </r>
  <r>
    <s v="T00242"/>
    <d v="2025-11-22T00:00:00"/>
    <s v="BR001"/>
    <s v="P013"/>
    <s v="C0040"/>
    <n v="2"/>
    <n v="0"/>
    <n v="22000"/>
    <s v="Naija Mart Ikeja"/>
    <n v="44000"/>
    <s v="Home Appliances"/>
    <x v="0"/>
  </r>
  <r>
    <s v="T00362"/>
    <d v="2025-09-27T00:00:00"/>
    <s v="BR002"/>
    <s v="P004"/>
    <s v="C0078"/>
    <n v="1"/>
    <n v="0"/>
    <n v="38000"/>
    <s v="Naija Mart Wuse"/>
    <n v="38000"/>
    <s v="Electronics"/>
    <x v="2"/>
  </r>
  <r>
    <s v="T01236"/>
    <d v="2025-05-04T00:00:00"/>
    <s v="BR001"/>
    <s v="P016"/>
    <s v="C0024"/>
    <n v="2"/>
    <n v="0"/>
    <n v="19500"/>
    <s v="Naija Mart Ikeja"/>
    <n v="39000"/>
    <s v="Home Appliances"/>
    <x v="3"/>
  </r>
  <r>
    <s v="T01198"/>
    <d v="2025-02-05T00:00:00"/>
    <s v="BR002"/>
    <s v="P007"/>
    <s v="C0200"/>
    <n v="1"/>
    <n v="0"/>
    <n v="145000"/>
    <s v="Naija Mart Wuse"/>
    <n v="145000"/>
    <s v="Electronics"/>
    <x v="1"/>
  </r>
  <r>
    <s v="T00147"/>
    <d v="2025-05-25T00:00:00"/>
    <s v="BR002"/>
    <s v="P007"/>
    <s v="C0171"/>
    <n v="2"/>
    <n v="0"/>
    <n v="145000"/>
    <s v="Naija Mart Wuse"/>
    <n v="290000"/>
    <s v="Electronics"/>
    <x v="3"/>
  </r>
  <r>
    <s v="T00180"/>
    <d v="2025-12-13T00:00:00"/>
    <s v="BR003"/>
    <s v="P007"/>
    <s v="C0143"/>
    <n v="2"/>
    <n v="10"/>
    <n v="145000"/>
    <s v="Naija Mart GRA"/>
    <n v="261000"/>
    <s v="Electronics"/>
    <x v="4"/>
  </r>
  <r>
    <s v="T00112"/>
    <d v="2025-04-12T00:00:00"/>
    <s v="BR003"/>
    <s v="P024"/>
    <s v="C0080"/>
    <n v="2"/>
    <n v="0"/>
    <n v="245000"/>
    <s v="Naija Mart GRA"/>
    <n v="490000"/>
    <s v="Generators &amp; Power"/>
    <x v="5"/>
  </r>
  <r>
    <s v="T01260"/>
    <d v="2025-09-16T00:00:00"/>
    <s v="BR004"/>
    <s v="P020"/>
    <s v="C0085"/>
    <n v="2"/>
    <n v="10"/>
    <n v="8500"/>
    <s v="Naija Mart Sabon Gari"/>
    <n v="15300"/>
    <s v="Small Gadgets"/>
    <x v="2"/>
  </r>
  <r>
    <s v="T00934"/>
    <d v="2025-08-12T00:00:00"/>
    <s v="BR002"/>
    <s v="P023"/>
    <s v="C0013"/>
    <n v="1"/>
    <n v="25"/>
    <n v="195000"/>
    <s v="Naija Mart Wuse"/>
    <n v="146250"/>
    <s v="Generators &amp; Power"/>
    <x v="6"/>
  </r>
  <r>
    <s v="T01309"/>
    <d v="2025-12-11T00:00:00"/>
    <s v="BR001"/>
    <s v="P011"/>
    <s v="C0007"/>
    <n v="1"/>
    <n v="5"/>
    <n v="74000"/>
    <s v="Naija Mart Ikeja"/>
    <n v="70300"/>
    <s v="Home Appliances"/>
    <x v="4"/>
  </r>
  <r>
    <s v="T00784"/>
    <d v="2025-12-19T00:00:00"/>
    <s v="BR001"/>
    <s v="P010"/>
    <s v="C0192"/>
    <n v="1"/>
    <n v="30"/>
    <n v="62000"/>
    <s v="Naija Mart Ikeja"/>
    <n v="43400"/>
    <s v="Home Appliances"/>
    <x v="4"/>
  </r>
  <r>
    <s v="T01079"/>
    <d v="2025-03-08T00:00:00"/>
    <s v="BR004"/>
    <s v="P012"/>
    <s v="C0013"/>
    <n v="1"/>
    <n v="25"/>
    <n v="28000"/>
    <s v="Naija Mart Sabon Gari"/>
    <n v="21000"/>
    <s v="Home Appliances"/>
    <x v="7"/>
  </r>
  <r>
    <s v="T01329"/>
    <d v="2025-08-13T00:00:00"/>
    <s v="BR002"/>
    <s v="P018"/>
    <s v="C0015"/>
    <n v="2"/>
    <n v="5"/>
    <n v="18000"/>
    <s v="Naija Mart Wuse"/>
    <n v="34200"/>
    <s v="Small Gadgets"/>
    <x v="6"/>
  </r>
  <r>
    <s v="T00464"/>
    <d v="2025-02-17T00:00:00"/>
    <s v="BR001"/>
    <s v="P018"/>
    <s v="C0187"/>
    <n v="2"/>
    <n v="0"/>
    <n v="18000"/>
    <s v="Naija Mart Ikeja"/>
    <n v="36000"/>
    <s v="Small Gadgets"/>
    <x v="1"/>
  </r>
  <r>
    <s v="T00018"/>
    <d v="2025-10-26T00:00:00"/>
    <s v="BR003"/>
    <s v="P014"/>
    <s v="C0060"/>
    <n v="1"/>
    <n v="0"/>
    <n v="285000"/>
    <s v="Naija Mart GRA"/>
    <n v="285000"/>
    <s v="Home Appliances"/>
    <x v="8"/>
  </r>
  <r>
    <s v="T00186"/>
    <d v="2025-12-05T00:00:00"/>
    <s v="BR001"/>
    <s v="P015"/>
    <s v="C0034"/>
    <n v="1"/>
    <n v="10"/>
    <n v="15000"/>
    <s v="Naija Mart Ikeja"/>
    <n v="13500"/>
    <s v="Home Appliances"/>
    <x v="4"/>
  </r>
  <r>
    <s v="T00663"/>
    <d v="2025-10-27T00:00:00"/>
    <s v="BR002"/>
    <s v="P010"/>
    <s v="C0141"/>
    <n v="2"/>
    <n v="0"/>
    <n v="62000"/>
    <s v="Naija Mart Wuse"/>
    <n v="124000"/>
    <s v="Home Appliances"/>
    <x v="8"/>
  </r>
  <r>
    <s v="T01083"/>
    <d v="2025-12-12T00:00:00"/>
    <s v="BR001"/>
    <s v="P025"/>
    <s v="C0165"/>
    <n v="1"/>
    <n v="25"/>
    <n v="175000"/>
    <s v="Naija Mart Ikeja"/>
    <n v="131250"/>
    <s v="Generators &amp; Power"/>
    <x v="4"/>
  </r>
  <r>
    <s v="T00142"/>
    <d v="2025-10-24T00:00:00"/>
    <s v="BR004"/>
    <s v="P015"/>
    <s v="C0111"/>
    <n v="1"/>
    <n v="0"/>
    <n v="15000"/>
    <s v="Naija Mart Sabon Gari"/>
    <n v="15000"/>
    <s v="Home Appliances"/>
    <x v="8"/>
  </r>
  <r>
    <s v="T01346"/>
    <d v="2025-12-19T00:00:00"/>
    <s v="BR003"/>
    <s v="P003"/>
    <s v="C0199"/>
    <n v="1"/>
    <n v="5"/>
    <n v="45000"/>
    <s v="Naija Mart GRA"/>
    <n v="42750"/>
    <s v="Electronics"/>
    <x v="4"/>
  </r>
  <r>
    <s v="T00395"/>
    <d v="2025-12-24T00:00:00"/>
    <s v="BR004"/>
    <s v="P023"/>
    <s v="C0099"/>
    <n v="1"/>
    <n v="10"/>
    <n v="195000"/>
    <s v="Naija Mart Sabon Gari"/>
    <n v="175500"/>
    <s v="Generators &amp; Power"/>
    <x v="4"/>
  </r>
  <r>
    <s v="T00264"/>
    <d v="2025-06-18T00:00:00"/>
    <s v="BR001"/>
    <s v="P007"/>
    <s v="C0130"/>
    <n v="1"/>
    <n v="0"/>
    <n v="145000"/>
    <s v="Naija Mart Ikeja"/>
    <n v="145000"/>
    <s v="Electronics"/>
    <x v="9"/>
  </r>
  <r>
    <s v="T00474"/>
    <d v="2025-02-11T00:00:00"/>
    <s v="BR001"/>
    <s v="P015"/>
    <s v="C0145"/>
    <n v="2"/>
    <n v="10"/>
    <n v="15000"/>
    <s v="Naija Mart Ikeja"/>
    <n v="27000"/>
    <s v="Home Appliances"/>
    <x v="1"/>
  </r>
  <r>
    <s v="T01377"/>
    <d v="2025-07-14T00:00:00"/>
    <s v="BR003"/>
    <s v="P025"/>
    <s v="C0118"/>
    <n v="1"/>
    <n v="5"/>
    <n v="175000"/>
    <s v="Naija Mart GRA"/>
    <n v="166250"/>
    <s v="Generators &amp; Power"/>
    <x v="10"/>
  </r>
  <r>
    <s v="T00977"/>
    <d v="2025-11-24T00:00:00"/>
    <s v="BR001"/>
    <s v="P009"/>
    <s v="C0170"/>
    <n v="1"/>
    <n v="15"/>
    <n v="265000"/>
    <s v="Naija Mart Ikeja"/>
    <n v="225250"/>
    <s v="Home Appliances"/>
    <x v="0"/>
  </r>
  <r>
    <s v="T00761"/>
    <d v="2025-08-20T00:00:00"/>
    <s v="BR003"/>
    <s v="P010"/>
    <s v="C0148"/>
    <n v="2"/>
    <n v="0"/>
    <n v="62000"/>
    <s v="Naija Mart GRA"/>
    <n v="124000"/>
    <s v="Home Appliances"/>
    <x v="6"/>
  </r>
  <r>
    <s v="T00883"/>
    <d v="2025-12-25T00:00:00"/>
    <s v="BR001"/>
    <s v="P025"/>
    <s v="C0174"/>
    <n v="1"/>
    <n v="0"/>
    <n v="175000"/>
    <s v="Naija Mart Ikeja"/>
    <n v="175000"/>
    <s v="Generators &amp; Power"/>
    <x v="4"/>
  </r>
  <r>
    <s v="T00926"/>
    <d v="2025-12-27T00:00:00"/>
    <s v="BR001"/>
    <s v="P007"/>
    <s v="C0047"/>
    <n v="1"/>
    <n v="0"/>
    <n v="145000"/>
    <s v="Naija Mart Ikeja"/>
    <n v="145000"/>
    <s v="Electronics"/>
    <x v="4"/>
  </r>
  <r>
    <s v="T00119"/>
    <d v="2025-01-12T00:00:00"/>
    <s v="BR001"/>
    <s v="P013"/>
    <s v="C0012"/>
    <n v="1"/>
    <n v="10"/>
    <n v="22000"/>
    <s v="Naija Mart Ikeja"/>
    <n v="19800"/>
    <s v="Home Appliances"/>
    <x v="11"/>
  </r>
  <r>
    <s v="T01389"/>
    <d v="2025-05-03T00:00:00"/>
    <s v="BR001"/>
    <s v="P022"/>
    <s v="C0046"/>
    <n v="1"/>
    <n v="0"/>
    <n v="5200"/>
    <s v="Naija Mart Ikeja"/>
    <n v="5200"/>
    <s v="Small Gadgets"/>
    <x v="3"/>
  </r>
  <r>
    <s v="T00502"/>
    <d v="2025-06-21T00:00:00"/>
    <s v="BR002"/>
    <s v="P002"/>
    <s v="C0002"/>
    <n v="1"/>
    <n v="5"/>
    <n v="320000"/>
    <s v="Naija Mart Wuse"/>
    <n v="304000"/>
    <s v="Electronics"/>
    <x v="9"/>
  </r>
  <r>
    <s v="T00432"/>
    <d v="2025-11-06T00:00:00"/>
    <s v="BR001"/>
    <s v="P019"/>
    <s v="C0042"/>
    <n v="1"/>
    <n v="25"/>
    <n v="21000"/>
    <s v="Naija Mart Ikeja"/>
    <n v="15750"/>
    <s v="Small Gadgets"/>
    <x v="0"/>
  </r>
  <r>
    <s v="T00512"/>
    <d v="2025-06-14T00:00:00"/>
    <s v="BR002"/>
    <s v="P025"/>
    <s v="C0197"/>
    <n v="1"/>
    <n v="0"/>
    <n v="175000"/>
    <s v="Naija Mart Wuse"/>
    <n v="175000"/>
    <s v="Generators &amp; Power"/>
    <x v="9"/>
  </r>
  <r>
    <s v="T00685"/>
    <d v="2025-09-21T00:00:00"/>
    <s v="BR002"/>
    <s v="P015"/>
    <s v="C0173"/>
    <n v="1"/>
    <n v="0"/>
    <n v="15000"/>
    <s v="Naija Mart Wuse"/>
    <n v="15000"/>
    <s v="Home Appliances"/>
    <x v="2"/>
  </r>
  <r>
    <s v="T00494"/>
    <d v="2025-10-15T00:00:00"/>
    <s v="BR001"/>
    <s v="P007"/>
    <s v="C0153"/>
    <n v="1"/>
    <n v="5"/>
    <n v="145000"/>
    <s v="Naija Mart Ikeja"/>
    <n v="137750"/>
    <s v="Electronics"/>
    <x v="8"/>
  </r>
  <r>
    <s v="T00751"/>
    <d v="2025-03-08T00:00:00"/>
    <s v="BR001"/>
    <s v="P004"/>
    <s v="C0061"/>
    <n v="2"/>
    <n v="0"/>
    <n v="38000"/>
    <s v="Naija Mart Ikeja"/>
    <n v="76000"/>
    <s v="Electronics"/>
    <x v="7"/>
  </r>
  <r>
    <s v="T00102"/>
    <d v="2025-01-15T00:00:00"/>
    <s v="BR001"/>
    <s v="P012"/>
    <s v="C0211"/>
    <n v="1"/>
    <n v="5"/>
    <n v="28000"/>
    <s v="Naija Mart Ikeja"/>
    <n v="26600"/>
    <s v="Home Appliances"/>
    <x v="11"/>
  </r>
  <r>
    <s v="T01138"/>
    <d v="2025-05-18T00:00:00"/>
    <s v="BR001"/>
    <s v="P024"/>
    <s v="C0095"/>
    <n v="1"/>
    <n v="5"/>
    <n v="245000"/>
    <s v="Naija Mart Ikeja"/>
    <n v="232750"/>
    <s v="Generators &amp; Power"/>
    <x v="3"/>
  </r>
  <r>
    <s v="T00373"/>
    <d v="2025-11-15T00:00:00"/>
    <s v="BR001"/>
    <s v="P008"/>
    <s v="C0193"/>
    <n v="1"/>
    <n v="10"/>
    <n v="410000"/>
    <s v="Naija Mart Ikeja"/>
    <n v="369000"/>
    <s v="Home Appliances"/>
    <x v="0"/>
  </r>
  <r>
    <s v="T00014"/>
    <d v="2025-02-26T00:00:00"/>
    <s v="BR003"/>
    <s v="P016"/>
    <s v="C0106"/>
    <n v="1"/>
    <n v="15"/>
    <n v="19500"/>
    <s v="Naija Mart GRA"/>
    <n v="16575"/>
    <s v="Home Appliances"/>
    <x v="1"/>
  </r>
  <r>
    <s v="T01352"/>
    <d v="2025-09-16T00:00:00"/>
    <s v="BR004"/>
    <s v="P016"/>
    <s v="C0154"/>
    <n v="2"/>
    <n v="0"/>
    <n v="19500"/>
    <s v="Naija Mart Sabon Gari"/>
    <n v="39000"/>
    <s v="Home Appliances"/>
    <x v="2"/>
  </r>
  <r>
    <s v="T01104"/>
    <d v="2025-07-09T00:00:00"/>
    <s v="BR001"/>
    <s v="P009"/>
    <s v="C0036"/>
    <n v="1"/>
    <n v="20"/>
    <n v="265000"/>
    <s v="Naija Mart Ikeja"/>
    <n v="212000"/>
    <s v="Home Appliances"/>
    <x v="10"/>
  </r>
  <r>
    <s v="T00114"/>
    <d v="2025-11-26T00:00:00"/>
    <s v="BR003"/>
    <s v="P023"/>
    <s v="C0009"/>
    <n v="1"/>
    <n v="0"/>
    <n v="195000"/>
    <s v="Naija Mart GRA"/>
    <n v="195000"/>
    <s v="Generators &amp; Power"/>
    <x v="0"/>
  </r>
  <r>
    <s v="T01157"/>
    <d v="2025-12-12T00:00:00"/>
    <s v="BR003"/>
    <s v="P010"/>
    <s v="C0109"/>
    <n v="1"/>
    <n v="0"/>
    <n v="62000"/>
    <s v="Naija Mart GRA"/>
    <n v="62000"/>
    <s v="Home Appliances"/>
    <x v="4"/>
  </r>
  <r>
    <s v="T00431"/>
    <d v="2025-11-27T00:00:00"/>
    <s v="BR003"/>
    <s v="P011"/>
    <s v="C0182"/>
    <n v="2"/>
    <n v="0"/>
    <n v="74000"/>
    <s v="Naija Mart GRA"/>
    <n v="148000"/>
    <s v="Home Appliances"/>
    <x v="0"/>
  </r>
  <r>
    <s v="T00035"/>
    <d v="2025-10-05T00:00:00"/>
    <s v="BR002"/>
    <s v="P001"/>
    <s v="C0105"/>
    <n v="1"/>
    <n v="5"/>
    <n v="185000"/>
    <s v="Naija Mart Wuse"/>
    <n v="175750"/>
    <s v="Electronics"/>
    <x v="8"/>
  </r>
  <r>
    <s v="T00099"/>
    <d v="2025-12-17T00:00:00"/>
    <s v="BR004"/>
    <s v="P015"/>
    <s v="C0162"/>
    <n v="1"/>
    <n v="5"/>
    <n v="15000"/>
    <s v="Naija Mart Sabon Gari"/>
    <n v="14250"/>
    <s v="Home Appliances"/>
    <x v="4"/>
  </r>
  <r>
    <s v="T01040"/>
    <d v="2025-12-20T00:00:00"/>
    <s v="BR003"/>
    <s v="P002"/>
    <s v="C0199"/>
    <n v="1"/>
    <n v="20"/>
    <n v="320000"/>
    <s v="Naija Mart GRA"/>
    <n v="256000"/>
    <s v="Electronics"/>
    <x v="4"/>
  </r>
  <r>
    <s v="T00641"/>
    <d v="2025-12-12T00:00:00"/>
    <s v="BR002"/>
    <s v="P017"/>
    <s v="C0085"/>
    <n v="1"/>
    <n v="0"/>
    <n v="24000"/>
    <s v="Naija Mart Wuse"/>
    <n v="24000"/>
    <s v="Home Appliances"/>
    <x v="4"/>
  </r>
  <r>
    <s v="T00064"/>
    <d v="2025-07-15T00:00:00"/>
    <s v="BR001"/>
    <s v="P012"/>
    <s v="C0099"/>
    <n v="5"/>
    <n v="0"/>
    <n v="28000"/>
    <s v="Naija Mart Ikeja"/>
    <n v="140000"/>
    <s v="Home Appliances"/>
    <x v="10"/>
  </r>
  <r>
    <s v="T00398"/>
    <d v="2025-03-27T00:00:00"/>
    <s v="BR002"/>
    <s v="P017"/>
    <s v="C0116"/>
    <n v="5"/>
    <n v="5"/>
    <n v="24000"/>
    <s v="Naija Mart Wuse"/>
    <n v="114000"/>
    <s v="Home Appliances"/>
    <x v="7"/>
  </r>
  <r>
    <s v="T01333"/>
    <d v="2025-10-11T00:00:00"/>
    <s v="BR004"/>
    <s v="P011"/>
    <s v="C0079"/>
    <n v="1"/>
    <n v="30"/>
    <n v="74000"/>
    <s v="Naija Mart Sabon Gari"/>
    <n v="51800"/>
    <s v="Home Appliances"/>
    <x v="8"/>
  </r>
  <r>
    <s v="T00870"/>
    <d v="2025-11-28T00:00:00"/>
    <s v="BR002"/>
    <s v="P011"/>
    <s v="C0055"/>
    <n v="1"/>
    <n v="10"/>
    <n v="74000"/>
    <s v="Naija Mart Wuse"/>
    <n v="66600"/>
    <s v="Home Appliances"/>
    <x v="0"/>
  </r>
  <r>
    <s v="T00657"/>
    <d v="2025-09-13T00:00:00"/>
    <s v="BR001"/>
    <s v="P011"/>
    <s v="C0095"/>
    <n v="2"/>
    <n v="10"/>
    <n v="74000"/>
    <s v="Naija Mart Ikeja"/>
    <n v="133200"/>
    <s v="Home Appliances"/>
    <x v="2"/>
  </r>
  <r>
    <s v="T00537"/>
    <d v="2025-10-28T00:00:00"/>
    <s v="BR001"/>
    <s v="P009"/>
    <s v="C0112"/>
    <n v="2"/>
    <n v="10"/>
    <n v="265000"/>
    <s v="Naija Mart Ikeja"/>
    <n v="477000"/>
    <s v="Home Appliances"/>
    <x v="8"/>
  </r>
  <r>
    <s v="T01048"/>
    <d v="2025-12-20T00:00:00"/>
    <s v="BR001"/>
    <s v="P012"/>
    <s v="C0161"/>
    <n v="1"/>
    <n v="5"/>
    <n v="28000"/>
    <s v="Naija Mart Ikeja"/>
    <n v="26600"/>
    <s v="Home Appliances"/>
    <x v="4"/>
  </r>
  <r>
    <s v="T00708"/>
    <d v="2025-01-21T00:00:00"/>
    <s v="BR004"/>
    <s v="P024"/>
    <s v="C0067"/>
    <n v="2"/>
    <n v="20"/>
    <n v="245000"/>
    <s v="Naija Mart Sabon Gari"/>
    <n v="392000"/>
    <s v="Generators &amp; Power"/>
    <x v="11"/>
  </r>
  <r>
    <s v="T00818"/>
    <d v="2025-05-07T00:00:00"/>
    <s v="BR002"/>
    <s v="P011"/>
    <s v="C0202"/>
    <n v="1"/>
    <n v="15"/>
    <n v="74000"/>
    <s v="Naija Mart Wuse"/>
    <n v="62900"/>
    <s v="Home Appliances"/>
    <x v="3"/>
  </r>
  <r>
    <s v="T00260"/>
    <d v="2025-01-26T00:00:00"/>
    <s v="BR001"/>
    <s v="P021"/>
    <s v="C0083"/>
    <n v="1"/>
    <n v="0"/>
    <n v="6500"/>
    <s v="Naija Mart Ikeja"/>
    <n v="6500"/>
    <s v="Small Gadgets"/>
    <x v="11"/>
  </r>
  <r>
    <s v="T00111"/>
    <d v="2025-06-16T00:00:00"/>
    <s v="BR002"/>
    <s v="P023"/>
    <s v="C0080"/>
    <n v="1"/>
    <n v="0"/>
    <n v="195000"/>
    <s v="Naija Mart Wuse"/>
    <n v="195000"/>
    <s v="Generators &amp; Power"/>
    <x v="9"/>
  </r>
  <r>
    <s v="T01258"/>
    <d v="2025-11-03T00:00:00"/>
    <s v="BR002"/>
    <s v="P007"/>
    <s v="C0139"/>
    <n v="1"/>
    <n v="20"/>
    <n v="145000"/>
    <s v="Naija Mart Wuse"/>
    <n v="116000"/>
    <s v="Electronics"/>
    <x v="0"/>
  </r>
  <r>
    <s v="T00059"/>
    <d v="2025-04-25T00:00:00"/>
    <s v="BR002"/>
    <s v="P013"/>
    <s v="C0105"/>
    <n v="3"/>
    <n v="0"/>
    <n v="22000"/>
    <s v="Naija Mart Wuse"/>
    <n v="66000"/>
    <s v="Home Appliances"/>
    <x v="5"/>
  </r>
  <r>
    <s v="T00611"/>
    <d v="2025-03-22T00:00:00"/>
    <s v="BR001"/>
    <s v="P004"/>
    <s v="C0034"/>
    <n v="1"/>
    <n v="0"/>
    <n v="38000"/>
    <s v="Naija Mart Ikeja"/>
    <n v="38000"/>
    <s v="Electronics"/>
    <x v="7"/>
  </r>
  <r>
    <s v="T00448"/>
    <d v="2025-05-07T00:00:00"/>
    <s v="BR001"/>
    <s v="P011"/>
    <s v="C0129"/>
    <n v="2"/>
    <n v="0"/>
    <n v="74000"/>
    <s v="Naija Mart Ikeja"/>
    <n v="148000"/>
    <s v="Home Appliances"/>
    <x v="3"/>
  </r>
  <r>
    <s v="T00025"/>
    <d v="2025-09-06T00:00:00"/>
    <s v="BR004"/>
    <s v="P021"/>
    <s v="C0032"/>
    <n v="2"/>
    <n v="0"/>
    <n v="6500"/>
    <s v="Naija Mart Sabon Gari"/>
    <n v="13000"/>
    <s v="Small Gadgets"/>
    <x v="2"/>
  </r>
  <r>
    <s v="T00016"/>
    <d v="2025-03-19T00:00:00"/>
    <s v="BR004"/>
    <s v="P009"/>
    <s v="C0126"/>
    <n v="1"/>
    <n v="0"/>
    <n v="265000"/>
    <s v="Naija Mart Sabon Gari"/>
    <n v="265000"/>
    <s v="Home Appliances"/>
    <x v="7"/>
  </r>
  <r>
    <s v="T00173"/>
    <d v="2025-01-14T00:00:00"/>
    <s v="BR004"/>
    <s v="P020"/>
    <s v="C0063"/>
    <n v="1"/>
    <n v="25"/>
    <n v="8500"/>
    <s v="Naija Mart Sabon Gari"/>
    <n v="6375"/>
    <s v="Small Gadgets"/>
    <x v="11"/>
  </r>
  <r>
    <s v="T00325"/>
    <d v="2025-04-26T00:00:00"/>
    <s v="BR002"/>
    <s v="P017"/>
    <s v="C0213"/>
    <n v="1"/>
    <n v="0"/>
    <n v="24000"/>
    <s v="Naija Mart Wuse"/>
    <n v="24000"/>
    <s v="Home Appliances"/>
    <x v="5"/>
  </r>
  <r>
    <s v="T00301"/>
    <d v="2025-08-05T00:00:00"/>
    <s v="BR004"/>
    <s v="P004"/>
    <s v="C0011"/>
    <n v="1"/>
    <n v="0"/>
    <n v="38000"/>
    <s v="Naija Mart Sabon Gari"/>
    <n v="38000"/>
    <s v="Electronics"/>
    <x v="6"/>
  </r>
  <r>
    <s v="T00100"/>
    <d v="2025-11-20T00:00:00"/>
    <s v="BR002"/>
    <s v="P013"/>
    <s v="C0051"/>
    <n v="2"/>
    <n v="5"/>
    <n v="22000"/>
    <s v="Naija Mart Wuse"/>
    <n v="41800"/>
    <s v="Home Appliances"/>
    <x v="0"/>
  </r>
  <r>
    <s v="T00658"/>
    <d v="2025-01-04T00:00:00"/>
    <s v="BR003"/>
    <s v="P025"/>
    <s v="C0116"/>
    <n v="1"/>
    <n v="20"/>
    <n v="175000"/>
    <s v="Naija Mart GRA"/>
    <n v="140000"/>
    <s v="Generators &amp; Power"/>
    <x v="11"/>
  </r>
  <r>
    <s v="T00858"/>
    <d v="2025-09-15T00:00:00"/>
    <s v="BR001"/>
    <s v="P001"/>
    <s v="C0067"/>
    <n v="1"/>
    <n v="0"/>
    <n v="185000"/>
    <s v="Naija Mart Ikeja"/>
    <n v="185000"/>
    <s v="Electronics"/>
    <x v="2"/>
  </r>
  <r>
    <s v="T01248"/>
    <d v="2025-04-11T00:00:00"/>
    <s v="BR003"/>
    <s v="P004"/>
    <s v="C0024"/>
    <n v="1"/>
    <n v="25"/>
    <n v="38000"/>
    <s v="Naija Mart GRA"/>
    <n v="28500"/>
    <s v="Electronics"/>
    <x v="5"/>
  </r>
  <r>
    <s v="T01331"/>
    <d v="2025-05-24T00:00:00"/>
    <s v="BR004"/>
    <s v="P007"/>
    <s v="C0122"/>
    <n v="1"/>
    <n v="10"/>
    <n v="145000"/>
    <s v="Naija Mart Sabon Gari"/>
    <n v="130500"/>
    <s v="Electronics"/>
    <x v="3"/>
  </r>
  <r>
    <s v="T00674"/>
    <d v="2025-11-07T00:00:00"/>
    <s v="BR004"/>
    <s v="P015"/>
    <s v="C0150"/>
    <n v="5"/>
    <n v="0"/>
    <n v="15000"/>
    <s v="Naija Mart Sabon Gari"/>
    <n v="75000"/>
    <s v="Home Appliances"/>
    <x v="0"/>
  </r>
  <r>
    <s v="T01366"/>
    <d v="2025-02-13T00:00:00"/>
    <s v="BR003"/>
    <s v="P011"/>
    <s v="C0121"/>
    <n v="2"/>
    <n v="5"/>
    <n v="74000"/>
    <s v="Naija Mart GRA"/>
    <n v="140600"/>
    <s v="Home Appliances"/>
    <x v="1"/>
  </r>
  <r>
    <s v="T01111"/>
    <d v="2025-03-04T00:00:00"/>
    <s v="BR004"/>
    <s v="P001"/>
    <s v="C0149"/>
    <n v="1"/>
    <n v="0"/>
    <n v="185000"/>
    <s v="Naija Mart Sabon Gari"/>
    <n v="185000"/>
    <s v="Electronics"/>
    <x v="7"/>
  </r>
  <r>
    <s v="T01144"/>
    <d v="2025-11-24T00:00:00"/>
    <s v="BR001"/>
    <s v="P023"/>
    <s v="C0138"/>
    <n v="1"/>
    <n v="5"/>
    <n v="195000"/>
    <s v="Naija Mart Ikeja"/>
    <n v="185250"/>
    <s v="Generators &amp; Power"/>
    <x v="0"/>
  </r>
  <r>
    <s v="T00501"/>
    <d v="2025-02-21T00:00:00"/>
    <s v="BR003"/>
    <s v="P017"/>
    <s v="C0049"/>
    <n v="2"/>
    <n v="5"/>
    <n v="24000"/>
    <s v="Naija Mart GRA"/>
    <n v="45600"/>
    <s v="Home Appliances"/>
    <x v="1"/>
  </r>
  <r>
    <s v="T01050"/>
    <d v="2025-12-21T00:00:00"/>
    <s v="BR004"/>
    <s v="P022"/>
    <s v="C0016"/>
    <n v="1"/>
    <n v="0"/>
    <n v="5200"/>
    <s v="Naija Mart Sabon Gari"/>
    <n v="5200"/>
    <s v="Small Gadgets"/>
    <x v="4"/>
  </r>
  <r>
    <s v="T01087"/>
    <d v="2025-04-03T00:00:00"/>
    <s v="BR003"/>
    <s v="P009"/>
    <s v="C0079"/>
    <n v="1"/>
    <n v="5"/>
    <n v="265000"/>
    <s v="Naija Mart GRA"/>
    <n v="251750"/>
    <s v="Home Appliances"/>
    <x v="5"/>
  </r>
  <r>
    <s v="T00451"/>
    <d v="2025-11-19T00:00:00"/>
    <s v="BR001"/>
    <s v="P022"/>
    <s v="C0151"/>
    <n v="1"/>
    <n v="5"/>
    <n v="5200"/>
    <s v="Naija Mart Ikeja"/>
    <n v="4940"/>
    <s v="Small Gadgets"/>
    <x v="0"/>
  </r>
  <r>
    <s v="T00370"/>
    <d v="2025-12-21T00:00:00"/>
    <s v="BR003"/>
    <s v="P004"/>
    <s v="C0094"/>
    <n v="1"/>
    <n v="0"/>
    <n v="38000"/>
    <s v="Naija Mart GRA"/>
    <n v="38000"/>
    <s v="Electronics"/>
    <x v="4"/>
  </r>
  <r>
    <s v="T00639"/>
    <d v="2025-05-22T00:00:00"/>
    <s v="BR001"/>
    <s v="P010"/>
    <s v="C0193"/>
    <n v="1"/>
    <n v="5"/>
    <n v="62000"/>
    <s v="Naija Mart Ikeja"/>
    <n v="58900"/>
    <s v="Home Appliances"/>
    <x v="3"/>
  </r>
  <r>
    <s v="T00427"/>
    <d v="2025-02-27T00:00:00"/>
    <s v="BR001"/>
    <s v="P016"/>
    <s v="C0035"/>
    <n v="1"/>
    <n v="0"/>
    <n v="19500"/>
    <s v="Naija Mart Ikeja"/>
    <n v="19500"/>
    <s v="Home Appliances"/>
    <x v="1"/>
  </r>
  <r>
    <s v="T01110"/>
    <d v="2025-11-23T00:00:00"/>
    <s v="BR001"/>
    <s v="P023"/>
    <s v="C0095"/>
    <n v="1"/>
    <n v="5"/>
    <n v="195000"/>
    <s v="Naija Mart Ikeja"/>
    <n v="185250"/>
    <s v="Generators &amp; Power"/>
    <x v="0"/>
  </r>
  <r>
    <s v="T00940"/>
    <d v="2025-03-11T00:00:00"/>
    <s v="BR001"/>
    <s v="P006"/>
    <s v="C0110"/>
    <n v="1"/>
    <n v="5"/>
    <n v="78000"/>
    <s v="Naija Mart Ikeja"/>
    <n v="74100"/>
    <s v="Electronics"/>
    <x v="7"/>
  </r>
  <r>
    <s v="T01115"/>
    <d v="2025-11-08T00:00:00"/>
    <s v="BR002"/>
    <s v="P013"/>
    <s v="C0159"/>
    <n v="1"/>
    <n v="0"/>
    <n v="22000"/>
    <s v="Naija Mart Wuse"/>
    <n v="22000"/>
    <s v="Home Appliances"/>
    <x v="0"/>
  </r>
  <r>
    <s v="T00295"/>
    <d v="2025-10-16T00:00:00"/>
    <s v="BR002"/>
    <s v="P009"/>
    <s v="C0173"/>
    <n v="1"/>
    <n v="0"/>
    <n v="265000"/>
    <s v="Naija Mart Wuse"/>
    <n v="265000"/>
    <s v="Home Appliances"/>
    <x v="8"/>
  </r>
  <r>
    <s v="T00841"/>
    <d v="2025-02-22T00:00:00"/>
    <s v="BR002"/>
    <s v="P025"/>
    <s v="C0188"/>
    <n v="1"/>
    <n v="10"/>
    <n v="175000"/>
    <s v="Naija Mart Wuse"/>
    <n v="157500"/>
    <s v="Generators &amp; Power"/>
    <x v="1"/>
  </r>
  <r>
    <s v="T00894"/>
    <d v="2025-03-14T00:00:00"/>
    <s v="BR001"/>
    <s v="P004"/>
    <s v="C0056"/>
    <n v="5"/>
    <n v="0"/>
    <n v="38000"/>
    <s v="Naija Mart Ikeja"/>
    <n v="190000"/>
    <s v="Electronics"/>
    <x v="7"/>
  </r>
  <r>
    <s v="T00326"/>
    <d v="2025-02-18T00:00:00"/>
    <s v="BR004"/>
    <s v="P008"/>
    <s v="C0010"/>
    <n v="1"/>
    <n v="0"/>
    <n v="410000"/>
    <s v="Naija Mart Sabon Gari"/>
    <n v="410000"/>
    <s v="Home Appliances"/>
    <x v="1"/>
  </r>
  <r>
    <s v="T00800"/>
    <d v="2025-05-09T00:00:00"/>
    <s v="BR002"/>
    <s v="P002"/>
    <s v="C0089"/>
    <n v="5"/>
    <n v="25"/>
    <n v="320000"/>
    <s v="Naija Mart Wuse"/>
    <n v="1200000"/>
    <s v="Electronics"/>
    <x v="3"/>
  </r>
  <r>
    <s v="T00888"/>
    <d v="2025-04-14T00:00:00"/>
    <s v="BR002"/>
    <s v="P018"/>
    <s v="C0127"/>
    <n v="1"/>
    <n v="5"/>
    <n v="18000"/>
    <s v="Naija Mart Wuse"/>
    <n v="17100"/>
    <s v="Small Gadgets"/>
    <x v="5"/>
  </r>
  <r>
    <s v="T01016"/>
    <d v="2025-04-11T00:00:00"/>
    <s v="BR003"/>
    <s v="P024"/>
    <s v="C0041"/>
    <n v="1"/>
    <n v="20"/>
    <n v="245000"/>
    <s v="Naija Mart GRA"/>
    <n v="196000"/>
    <s v="Generators &amp; Power"/>
    <x v="5"/>
  </r>
  <r>
    <s v="T01139"/>
    <d v="2025-05-12T00:00:00"/>
    <s v="BR001"/>
    <s v="P002"/>
    <s v="C0090"/>
    <n v="2"/>
    <n v="15"/>
    <n v="320000"/>
    <s v="Naija Mart Ikeja"/>
    <n v="544000"/>
    <s v="Electronics"/>
    <x v="3"/>
  </r>
  <r>
    <s v="T01022"/>
    <d v="2025-01-16T00:00:00"/>
    <s v="BR002"/>
    <s v="P013"/>
    <s v="C0108"/>
    <n v="1"/>
    <n v="5"/>
    <n v="22000"/>
    <s v="Naija Mart Wuse"/>
    <n v="20900"/>
    <s v="Home Appliances"/>
    <x v="11"/>
  </r>
  <r>
    <s v="T01057"/>
    <d v="2025-06-05T00:00:00"/>
    <s v="BR003"/>
    <s v="P019"/>
    <s v="C0004"/>
    <n v="2"/>
    <n v="5"/>
    <n v="21000"/>
    <s v="Naija Mart GRA"/>
    <n v="39900"/>
    <s v="Small Gadgets"/>
    <x v="9"/>
  </r>
  <r>
    <s v="T00919"/>
    <d v="2025-01-15T00:00:00"/>
    <s v="BR002"/>
    <s v="P022"/>
    <s v="C0149"/>
    <n v="1"/>
    <n v="0"/>
    <n v="5200"/>
    <s v="Naija Mart Wuse"/>
    <n v="5200"/>
    <s v="Small Gadgets"/>
    <x v="11"/>
  </r>
  <r>
    <s v="T00052"/>
    <d v="2025-11-22T00:00:00"/>
    <s v="BR003"/>
    <s v="P013"/>
    <s v="C0046"/>
    <n v="1"/>
    <n v="10"/>
    <n v="22000"/>
    <s v="Naija Mart GRA"/>
    <n v="19800"/>
    <s v="Home Appliances"/>
    <x v="0"/>
  </r>
  <r>
    <s v="T00276"/>
    <d v="2025-02-13T00:00:00"/>
    <s v="BR004"/>
    <s v="P011"/>
    <s v="C0051"/>
    <n v="1"/>
    <n v="20"/>
    <n v="74000"/>
    <s v="Naija Mart Sabon Gari"/>
    <n v="59200"/>
    <s v="Home Appliances"/>
    <x v="1"/>
  </r>
  <r>
    <s v="T00709"/>
    <d v="2025-08-21T00:00:00"/>
    <s v="BR003"/>
    <s v="P017"/>
    <s v="C0062"/>
    <n v="1"/>
    <n v="0"/>
    <n v="24000"/>
    <s v="Naija Mart GRA"/>
    <n v="24000"/>
    <s v="Home Appliances"/>
    <x v="6"/>
  </r>
  <r>
    <s v="T00799"/>
    <d v="2025-09-27T00:00:00"/>
    <s v="BR003"/>
    <s v="P015"/>
    <s v="C0168"/>
    <n v="1"/>
    <n v="15"/>
    <n v="15000"/>
    <s v="Naija Mart GRA"/>
    <n v="12750"/>
    <s v="Home Appliances"/>
    <x v="2"/>
  </r>
  <r>
    <s v="T00416"/>
    <d v="2025-04-11T00:00:00"/>
    <s v="BR002"/>
    <s v="P007"/>
    <s v="C0204"/>
    <n v="2"/>
    <n v="5"/>
    <n v="145000"/>
    <s v="Naija Mart Wuse"/>
    <n v="275500"/>
    <s v="Electronics"/>
    <x v="5"/>
  </r>
  <r>
    <s v="T00447"/>
    <d v="2025-12-28T00:00:00"/>
    <s v="BR002"/>
    <s v="P021"/>
    <s v="C0194"/>
    <n v="1"/>
    <n v="0"/>
    <n v="6500"/>
    <s v="Naija Mart Wuse"/>
    <n v="6500"/>
    <s v="Small Gadgets"/>
    <x v="4"/>
  </r>
  <r>
    <s v="T00542"/>
    <d v="2025-10-03T00:00:00"/>
    <s v="BR002"/>
    <s v="P007"/>
    <s v="C0015"/>
    <n v="1"/>
    <n v="10"/>
    <n v="145000"/>
    <s v="Naija Mart Wuse"/>
    <n v="130500"/>
    <s v="Electronics"/>
    <x v="8"/>
  </r>
  <r>
    <s v="T00393"/>
    <d v="2025-04-14T00:00:00"/>
    <s v="BR002"/>
    <s v="P017"/>
    <s v="C0188"/>
    <n v="1"/>
    <n v="0"/>
    <n v="24000"/>
    <s v="Naija Mart Wuse"/>
    <n v="24000"/>
    <s v="Home Appliances"/>
    <x v="5"/>
  </r>
  <r>
    <s v="T00535"/>
    <d v="2025-12-22T00:00:00"/>
    <s v="BR003"/>
    <s v="P003"/>
    <s v="C0045"/>
    <n v="1"/>
    <n v="0"/>
    <n v="45000"/>
    <s v="Naija Mart GRA"/>
    <n v="45000"/>
    <s v="Electronics"/>
    <x v="4"/>
  </r>
  <r>
    <s v="T01219"/>
    <d v="2025-11-13T00:00:00"/>
    <s v="BR001"/>
    <s v="P003"/>
    <s v="C0034"/>
    <n v="3"/>
    <n v="15"/>
    <n v="45000"/>
    <s v="Naija Mart Ikeja"/>
    <n v="114750"/>
    <s v="Electronics"/>
    <x v="0"/>
  </r>
  <r>
    <s v="T00971"/>
    <d v="2025-08-24T00:00:00"/>
    <s v="BR003"/>
    <s v="P003"/>
    <s v="C0162"/>
    <n v="1"/>
    <n v="0"/>
    <n v="45000"/>
    <s v="Naija Mart GRA"/>
    <n v="45000"/>
    <s v="Electronics"/>
    <x v="6"/>
  </r>
  <r>
    <s v="T00752"/>
    <d v="2025-09-17T00:00:00"/>
    <s v="BR002"/>
    <s v="P015"/>
    <s v="C0039"/>
    <n v="2"/>
    <n v="0"/>
    <n v="15000"/>
    <s v="Naija Mart Wuse"/>
    <n v="30000"/>
    <s v="Home Appliances"/>
    <x v="2"/>
  </r>
  <r>
    <s v="T01159"/>
    <d v="2025-03-25T00:00:00"/>
    <s v="BR001"/>
    <s v="P017"/>
    <s v="C0132"/>
    <n v="1"/>
    <n v="5"/>
    <n v="24000"/>
    <s v="Naija Mart Ikeja"/>
    <n v="22800"/>
    <s v="Home Appliances"/>
    <x v="7"/>
  </r>
  <r>
    <s v="T01327"/>
    <d v="2025-11-09T00:00:00"/>
    <s v="BR003"/>
    <s v="P002"/>
    <s v="C0083"/>
    <n v="1"/>
    <n v="10"/>
    <n v="320000"/>
    <s v="Naija Mart GRA"/>
    <n v="288000"/>
    <s v="Electronics"/>
    <x v="0"/>
  </r>
  <r>
    <s v="T01204"/>
    <d v="2025-05-19T00:00:00"/>
    <s v="BR002"/>
    <s v="P004"/>
    <s v="C0186"/>
    <n v="1"/>
    <n v="0"/>
    <n v="38000"/>
    <s v="Naija Mart Wuse"/>
    <n v="38000"/>
    <s v="Electronics"/>
    <x v="3"/>
  </r>
  <r>
    <s v="T00607"/>
    <d v="2025-10-17T00:00:00"/>
    <s v="BR004"/>
    <s v="P021"/>
    <s v="C0220"/>
    <n v="1"/>
    <n v="0"/>
    <n v="6500"/>
    <s v="Naija Mart Sabon Gari"/>
    <n v="6500"/>
    <s v="Small Gadgets"/>
    <x v="8"/>
  </r>
  <r>
    <s v="T00187"/>
    <d v="2025-03-19T00:00:00"/>
    <s v="BR001"/>
    <s v="P013"/>
    <s v="C0055"/>
    <n v="1"/>
    <n v="0"/>
    <n v="22000"/>
    <s v="Naija Mart Ikeja"/>
    <n v="22000"/>
    <s v="Home Appliances"/>
    <x v="7"/>
  </r>
  <r>
    <s v="T00455"/>
    <d v="2025-05-06T00:00:00"/>
    <s v="BR001"/>
    <s v="P018"/>
    <s v="C0013"/>
    <n v="1"/>
    <n v="5"/>
    <n v="18000"/>
    <s v="Naija Mart Ikeja"/>
    <n v="17100"/>
    <s v="Small Gadgets"/>
    <x v="3"/>
  </r>
  <r>
    <s v="T01202"/>
    <d v="2025-02-11T00:00:00"/>
    <s v="BR002"/>
    <s v="P015"/>
    <s v="C0129"/>
    <n v="1"/>
    <n v="10"/>
    <n v="15000"/>
    <s v="Naija Mart Wuse"/>
    <n v="13500"/>
    <s v="Home Appliances"/>
    <x v="1"/>
  </r>
  <r>
    <s v="T00807"/>
    <d v="2025-10-22T00:00:00"/>
    <s v="BR001"/>
    <s v="P009"/>
    <s v="C0215"/>
    <n v="1"/>
    <n v="0"/>
    <n v="265000"/>
    <s v="Naija Mart Ikeja"/>
    <n v="265000"/>
    <s v="Home Appliances"/>
    <x v="8"/>
  </r>
  <r>
    <s v="T00211"/>
    <d v="2025-02-21T00:00:00"/>
    <s v="BR001"/>
    <s v="P008"/>
    <s v="C0153"/>
    <n v="2"/>
    <n v="0"/>
    <n v="410000"/>
    <s v="Naija Mart Ikeja"/>
    <n v="820000"/>
    <s v="Home Appliances"/>
    <x v="1"/>
  </r>
  <r>
    <s v="T00904"/>
    <d v="2025-09-27T00:00:00"/>
    <s v="BR001"/>
    <s v="P004"/>
    <s v="C0176"/>
    <n v="2"/>
    <n v="0"/>
    <n v="38000"/>
    <s v="Naija Mart Ikeja"/>
    <n v="76000"/>
    <s v="Electronics"/>
    <x v="2"/>
  </r>
  <r>
    <s v="T00281"/>
    <d v="2025-11-19T00:00:00"/>
    <s v="BR002"/>
    <s v="P025"/>
    <s v="C0055"/>
    <n v="5"/>
    <n v="5"/>
    <n v="175000"/>
    <s v="Naija Mart Wuse"/>
    <n v="831250"/>
    <s v="Generators &amp; Power"/>
    <x v="0"/>
  </r>
  <r>
    <s v="T00411"/>
    <d v="2025-12-12T00:00:00"/>
    <s v="BR001"/>
    <s v="P010"/>
    <s v="C0160"/>
    <n v="2"/>
    <n v="10"/>
    <n v="62000"/>
    <s v="Naija Mart Ikeja"/>
    <n v="111600"/>
    <s v="Home Appliances"/>
    <x v="4"/>
  </r>
  <r>
    <s v="T00021"/>
    <d v="2025-05-18T00:00:00"/>
    <s v="BR002"/>
    <s v="P005"/>
    <s v="C0036"/>
    <n v="3"/>
    <n v="10"/>
    <n v="95000"/>
    <s v="Naija Mart Wuse"/>
    <n v="256500"/>
    <s v="Electronics"/>
    <x v="3"/>
  </r>
  <r>
    <s v="T00047"/>
    <d v="2025-12-24T00:00:00"/>
    <s v="BR003"/>
    <s v="P001"/>
    <s v="C0010"/>
    <n v="2"/>
    <n v="5"/>
    <n v="185000"/>
    <s v="Naija Mart GRA"/>
    <n v="351500"/>
    <s v="Electronics"/>
    <x v="4"/>
  </r>
  <r>
    <s v="T00463"/>
    <d v="2025-03-15T00:00:00"/>
    <s v="BR001"/>
    <s v="P023"/>
    <s v="C0074"/>
    <n v="1"/>
    <n v="0"/>
    <n v="195000"/>
    <s v="Naija Mart Ikeja"/>
    <n v="195000"/>
    <s v="Generators &amp; Power"/>
    <x v="7"/>
  </r>
  <r>
    <s v="T00644"/>
    <d v="2025-02-05T00:00:00"/>
    <s v="BR003"/>
    <s v="P005"/>
    <s v="C0066"/>
    <n v="1"/>
    <n v="0"/>
    <n v="95000"/>
    <s v="Naija Mart GRA"/>
    <n v="95000"/>
    <s v="Electronics"/>
    <x v="1"/>
  </r>
  <r>
    <s v="T01348"/>
    <d v="2025-12-28T00:00:00"/>
    <s v="BR004"/>
    <s v="P001"/>
    <s v="C0210"/>
    <n v="2"/>
    <n v="15"/>
    <n v="185000"/>
    <s v="Naija Mart Sabon Gari"/>
    <n v="314500"/>
    <s v="Electronics"/>
    <x v="4"/>
  </r>
  <r>
    <s v="T00769"/>
    <d v="2025-03-21T00:00:00"/>
    <s v="BR001"/>
    <s v="P018"/>
    <s v="C0213"/>
    <n v="2"/>
    <n v="0"/>
    <n v="18000"/>
    <s v="Naija Mart Ikeja"/>
    <n v="36000"/>
    <s v="Small Gadgets"/>
    <x v="7"/>
  </r>
  <r>
    <s v="T01027"/>
    <d v="2025-07-26T00:00:00"/>
    <s v="BR002"/>
    <s v="P010"/>
    <s v="C0055"/>
    <n v="1"/>
    <n v="5"/>
    <n v="62000"/>
    <s v="Naija Mart Wuse"/>
    <n v="58900"/>
    <s v="Home Appliances"/>
    <x v="10"/>
  </r>
  <r>
    <s v="T00569"/>
    <d v="2025-01-10T00:00:00"/>
    <s v="BR002"/>
    <s v="P005"/>
    <s v="C0189"/>
    <n v="1"/>
    <n v="10"/>
    <n v="95000"/>
    <s v="Naija Mart Wuse"/>
    <n v="85500"/>
    <s v="Electronics"/>
    <x v="11"/>
  </r>
  <r>
    <s v="T00877"/>
    <d v="2025-08-28T00:00:00"/>
    <s v="BR001"/>
    <s v="P005"/>
    <s v="C0110"/>
    <n v="1"/>
    <n v="25"/>
    <n v="95000"/>
    <s v="Naija Mart Ikeja"/>
    <n v="71250"/>
    <s v="Electronics"/>
    <x v="6"/>
  </r>
  <r>
    <s v="T00796"/>
    <d v="2025-08-21T00:00:00"/>
    <s v="BR002"/>
    <s v="P019"/>
    <s v="C0202"/>
    <n v="2"/>
    <n v="5"/>
    <n v="21000"/>
    <s v="Naija Mart Wuse"/>
    <n v="39900"/>
    <s v="Small Gadgets"/>
    <x v="6"/>
  </r>
  <r>
    <s v="T00956"/>
    <d v="2025-03-07T00:00:00"/>
    <s v="BR003"/>
    <s v="P012"/>
    <s v="C0182"/>
    <n v="1"/>
    <n v="5"/>
    <n v="28000"/>
    <s v="Naija Mart GRA"/>
    <n v="26600"/>
    <s v="Home Appliances"/>
    <x v="7"/>
  </r>
  <r>
    <s v="T00789"/>
    <d v="2025-09-23T00:00:00"/>
    <s v="BR002"/>
    <s v="P020"/>
    <s v="C0052"/>
    <n v="1"/>
    <n v="0"/>
    <n v="8500"/>
    <s v="Naija Mart Wuse"/>
    <n v="8500"/>
    <s v="Small Gadgets"/>
    <x v="2"/>
  </r>
  <r>
    <s v="T00622"/>
    <d v="2025-10-01T00:00:00"/>
    <s v="BR003"/>
    <s v="P025"/>
    <s v="C0176"/>
    <n v="1"/>
    <n v="5"/>
    <n v="175000"/>
    <s v="Naija Mart GRA"/>
    <n v="166250"/>
    <s v="Generators &amp; Power"/>
    <x v="8"/>
  </r>
  <r>
    <s v="T00954"/>
    <d v="2025-12-14T00:00:00"/>
    <s v="BR001"/>
    <s v="P025"/>
    <s v="C0162"/>
    <n v="1"/>
    <n v="0"/>
    <n v="175000"/>
    <s v="Naija Mart Ikeja"/>
    <n v="175000"/>
    <s v="Generators &amp; Power"/>
    <x v="4"/>
  </r>
  <r>
    <s v="T01283"/>
    <d v="2025-12-28T00:00:00"/>
    <s v="BR003"/>
    <s v="P002"/>
    <s v="C0105"/>
    <n v="1"/>
    <n v="0"/>
    <n v="320000"/>
    <s v="Naija Mart GRA"/>
    <n v="320000"/>
    <s v="Electronics"/>
    <x v="4"/>
  </r>
  <r>
    <s v="T01247"/>
    <d v="2025-05-01T00:00:00"/>
    <s v="BR003"/>
    <s v="P022"/>
    <s v="C0072"/>
    <n v="2"/>
    <n v="25"/>
    <n v="5200"/>
    <s v="Naija Mart GRA"/>
    <n v="7800"/>
    <s v="Small Gadgets"/>
    <x v="3"/>
  </r>
  <r>
    <s v="T00129"/>
    <d v="2025-10-07T00:00:00"/>
    <s v="BR003"/>
    <s v="P025"/>
    <s v="C0174"/>
    <n v="1"/>
    <n v="0"/>
    <n v="175000"/>
    <s v="Naija Mart GRA"/>
    <n v="175000"/>
    <s v="Generators &amp; Power"/>
    <x v="8"/>
  </r>
  <r>
    <s v="T00896"/>
    <d v="2025-02-13T00:00:00"/>
    <s v="BR001"/>
    <s v="P005"/>
    <s v="C0171"/>
    <n v="1"/>
    <n v="5"/>
    <n v="95000"/>
    <s v="Naija Mart Ikeja"/>
    <n v="90250"/>
    <s v="Electronics"/>
    <x v="1"/>
  </r>
  <r>
    <s v="T01081"/>
    <d v="2025-05-07T00:00:00"/>
    <s v="BR002"/>
    <s v="P002"/>
    <s v="C0186"/>
    <n v="1"/>
    <n v="0"/>
    <n v="320000"/>
    <s v="Naija Mart Wuse"/>
    <n v="320000"/>
    <s v="Electronics"/>
    <x v="3"/>
  </r>
  <r>
    <s v="T00285"/>
    <d v="2025-01-03T00:00:00"/>
    <s v="BR001"/>
    <s v="P008"/>
    <s v="C0219"/>
    <n v="2"/>
    <n v="0"/>
    <n v="410000"/>
    <s v="Naija Mart Ikeja"/>
    <n v="820000"/>
    <s v="Home Appliances"/>
    <x v="11"/>
  </r>
  <r>
    <s v="T00345"/>
    <d v="2025-04-22T00:00:00"/>
    <s v="BR004"/>
    <s v="P003"/>
    <s v="C0047"/>
    <n v="1"/>
    <n v="15"/>
    <n v="45000"/>
    <s v="Naija Mart Sabon Gari"/>
    <n v="38250"/>
    <s v="Electronics"/>
    <x v="5"/>
  </r>
  <r>
    <s v="T01354"/>
    <d v="2025-11-21T00:00:00"/>
    <s v="BR003"/>
    <s v="P007"/>
    <s v="C0060"/>
    <n v="1"/>
    <n v="25"/>
    <n v="145000"/>
    <s v="Naija Mart GRA"/>
    <n v="108750"/>
    <s v="Electronics"/>
    <x v="0"/>
  </r>
  <r>
    <s v="T01268"/>
    <d v="2025-05-15T00:00:00"/>
    <s v="BR001"/>
    <s v="P012"/>
    <s v="C0069"/>
    <n v="1"/>
    <n v="5"/>
    <n v="28000"/>
    <s v="Naija Mart Ikeja"/>
    <n v="26600"/>
    <s v="Home Appliances"/>
    <x v="3"/>
  </r>
  <r>
    <s v="T00229"/>
    <d v="2025-02-15T00:00:00"/>
    <s v="BR003"/>
    <s v="P025"/>
    <s v="C0160"/>
    <n v="1"/>
    <n v="0"/>
    <n v="175000"/>
    <s v="Naija Mart GRA"/>
    <n v="175000"/>
    <s v="Generators &amp; Power"/>
    <x v="1"/>
  </r>
  <r>
    <s v="T01343"/>
    <d v="2025-12-02T00:00:00"/>
    <s v="BR001"/>
    <s v="P009"/>
    <s v="C0078"/>
    <n v="1"/>
    <n v="5"/>
    <n v="265000"/>
    <s v="Naija Mart Ikeja"/>
    <n v="251750"/>
    <s v="Home Appliances"/>
    <x v="4"/>
  </r>
  <r>
    <s v="T00559"/>
    <d v="2025-12-14T00:00:00"/>
    <s v="BR002"/>
    <s v="P016"/>
    <s v="C0188"/>
    <n v="2"/>
    <n v="15"/>
    <n v="19500"/>
    <s v="Naija Mart Wuse"/>
    <n v="33150"/>
    <s v="Home Appliances"/>
    <x v="4"/>
  </r>
  <r>
    <s v="T01199"/>
    <d v="2025-07-27T00:00:00"/>
    <s v="BR002"/>
    <s v="P014"/>
    <s v="C0075"/>
    <n v="2"/>
    <n v="10"/>
    <n v="285000"/>
    <s v="Naija Mart Wuse"/>
    <n v="513000"/>
    <s v="Home Appliances"/>
    <x v="10"/>
  </r>
  <r>
    <s v="T00598"/>
    <d v="2025-03-03T00:00:00"/>
    <s v="BR001"/>
    <s v="P011"/>
    <s v="C0088"/>
    <n v="2"/>
    <n v="15"/>
    <n v="74000"/>
    <s v="Naija Mart Ikeja"/>
    <n v="125800"/>
    <s v="Home Appliances"/>
    <x v="7"/>
  </r>
  <r>
    <s v="T00991"/>
    <d v="2025-02-21T00:00:00"/>
    <s v="BR002"/>
    <s v="P025"/>
    <s v="C0086"/>
    <n v="2"/>
    <n v="5"/>
    <n v="175000"/>
    <s v="Naija Mart Wuse"/>
    <n v="332500"/>
    <s v="Generators &amp; Power"/>
    <x v="1"/>
  </r>
  <r>
    <s v="T00433"/>
    <d v="2025-03-25T00:00:00"/>
    <s v="BR001"/>
    <s v="P011"/>
    <s v="C0047"/>
    <n v="2"/>
    <n v="0"/>
    <n v="74000"/>
    <s v="Naija Mart Ikeja"/>
    <n v="148000"/>
    <s v="Home Appliances"/>
    <x v="7"/>
  </r>
  <r>
    <s v="T00340"/>
    <d v="2025-12-15T00:00:00"/>
    <s v="BR001"/>
    <s v="P017"/>
    <s v="C0025"/>
    <n v="1"/>
    <n v="0"/>
    <n v="24000"/>
    <s v="Naija Mart Ikeja"/>
    <n v="24000"/>
    <s v="Home Appliances"/>
    <x v="4"/>
  </r>
  <r>
    <s v="T01310"/>
    <d v="2025-12-18T00:00:00"/>
    <s v="BR001"/>
    <s v="P013"/>
    <s v="C0044"/>
    <n v="2"/>
    <n v="5"/>
    <n v="22000"/>
    <s v="Naija Mart Ikeja"/>
    <n v="41800"/>
    <s v="Home Appliances"/>
    <x v="4"/>
  </r>
  <r>
    <s v="T01184"/>
    <d v="2025-10-05T00:00:00"/>
    <s v="BR002"/>
    <s v="P025"/>
    <s v="C0113"/>
    <n v="1"/>
    <n v="0"/>
    <n v="175000"/>
    <s v="Naija Mart Wuse"/>
    <n v="175000"/>
    <s v="Generators &amp; Power"/>
    <x v="8"/>
  </r>
  <r>
    <s v="T00766"/>
    <d v="2025-12-14T00:00:00"/>
    <s v="BR001"/>
    <s v="P014"/>
    <s v="C0016"/>
    <n v="1"/>
    <n v="10"/>
    <n v="285000"/>
    <s v="Naija Mart Ikeja"/>
    <n v="256500"/>
    <s v="Home Appliances"/>
    <x v="4"/>
  </r>
  <r>
    <s v="T00165"/>
    <d v="2025-12-13T00:00:00"/>
    <s v="BR001"/>
    <s v="P007"/>
    <s v="C0161"/>
    <n v="2"/>
    <n v="10"/>
    <n v="145000"/>
    <s v="Naija Mart Ikeja"/>
    <n v="261000"/>
    <s v="Electronics"/>
    <x v="4"/>
  </r>
  <r>
    <s v="T00109"/>
    <d v="2025-10-06T00:00:00"/>
    <s v="BR001"/>
    <s v="P001"/>
    <s v="C0068"/>
    <n v="3"/>
    <n v="0"/>
    <n v="185000"/>
    <s v="Naija Mart Ikeja"/>
    <n v="555000"/>
    <s v="Electronics"/>
    <x v="8"/>
  </r>
  <r>
    <s v="T00208"/>
    <d v="2025-12-28T00:00:00"/>
    <s v="BR001"/>
    <s v="P007"/>
    <s v="C0040"/>
    <n v="1"/>
    <n v="10"/>
    <n v="145000"/>
    <s v="Naija Mart Ikeja"/>
    <n v="130500"/>
    <s v="Electronics"/>
    <x v="4"/>
  </r>
  <r>
    <s v="T00309"/>
    <d v="2025-07-21T00:00:00"/>
    <s v="BR001"/>
    <s v="P018"/>
    <s v="C0034"/>
    <n v="1"/>
    <n v="10"/>
    <n v="18000"/>
    <s v="Naija Mart Ikeja"/>
    <n v="16200"/>
    <s v="Small Gadgets"/>
    <x v="10"/>
  </r>
  <r>
    <s v="T00868"/>
    <d v="2025-11-26T00:00:00"/>
    <s v="BR001"/>
    <s v="P006"/>
    <s v="C0105"/>
    <n v="1"/>
    <n v="10"/>
    <n v="78000"/>
    <s v="Naija Mart Ikeja"/>
    <n v="70200"/>
    <s v="Electronics"/>
    <x v="0"/>
  </r>
  <r>
    <s v="T01122"/>
    <d v="2025-12-23T00:00:00"/>
    <s v="BR001"/>
    <s v="P019"/>
    <s v="C0172"/>
    <n v="1"/>
    <n v="25"/>
    <n v="21000"/>
    <s v="Naija Mart Ikeja"/>
    <n v="15750"/>
    <s v="Small Gadgets"/>
    <x v="4"/>
  </r>
  <r>
    <s v="T00688"/>
    <d v="2025-08-10T00:00:00"/>
    <s v="BR001"/>
    <s v="P001"/>
    <s v="C0044"/>
    <n v="1"/>
    <n v="0"/>
    <n v="185000"/>
    <s v="Naija Mart Ikeja"/>
    <n v="185000"/>
    <s v="Electronics"/>
    <x v="6"/>
  </r>
  <r>
    <s v="T01312"/>
    <d v="2025-05-09T00:00:00"/>
    <s v="BR003"/>
    <s v="P015"/>
    <s v="C0047"/>
    <n v="2"/>
    <n v="0"/>
    <n v="15000"/>
    <s v="Naija Mart GRA"/>
    <n v="30000"/>
    <s v="Home Appliances"/>
    <x v="3"/>
  </r>
  <r>
    <s v="T00573"/>
    <d v="2025-12-11T00:00:00"/>
    <s v="BR003"/>
    <s v="P018"/>
    <s v="C0045"/>
    <n v="1"/>
    <n v="5"/>
    <n v="18000"/>
    <s v="Naija Mart GRA"/>
    <n v="17100"/>
    <s v="Small Gadgets"/>
    <x v="4"/>
  </r>
  <r>
    <s v="T00548"/>
    <d v="2025-07-04T00:00:00"/>
    <s v="BR001"/>
    <s v="P021"/>
    <s v="C0141"/>
    <n v="1"/>
    <n v="10"/>
    <n v="6500"/>
    <s v="Naija Mart Ikeja"/>
    <n v="5850"/>
    <s v="Small Gadgets"/>
    <x v="10"/>
  </r>
  <r>
    <s v="T00284"/>
    <d v="2025-10-01T00:00:00"/>
    <s v="BR001"/>
    <s v="P001"/>
    <s v="C0086"/>
    <n v="5"/>
    <n v="0"/>
    <n v="185000"/>
    <s v="Naija Mart Ikeja"/>
    <n v="925000"/>
    <s v="Electronics"/>
    <x v="8"/>
  </r>
  <r>
    <s v="T01187"/>
    <d v="2025-03-11T00:00:00"/>
    <s v="BR001"/>
    <s v="P016"/>
    <s v="C0007"/>
    <n v="1"/>
    <n v="20"/>
    <n v="19500"/>
    <s v="Naija Mart Ikeja"/>
    <n v="15600"/>
    <s v="Home Appliances"/>
    <x v="7"/>
  </r>
  <r>
    <s v="T01349"/>
    <d v="2025-03-21T00:00:00"/>
    <s v="BR003"/>
    <s v="P007"/>
    <s v="C0116"/>
    <n v="1"/>
    <n v="0"/>
    <n v="145000"/>
    <s v="Naija Mart GRA"/>
    <n v="145000"/>
    <s v="Electronics"/>
    <x v="7"/>
  </r>
  <r>
    <s v="T01360"/>
    <d v="2025-06-08T00:00:00"/>
    <s v="BR002"/>
    <s v="P019"/>
    <s v="C0119"/>
    <n v="2"/>
    <n v="10"/>
    <n v="21000"/>
    <s v="Naija Mart Wuse"/>
    <n v="37800"/>
    <s v="Small Gadgets"/>
    <x v="9"/>
  </r>
  <r>
    <s v="T00355"/>
    <d v="2025-06-15T00:00:00"/>
    <s v="BR002"/>
    <s v="P004"/>
    <s v="C0100"/>
    <n v="1"/>
    <n v="0"/>
    <n v="38000"/>
    <s v="Naija Mart Wuse"/>
    <n v="38000"/>
    <s v="Electronics"/>
    <x v="9"/>
  </r>
  <r>
    <s v="T01128"/>
    <d v="2025-04-11T00:00:00"/>
    <s v="BR001"/>
    <s v="P017"/>
    <s v="C0026"/>
    <n v="1"/>
    <n v="5"/>
    <n v="24000"/>
    <s v="Naija Mart Ikeja"/>
    <n v="22800"/>
    <s v="Home Appliances"/>
    <x v="5"/>
  </r>
  <r>
    <s v="T00128"/>
    <d v="2025-11-16T00:00:00"/>
    <s v="BR002"/>
    <s v="P008"/>
    <s v="C0009"/>
    <n v="1"/>
    <n v="15"/>
    <n v="410000"/>
    <s v="Naija Mart Wuse"/>
    <n v="348500"/>
    <s v="Home Appliances"/>
    <x v="0"/>
  </r>
  <r>
    <s v="T00549"/>
    <d v="2025-05-11T00:00:00"/>
    <s v="BR002"/>
    <s v="P002"/>
    <s v="C0200"/>
    <n v="5"/>
    <n v="10"/>
    <n v="320000"/>
    <s v="Naija Mart Wuse"/>
    <n v="1440000"/>
    <s v="Electronics"/>
    <x v="3"/>
  </r>
  <r>
    <s v="T00944"/>
    <d v="2025-01-03T00:00:00"/>
    <s v="BR001"/>
    <s v="P005"/>
    <s v="C0133"/>
    <n v="3"/>
    <n v="0"/>
    <n v="95000"/>
    <s v="Naija Mart Ikeja"/>
    <n v="285000"/>
    <s v="Electronics"/>
    <x v="11"/>
  </r>
  <r>
    <s v="T00923"/>
    <d v="2025-01-01T00:00:00"/>
    <s v="BR001"/>
    <s v="P013"/>
    <s v="C0051"/>
    <n v="1"/>
    <n v="10"/>
    <n v="22000"/>
    <s v="Naija Mart Ikeja"/>
    <n v="19800"/>
    <s v="Home Appliances"/>
    <x v="11"/>
  </r>
  <r>
    <s v="T01374"/>
    <d v="2025-04-11T00:00:00"/>
    <s v="BR001"/>
    <s v="P003"/>
    <s v="C0138"/>
    <n v="2"/>
    <n v="0"/>
    <n v="45000"/>
    <s v="Naija Mart Ikeja"/>
    <n v="90000"/>
    <s v="Electronics"/>
    <x v="5"/>
  </r>
  <r>
    <s v="T01029"/>
    <d v="2025-12-14T00:00:00"/>
    <s v="BR001"/>
    <s v="P002"/>
    <s v="C0031"/>
    <n v="1"/>
    <n v="0"/>
    <n v="320000"/>
    <s v="Naija Mart Ikeja"/>
    <n v="320000"/>
    <s v="Electronics"/>
    <x v="4"/>
  </r>
  <r>
    <s v="T01088"/>
    <d v="2025-01-12T00:00:00"/>
    <s v="BR003"/>
    <s v="P012"/>
    <s v="C0120"/>
    <n v="2"/>
    <n v="30"/>
    <n v="28000"/>
    <s v="Naija Mart GRA"/>
    <n v="39200"/>
    <s v="Home Appliances"/>
    <x v="11"/>
  </r>
  <r>
    <s v="T00254"/>
    <d v="2025-10-15T00:00:00"/>
    <s v="BR001"/>
    <s v="P012"/>
    <s v="C0193"/>
    <n v="1"/>
    <n v="0"/>
    <n v="28000"/>
    <s v="Naija Mart Ikeja"/>
    <n v="28000"/>
    <s v="Home Appliances"/>
    <x v="8"/>
  </r>
  <r>
    <s v="T00867"/>
    <d v="2025-07-06T00:00:00"/>
    <s v="BR002"/>
    <s v="P015"/>
    <s v="C0197"/>
    <n v="5"/>
    <n v="5"/>
    <n v="15000"/>
    <s v="Naija Mart Wuse"/>
    <n v="71250"/>
    <s v="Home Appliances"/>
    <x v="10"/>
  </r>
  <r>
    <s v="T00171"/>
    <d v="2025-01-28T00:00:00"/>
    <s v="BR002"/>
    <s v="P011"/>
    <s v="C0192"/>
    <n v="3"/>
    <n v="0"/>
    <n v="74000"/>
    <s v="Naija Mart Wuse"/>
    <n v="222000"/>
    <s v="Home Appliances"/>
    <x v="11"/>
  </r>
  <r>
    <s v="T00061"/>
    <d v="2025-06-03T00:00:00"/>
    <s v="BR004"/>
    <s v="P013"/>
    <s v="C0213"/>
    <n v="1"/>
    <n v="5"/>
    <n v="22000"/>
    <s v="Naija Mart Sabon Gari"/>
    <n v="20900"/>
    <s v="Home Appliances"/>
    <x v="9"/>
  </r>
  <r>
    <s v="T01034"/>
    <d v="2025-11-01T00:00:00"/>
    <s v="BR002"/>
    <s v="P009"/>
    <s v="C0023"/>
    <n v="1"/>
    <n v="15"/>
    <n v="265000"/>
    <s v="Naija Mart Wuse"/>
    <n v="225250"/>
    <s v="Home Appliances"/>
    <x v="0"/>
  </r>
  <r>
    <s v="T00706"/>
    <d v="2025-08-22T00:00:00"/>
    <s v="BR001"/>
    <s v="P008"/>
    <s v="C0136"/>
    <n v="3"/>
    <n v="20"/>
    <n v="410000"/>
    <s v="Naija Mart Ikeja"/>
    <n v="984000"/>
    <s v="Home Appliances"/>
    <x v="6"/>
  </r>
  <r>
    <s v="T00846"/>
    <d v="2025-10-04T00:00:00"/>
    <s v="BR001"/>
    <s v="P009"/>
    <s v="C0032"/>
    <n v="1"/>
    <n v="0"/>
    <n v="265000"/>
    <s v="Naija Mart Ikeja"/>
    <n v="265000"/>
    <s v="Home Appliances"/>
    <x v="8"/>
  </r>
  <r>
    <s v="T00413"/>
    <d v="2025-12-12T00:00:00"/>
    <s v="BR003"/>
    <s v="P005"/>
    <s v="C0053"/>
    <n v="1"/>
    <n v="0"/>
    <n v="95000"/>
    <s v="Naija Mart GRA"/>
    <n v="95000"/>
    <s v="Electronics"/>
    <x v="4"/>
  </r>
  <r>
    <s v="T00190"/>
    <d v="2025-12-28T00:00:00"/>
    <s v="BR002"/>
    <s v="P022"/>
    <s v="C0011"/>
    <n v="2"/>
    <n v="15"/>
    <n v="5200"/>
    <s v="Naija Mart Wuse"/>
    <n v="8840"/>
    <s v="Small Gadgets"/>
    <x v="4"/>
  </r>
  <r>
    <s v="T00408"/>
    <d v="2025-12-28T00:00:00"/>
    <s v="BR001"/>
    <s v="P006"/>
    <s v="C0178"/>
    <n v="1"/>
    <n v="5"/>
    <n v="78000"/>
    <s v="Naija Mart Ikeja"/>
    <n v="74100"/>
    <s v="Electronics"/>
    <x v="4"/>
  </r>
  <r>
    <s v="T00415"/>
    <d v="2025-09-12T00:00:00"/>
    <s v="BR002"/>
    <s v="P018"/>
    <s v="C0147"/>
    <n v="1"/>
    <n v="10"/>
    <n v="18000"/>
    <s v="Naija Mart Wuse"/>
    <n v="16200"/>
    <s v="Small Gadgets"/>
    <x v="2"/>
  </r>
  <r>
    <s v="T00250"/>
    <d v="2025-08-08T00:00:00"/>
    <s v="BR001"/>
    <s v="P014"/>
    <s v="C0166"/>
    <n v="1"/>
    <n v="0"/>
    <n v="285000"/>
    <s v="Naija Mart Ikeja"/>
    <n v="285000"/>
    <s v="Home Appliances"/>
    <x v="6"/>
  </r>
  <r>
    <s v="T00485"/>
    <d v="2025-05-12T00:00:00"/>
    <s v="BR002"/>
    <s v="P005"/>
    <s v="C0038"/>
    <n v="1"/>
    <n v="10"/>
    <n v="95000"/>
    <s v="Naija Mart Wuse"/>
    <n v="85500"/>
    <s v="Electronics"/>
    <x v="3"/>
  </r>
  <r>
    <s v="T00368"/>
    <d v="2025-11-18T00:00:00"/>
    <s v="BR002"/>
    <s v="P019"/>
    <s v="C0083"/>
    <n v="1"/>
    <n v="10"/>
    <n v="21000"/>
    <s v="Naija Mart Wuse"/>
    <n v="18900"/>
    <s v="Small Gadgets"/>
    <x v="0"/>
  </r>
  <r>
    <s v="T00331"/>
    <d v="2025-04-27T00:00:00"/>
    <s v="BR003"/>
    <s v="P008"/>
    <s v="C0192"/>
    <n v="2"/>
    <n v="0"/>
    <n v="410000"/>
    <s v="Naija Mart GRA"/>
    <n v="820000"/>
    <s v="Home Appliances"/>
    <x v="5"/>
  </r>
  <r>
    <s v="T00390"/>
    <d v="2025-12-12T00:00:00"/>
    <s v="BR002"/>
    <s v="P011"/>
    <s v="C0199"/>
    <n v="1"/>
    <n v="10"/>
    <n v="74000"/>
    <s v="Naija Mart Wuse"/>
    <n v="66600"/>
    <s v="Home Appliances"/>
    <x v="4"/>
  </r>
  <r>
    <s v="T00618"/>
    <d v="2025-05-20T00:00:00"/>
    <s v="BR004"/>
    <s v="P010"/>
    <s v="C0167"/>
    <n v="2"/>
    <n v="0"/>
    <n v="62000"/>
    <s v="Naija Mart Sabon Gari"/>
    <n v="124000"/>
    <s v="Home Appliances"/>
    <x v="3"/>
  </r>
  <r>
    <s v="T00263"/>
    <d v="2025-03-22T00:00:00"/>
    <s v="BR001"/>
    <s v="P001"/>
    <s v="C0034"/>
    <n v="2"/>
    <n v="0"/>
    <n v="185000"/>
    <s v="Naija Mart Ikeja"/>
    <n v="370000"/>
    <s v="Electronics"/>
    <x v="7"/>
  </r>
  <r>
    <s v="T00378"/>
    <d v="2025-05-01T00:00:00"/>
    <s v="BR002"/>
    <s v="P008"/>
    <s v="C0106"/>
    <n v="1"/>
    <n v="0"/>
    <n v="410000"/>
    <s v="Naija Mart Wuse"/>
    <n v="410000"/>
    <s v="Home Appliances"/>
    <x v="3"/>
  </r>
  <r>
    <s v="T00958"/>
    <d v="2025-12-02T00:00:00"/>
    <s v="BR002"/>
    <s v="P003"/>
    <s v="C0081"/>
    <n v="1"/>
    <n v="15"/>
    <n v="45000"/>
    <s v="Naija Mart Wuse"/>
    <n v="38250"/>
    <s v="Electronics"/>
    <x v="4"/>
  </r>
  <r>
    <s v="T01363"/>
    <d v="2025-05-20T00:00:00"/>
    <s v="BR003"/>
    <s v="P025"/>
    <s v="C0055"/>
    <n v="1"/>
    <n v="15"/>
    <n v="175000"/>
    <s v="Naija Mart GRA"/>
    <n v="148750"/>
    <s v="Generators &amp; Power"/>
    <x v="3"/>
  </r>
  <r>
    <s v="T01318"/>
    <d v="2025-05-04T00:00:00"/>
    <s v="BR001"/>
    <s v="P022"/>
    <s v="C0092"/>
    <n v="1"/>
    <n v="20"/>
    <n v="5200"/>
    <s v="Naija Mart Ikeja"/>
    <n v="4160"/>
    <s v="Small Gadgets"/>
    <x v="3"/>
  </r>
  <r>
    <s v="T00733"/>
    <d v="2025-11-20T00:00:00"/>
    <s v="BR001"/>
    <s v="P007"/>
    <s v="C0016"/>
    <n v="2"/>
    <n v="10"/>
    <n v="145000"/>
    <s v="Naija Mart Ikeja"/>
    <n v="261000"/>
    <s v="Electronics"/>
    <x v="0"/>
  </r>
  <r>
    <s v="T00028"/>
    <d v="2025-06-12T00:00:00"/>
    <s v="BR001"/>
    <s v="P008"/>
    <s v="C0095"/>
    <n v="1"/>
    <n v="5"/>
    <n v="410000"/>
    <s v="Naija Mart Ikeja"/>
    <n v="389500"/>
    <s v="Home Appliances"/>
    <x v="9"/>
  </r>
  <r>
    <s v="T00619"/>
    <d v="2025-02-04T00:00:00"/>
    <s v="BR002"/>
    <s v="P008"/>
    <s v="C0208"/>
    <n v="1"/>
    <n v="25"/>
    <n v="410000"/>
    <s v="Naija Mart Wuse"/>
    <n v="307500"/>
    <s v="Home Appliances"/>
    <x v="1"/>
  </r>
  <r>
    <s v="T00651"/>
    <d v="2025-06-14T00:00:00"/>
    <s v="BR004"/>
    <s v="P014"/>
    <s v="C0019"/>
    <n v="2"/>
    <n v="5"/>
    <n v="285000"/>
    <s v="Naija Mart Sabon Gari"/>
    <n v="541500"/>
    <s v="Home Appliances"/>
    <x v="9"/>
  </r>
  <r>
    <s v="T00763"/>
    <d v="2025-12-10T00:00:00"/>
    <s v="BR001"/>
    <s v="P008"/>
    <s v="C0106"/>
    <n v="1"/>
    <n v="0"/>
    <n v="410000"/>
    <s v="Naija Mart Ikeja"/>
    <n v="410000"/>
    <s v="Home Appliances"/>
    <x v="4"/>
  </r>
  <r>
    <s v="T00409"/>
    <d v="2025-04-03T00:00:00"/>
    <s v="BR004"/>
    <s v="P008"/>
    <s v="C0196"/>
    <n v="3"/>
    <n v="0"/>
    <n v="410000"/>
    <s v="Naija Mart Sabon Gari"/>
    <n v="1230000"/>
    <s v="Home Appliances"/>
    <x v="5"/>
  </r>
  <r>
    <s v="T00253"/>
    <d v="2025-08-05T00:00:00"/>
    <s v="BR001"/>
    <s v="P014"/>
    <s v="C0083"/>
    <n v="1"/>
    <n v="0"/>
    <n v="285000"/>
    <s v="Naija Mart Ikeja"/>
    <n v="285000"/>
    <s v="Home Appliances"/>
    <x v="6"/>
  </r>
  <r>
    <s v="T00044"/>
    <d v="2025-08-20T00:00:00"/>
    <s v="BR003"/>
    <s v="P008"/>
    <s v="C0020"/>
    <n v="1"/>
    <n v="0"/>
    <n v="410000"/>
    <s v="Naija Mart GRA"/>
    <n v="410000"/>
    <s v="Home Appliances"/>
    <x v="6"/>
  </r>
  <r>
    <s v="T00864"/>
    <d v="2025-08-14T00:00:00"/>
    <s v="BR003"/>
    <s v="P021"/>
    <s v="C0120"/>
    <n v="1"/>
    <n v="10"/>
    <n v="6500"/>
    <s v="Naija Mart GRA"/>
    <n v="5850"/>
    <s v="Small Gadgets"/>
    <x v="6"/>
  </r>
  <r>
    <s v="T01252"/>
    <d v="2025-11-20T00:00:00"/>
    <s v="BR002"/>
    <s v="P003"/>
    <s v="C0123"/>
    <n v="3"/>
    <n v="10"/>
    <n v="45000"/>
    <s v="Naija Mart Wuse"/>
    <n v="121500"/>
    <s v="Electronics"/>
    <x v="0"/>
  </r>
  <r>
    <s v="T00713"/>
    <d v="2025-11-01T00:00:00"/>
    <s v="BR004"/>
    <s v="P007"/>
    <s v="C0051"/>
    <n v="2"/>
    <n v="5"/>
    <n v="145000"/>
    <s v="Naija Mart Sabon Gari"/>
    <n v="275500"/>
    <s v="Electronics"/>
    <x v="0"/>
  </r>
  <r>
    <s v="T01368"/>
    <d v="2025-10-27T00:00:00"/>
    <s v="BR002"/>
    <s v="P004"/>
    <s v="C0094"/>
    <n v="2"/>
    <n v="0"/>
    <n v="38000"/>
    <s v="Naija Mart Wuse"/>
    <n v="76000"/>
    <s v="Electronics"/>
    <x v="8"/>
  </r>
  <r>
    <s v="T00596"/>
    <d v="2025-02-02T00:00:00"/>
    <s v="BR004"/>
    <s v="P023"/>
    <s v="C0178"/>
    <n v="1"/>
    <n v="0"/>
    <n v="195000"/>
    <s v="Naija Mart Sabon Gari"/>
    <n v="195000"/>
    <s v="Generators &amp; Power"/>
    <x v="1"/>
  </r>
  <r>
    <s v="T00152"/>
    <d v="2025-12-26T00:00:00"/>
    <s v="BR001"/>
    <s v="P012"/>
    <s v="C0140"/>
    <n v="1"/>
    <n v="10"/>
    <n v="28000"/>
    <s v="Naija Mart Ikeja"/>
    <n v="25200"/>
    <s v="Home Appliances"/>
    <x v="4"/>
  </r>
  <r>
    <s v="T01125"/>
    <d v="2025-12-04T00:00:00"/>
    <s v="BR002"/>
    <s v="P010"/>
    <s v="C0083"/>
    <n v="1"/>
    <n v="0"/>
    <n v="62000"/>
    <s v="Naija Mart Wuse"/>
    <n v="62000"/>
    <s v="Home Appliances"/>
    <x v="4"/>
  </r>
  <r>
    <s v="T00575"/>
    <d v="2025-01-19T00:00:00"/>
    <s v="BR003"/>
    <s v="P001"/>
    <s v="C0103"/>
    <n v="1"/>
    <n v="5"/>
    <n v="185000"/>
    <s v="Naija Mart GRA"/>
    <n v="175750"/>
    <s v="Electronics"/>
    <x v="11"/>
  </r>
  <r>
    <s v="T00446"/>
    <d v="2025-09-22T00:00:00"/>
    <s v="BR001"/>
    <s v="P019"/>
    <s v="C0074"/>
    <n v="1"/>
    <n v="0"/>
    <n v="21000"/>
    <s v="Naija Mart Ikeja"/>
    <n v="21000"/>
    <s v="Small Gadgets"/>
    <x v="2"/>
  </r>
  <r>
    <s v="T00649"/>
    <d v="2025-11-08T00:00:00"/>
    <s v="BR003"/>
    <s v="P004"/>
    <s v="C0132"/>
    <n v="1"/>
    <n v="0"/>
    <n v="38000"/>
    <s v="Naija Mart GRA"/>
    <n v="38000"/>
    <s v="Electronics"/>
    <x v="0"/>
  </r>
  <r>
    <s v="T01325"/>
    <d v="2025-11-10T00:00:00"/>
    <s v="BR003"/>
    <s v="P022"/>
    <s v="C0036"/>
    <n v="1"/>
    <n v="0"/>
    <n v="5200"/>
    <s v="Naija Mart GRA"/>
    <n v="5200"/>
    <s v="Small Gadgets"/>
    <x v="0"/>
  </r>
  <r>
    <s v="T00327"/>
    <d v="2025-12-03T00:00:00"/>
    <s v="BR001"/>
    <s v="P009"/>
    <s v="C0166"/>
    <n v="1"/>
    <n v="0"/>
    <n v="265000"/>
    <s v="Naija Mart Ikeja"/>
    <n v="265000"/>
    <s v="Home Appliances"/>
    <x v="4"/>
  </r>
  <r>
    <s v="T00319"/>
    <d v="2025-11-08T00:00:00"/>
    <s v="BR001"/>
    <s v="P014"/>
    <s v="C0151"/>
    <n v="3"/>
    <n v="10"/>
    <n v="285000"/>
    <s v="Naija Mart Ikeja"/>
    <n v="769500"/>
    <s v="Home Appliances"/>
    <x v="0"/>
  </r>
  <r>
    <s v="T00875"/>
    <d v="2025-04-02T00:00:00"/>
    <s v="BR001"/>
    <s v="P013"/>
    <s v="C0110"/>
    <n v="2"/>
    <n v="5"/>
    <n v="22000"/>
    <s v="Naija Mart Ikeja"/>
    <n v="41800"/>
    <s v="Home Appliances"/>
    <x v="5"/>
  </r>
  <r>
    <s v="T01277"/>
    <d v="2025-06-27T00:00:00"/>
    <s v="BR002"/>
    <s v="P002"/>
    <s v="C0206"/>
    <n v="1"/>
    <n v="0"/>
    <n v="320000"/>
    <s v="Naija Mart Wuse"/>
    <n v="320000"/>
    <s v="Electronics"/>
    <x v="9"/>
  </r>
  <r>
    <s v="T00153"/>
    <d v="2025-09-01T00:00:00"/>
    <s v="BR001"/>
    <s v="P010"/>
    <s v="C0217"/>
    <n v="1"/>
    <n v="0"/>
    <n v="62000"/>
    <s v="Naija Mart Ikeja"/>
    <n v="62000"/>
    <s v="Home Appliances"/>
    <x v="2"/>
  </r>
  <r>
    <s v="T00195"/>
    <d v="2025-12-24T00:00:00"/>
    <s v="BR002"/>
    <s v="P018"/>
    <s v="C0213"/>
    <n v="1"/>
    <n v="0"/>
    <n v="18000"/>
    <s v="Naija Mart Wuse"/>
    <n v="18000"/>
    <s v="Small Gadgets"/>
    <x v="4"/>
  </r>
  <r>
    <s v="T00952"/>
    <d v="2025-11-20T00:00:00"/>
    <s v="BR002"/>
    <s v="P012"/>
    <s v="C0071"/>
    <n v="2"/>
    <n v="20"/>
    <n v="28000"/>
    <s v="Naija Mart Wuse"/>
    <n v="44800"/>
    <s v="Home Appliances"/>
    <x v="0"/>
  </r>
  <r>
    <s v="T00493"/>
    <d v="2025-10-03T00:00:00"/>
    <s v="BR001"/>
    <s v="P002"/>
    <s v="C0207"/>
    <n v="1"/>
    <n v="20"/>
    <n v="320000"/>
    <s v="Naija Mart Ikeja"/>
    <n v="256000"/>
    <s v="Electronics"/>
    <x v="8"/>
  </r>
  <r>
    <s v="T00743"/>
    <d v="2025-11-08T00:00:00"/>
    <s v="BR003"/>
    <s v="P012"/>
    <s v="C0158"/>
    <n v="1"/>
    <n v="0"/>
    <n v="28000"/>
    <s v="Naija Mart GRA"/>
    <n v="28000"/>
    <s v="Home Appliances"/>
    <x v="0"/>
  </r>
  <r>
    <s v="T01304"/>
    <d v="2025-01-22T00:00:00"/>
    <s v="BR002"/>
    <s v="P020"/>
    <s v="C0108"/>
    <n v="1"/>
    <n v="0"/>
    <n v="8500"/>
    <s v="Naija Mart Wuse"/>
    <n v="8500"/>
    <s v="Small Gadgets"/>
    <x v="11"/>
  </r>
  <r>
    <s v="T00217"/>
    <d v="2025-02-10T00:00:00"/>
    <s v="BR001"/>
    <s v="P012"/>
    <s v="C0172"/>
    <n v="1"/>
    <n v="0"/>
    <n v="28000"/>
    <s v="Naija Mart Ikeja"/>
    <n v="28000"/>
    <s v="Home Appliances"/>
    <x v="1"/>
  </r>
  <r>
    <s v="T01357"/>
    <d v="2025-02-07T00:00:00"/>
    <s v="BR001"/>
    <s v="P002"/>
    <s v="C0007"/>
    <n v="1"/>
    <n v="0"/>
    <n v="320000"/>
    <s v="Naija Mart Ikeja"/>
    <n v="320000"/>
    <s v="Electronics"/>
    <x v="1"/>
  </r>
  <r>
    <s v="T00652"/>
    <d v="2025-10-19T00:00:00"/>
    <s v="BR004"/>
    <s v="P006"/>
    <s v="C0044"/>
    <n v="2"/>
    <n v="0"/>
    <n v="78000"/>
    <s v="Naija Mart Sabon Gari"/>
    <n v="156000"/>
    <s v="Electronics"/>
    <x v="8"/>
  </r>
  <r>
    <s v="T00069"/>
    <d v="2025-03-08T00:00:00"/>
    <s v="BR003"/>
    <s v="P008"/>
    <s v="C0193"/>
    <n v="1"/>
    <n v="5"/>
    <n v="410000"/>
    <s v="Naija Mart GRA"/>
    <n v="389500"/>
    <s v="Home Appliances"/>
    <x v="7"/>
  </r>
  <r>
    <s v="T00364"/>
    <d v="2025-04-12T00:00:00"/>
    <s v="BR001"/>
    <s v="P017"/>
    <s v="C0011"/>
    <n v="1"/>
    <n v="10"/>
    <n v="24000"/>
    <s v="Naija Mart Ikeja"/>
    <n v="21600"/>
    <s v="Home Appliances"/>
    <x v="5"/>
  </r>
  <r>
    <s v="T00737"/>
    <d v="2025-09-26T00:00:00"/>
    <s v="BR001"/>
    <s v="P019"/>
    <s v="C0179"/>
    <n v="2"/>
    <n v="20"/>
    <n v="21000"/>
    <s v="Naija Mart Ikeja"/>
    <n v="33600"/>
    <s v="Small Gadgets"/>
    <x v="2"/>
  </r>
  <r>
    <s v="T00638"/>
    <d v="2025-09-27T00:00:00"/>
    <s v="BR003"/>
    <s v="P003"/>
    <s v="C0111"/>
    <n v="1"/>
    <n v="0"/>
    <n v="45000"/>
    <s v="Naija Mart GRA"/>
    <n v="45000"/>
    <s v="Electronics"/>
    <x v="2"/>
  </r>
  <r>
    <s v="T01197"/>
    <d v="2025-01-19T00:00:00"/>
    <s v="BR002"/>
    <s v="P024"/>
    <s v="C0045"/>
    <n v="5"/>
    <n v="10"/>
    <n v="245000"/>
    <s v="Naija Mart Wuse"/>
    <n v="1102500"/>
    <s v="Generators &amp; Power"/>
    <x v="11"/>
  </r>
  <r>
    <s v="T01262"/>
    <d v="2025-05-15T00:00:00"/>
    <s v="BR004"/>
    <s v="P005"/>
    <s v="C0141"/>
    <n v="2"/>
    <n v="0"/>
    <n v="95000"/>
    <s v="Naija Mart Sabon Gari"/>
    <n v="190000"/>
    <s v="Electronics"/>
    <x v="3"/>
  </r>
  <r>
    <s v="T00010"/>
    <d v="2025-03-10T00:00:00"/>
    <s v="BR002"/>
    <s v="P001"/>
    <s v="C0057"/>
    <n v="2"/>
    <n v="10"/>
    <n v="185000"/>
    <s v="Naija Mart Wuse"/>
    <n v="333000"/>
    <s v="Electronics"/>
    <x v="7"/>
  </r>
  <r>
    <s v="T01170"/>
    <d v="2025-05-12T00:00:00"/>
    <s v="BR001"/>
    <s v="P008"/>
    <s v="C0105"/>
    <n v="1"/>
    <n v="5"/>
    <n v="410000"/>
    <s v="Naija Mart Ikeja"/>
    <n v="389500"/>
    <s v="Home Appliances"/>
    <x v="3"/>
  </r>
  <r>
    <s v="T00531"/>
    <d v="2025-02-11T00:00:00"/>
    <s v="BR003"/>
    <s v="P013"/>
    <s v="C0183"/>
    <n v="1"/>
    <n v="15"/>
    <n v="22000"/>
    <s v="Naija Mart GRA"/>
    <n v="18700"/>
    <s v="Home Appliances"/>
    <x v="1"/>
  </r>
  <r>
    <s v="T00371"/>
    <d v="2025-03-21T00:00:00"/>
    <s v="BR002"/>
    <s v="P003"/>
    <s v="C0035"/>
    <n v="2"/>
    <n v="0"/>
    <n v="45000"/>
    <s v="Naija Mart Wuse"/>
    <n v="90000"/>
    <s v="Electronics"/>
    <x v="7"/>
  </r>
  <r>
    <s v="T01168"/>
    <d v="2025-02-12T00:00:00"/>
    <s v="BR001"/>
    <s v="P005"/>
    <s v="C0169"/>
    <n v="1"/>
    <n v="0"/>
    <n v="95000"/>
    <s v="Naija Mart Ikeja"/>
    <n v="95000"/>
    <s v="Electronics"/>
    <x v="1"/>
  </r>
  <r>
    <s v="T01075"/>
    <d v="2025-12-03T00:00:00"/>
    <s v="BR001"/>
    <s v="P019"/>
    <s v="C0146"/>
    <n v="5"/>
    <n v="0"/>
    <n v="21000"/>
    <s v="Naija Mart Ikeja"/>
    <n v="105000"/>
    <s v="Small Gadgets"/>
    <x v="4"/>
  </r>
  <r>
    <s v="T00749"/>
    <d v="2025-12-26T00:00:00"/>
    <s v="BR003"/>
    <s v="P004"/>
    <s v="C0156"/>
    <n v="1"/>
    <n v="10"/>
    <n v="38000"/>
    <s v="Naija Mart GRA"/>
    <n v="34200"/>
    <s v="Electronics"/>
    <x v="4"/>
  </r>
  <r>
    <s v="T00286"/>
    <d v="2025-12-27T00:00:00"/>
    <s v="BR001"/>
    <s v="P020"/>
    <s v="C0153"/>
    <n v="3"/>
    <n v="15"/>
    <n v="8500"/>
    <s v="Naija Mart Ikeja"/>
    <n v="21675"/>
    <s v="Small Gadgets"/>
    <x v="4"/>
  </r>
  <r>
    <s v="T00241"/>
    <d v="2025-12-14T00:00:00"/>
    <s v="BR002"/>
    <s v="P010"/>
    <s v="C0103"/>
    <n v="1"/>
    <n v="10"/>
    <n v="62000"/>
    <s v="Naija Mart Wuse"/>
    <n v="55800"/>
    <s v="Home Appliances"/>
    <x v="4"/>
  </r>
  <r>
    <s v="T00200"/>
    <d v="2025-11-02T00:00:00"/>
    <s v="BR004"/>
    <s v="P004"/>
    <s v="C0045"/>
    <n v="1"/>
    <n v="0"/>
    <n v="38000"/>
    <s v="Naija Mart Sabon Gari"/>
    <n v="38000"/>
    <s v="Electronics"/>
    <x v="0"/>
  </r>
  <r>
    <s v="T00684"/>
    <d v="2025-04-27T00:00:00"/>
    <s v="BR001"/>
    <s v="P001"/>
    <s v="C0127"/>
    <n v="3"/>
    <n v="0"/>
    <n v="185000"/>
    <s v="Naija Mart Ikeja"/>
    <n v="555000"/>
    <s v="Electronics"/>
    <x v="5"/>
  </r>
  <r>
    <s v="T00591"/>
    <d v="2025-07-25T00:00:00"/>
    <s v="BR003"/>
    <s v="P004"/>
    <s v="C0079"/>
    <n v="1"/>
    <n v="0"/>
    <n v="38000"/>
    <s v="Naija Mart GRA"/>
    <n v="38000"/>
    <s v="Electronics"/>
    <x v="10"/>
  </r>
  <r>
    <s v="T00205"/>
    <d v="2025-03-01T00:00:00"/>
    <s v="BR002"/>
    <s v="P001"/>
    <s v="C0025"/>
    <n v="3"/>
    <n v="0"/>
    <n v="185000"/>
    <s v="Naija Mart Wuse"/>
    <n v="555000"/>
    <s v="Electronics"/>
    <x v="7"/>
  </r>
  <r>
    <s v="T01152"/>
    <d v="2025-01-21T00:00:00"/>
    <s v="BR004"/>
    <s v="P019"/>
    <s v="C0123"/>
    <n v="2"/>
    <n v="10"/>
    <n v="21000"/>
    <s v="Naija Mart Sabon Gari"/>
    <n v="37800"/>
    <s v="Small Gadgets"/>
    <x v="11"/>
  </r>
  <r>
    <s v="T00188"/>
    <d v="2025-11-02T00:00:00"/>
    <s v="BR001"/>
    <s v="P016"/>
    <s v="C0071"/>
    <n v="1"/>
    <n v="0"/>
    <n v="19500"/>
    <s v="Naija Mart Ikeja"/>
    <n v="19500"/>
    <s v="Home Appliances"/>
    <x v="0"/>
  </r>
  <r>
    <s v="T00886"/>
    <d v="2025-12-17T00:00:00"/>
    <s v="BR001"/>
    <s v="P006"/>
    <s v="C0051"/>
    <n v="2"/>
    <n v="0"/>
    <n v="78000"/>
    <s v="Naija Mart Ikeja"/>
    <n v="156000"/>
    <s v="Electronics"/>
    <x v="4"/>
  </r>
  <r>
    <s v="T00397"/>
    <d v="2025-11-21T00:00:00"/>
    <s v="BR004"/>
    <s v="P005"/>
    <s v="C0119"/>
    <n v="1"/>
    <n v="0"/>
    <n v="95000"/>
    <s v="Naija Mart Sabon Gari"/>
    <n v="95000"/>
    <s v="Electronics"/>
    <x v="0"/>
  </r>
  <r>
    <s v="T00927"/>
    <d v="2025-06-18T00:00:00"/>
    <s v="BR002"/>
    <s v="P017"/>
    <s v="C0112"/>
    <n v="2"/>
    <n v="5"/>
    <n v="24000"/>
    <s v="Naija Mart Wuse"/>
    <n v="45600"/>
    <s v="Home Appliances"/>
    <x v="9"/>
  </r>
  <r>
    <s v="T00526"/>
    <d v="2025-04-09T00:00:00"/>
    <s v="BR003"/>
    <s v="P004"/>
    <s v="C0052"/>
    <n v="1"/>
    <n v="15"/>
    <n v="38000"/>
    <s v="Naija Mart GRA"/>
    <n v="32300"/>
    <s v="Electronics"/>
    <x v="5"/>
  </r>
  <r>
    <s v="T01330"/>
    <d v="2025-09-20T00:00:00"/>
    <s v="BR001"/>
    <s v="P014"/>
    <s v="C0200"/>
    <n v="1"/>
    <n v="0"/>
    <n v="285000"/>
    <s v="Naija Mart Ikeja"/>
    <n v="285000"/>
    <s v="Home Appliances"/>
    <x v="2"/>
  </r>
  <r>
    <s v="T01124"/>
    <d v="2025-03-26T00:00:00"/>
    <s v="BR001"/>
    <s v="P008"/>
    <s v="C0079"/>
    <n v="1"/>
    <n v="0"/>
    <n v="410000"/>
    <s v="Naija Mart Ikeja"/>
    <n v="410000"/>
    <s v="Home Appliances"/>
    <x v="7"/>
  </r>
  <r>
    <s v="T01295"/>
    <d v="2025-10-09T00:00:00"/>
    <s v="BR001"/>
    <s v="P007"/>
    <s v="C0035"/>
    <n v="1"/>
    <n v="20"/>
    <n v="145000"/>
    <s v="Naija Mart Ikeja"/>
    <n v="116000"/>
    <s v="Electronics"/>
    <x v="8"/>
  </r>
  <r>
    <s v="T01365"/>
    <d v="2025-06-27T00:00:00"/>
    <s v="BR003"/>
    <s v="P024"/>
    <s v="C0086"/>
    <n v="1"/>
    <n v="5"/>
    <n v="245000"/>
    <s v="Naija Mart GRA"/>
    <n v="232750"/>
    <s v="Generators &amp; Power"/>
    <x v="9"/>
  </r>
  <r>
    <s v="T00351"/>
    <d v="2025-08-26T00:00:00"/>
    <s v="BR002"/>
    <s v="P012"/>
    <s v="C0021"/>
    <n v="1"/>
    <n v="20"/>
    <n v="28000"/>
    <s v="Naija Mart Wuse"/>
    <n v="22400"/>
    <s v="Home Appliances"/>
    <x v="6"/>
  </r>
  <r>
    <s v="T00110"/>
    <d v="2025-12-15T00:00:00"/>
    <s v="BR003"/>
    <s v="P024"/>
    <s v="C0112"/>
    <n v="1"/>
    <n v="15"/>
    <n v="245000"/>
    <s v="Naija Mart GRA"/>
    <n v="208250"/>
    <s v="Generators &amp; Power"/>
    <x v="4"/>
  </r>
  <r>
    <s v="T01222"/>
    <d v="2025-06-05T00:00:00"/>
    <s v="BR002"/>
    <s v="P008"/>
    <s v="C0173"/>
    <n v="1"/>
    <n v="0"/>
    <n v="410000"/>
    <s v="Naija Mart Wuse"/>
    <n v="410000"/>
    <s v="Home Appliances"/>
    <x v="9"/>
  </r>
  <r>
    <s v="T00123"/>
    <d v="2025-09-15T00:00:00"/>
    <s v="BR002"/>
    <s v="P013"/>
    <s v="C0089"/>
    <n v="1"/>
    <n v="0"/>
    <n v="22000"/>
    <s v="Naija Mart Wuse"/>
    <n v="22000"/>
    <s v="Home Appliances"/>
    <x v="2"/>
  </r>
  <r>
    <s v="T00694"/>
    <d v="2025-08-25T00:00:00"/>
    <s v="BR002"/>
    <s v="P008"/>
    <s v="C0158"/>
    <n v="1"/>
    <n v="0"/>
    <n v="410000"/>
    <s v="Naija Mart Wuse"/>
    <n v="410000"/>
    <s v="Home Appliances"/>
    <x v="6"/>
  </r>
  <r>
    <s v="T00582"/>
    <d v="2025-12-24T00:00:00"/>
    <s v="BR003"/>
    <s v="P018"/>
    <s v="C0184"/>
    <n v="1"/>
    <n v="20"/>
    <n v="18000"/>
    <s v="Naija Mart GRA"/>
    <n v="14400"/>
    <s v="Small Gadgets"/>
    <x v="4"/>
  </r>
  <r>
    <s v="T00384"/>
    <d v="2025-04-10T00:00:00"/>
    <s v="BR001"/>
    <s v="P019"/>
    <s v="C0051"/>
    <n v="2"/>
    <n v="5"/>
    <n v="21000"/>
    <s v="Naija Mart Ikeja"/>
    <n v="39900"/>
    <s v="Small Gadgets"/>
    <x v="5"/>
  </r>
  <r>
    <s v="T00821"/>
    <d v="2025-03-17T00:00:00"/>
    <s v="BR001"/>
    <s v="P012"/>
    <s v="C0106"/>
    <n v="1"/>
    <n v="0"/>
    <n v="28000"/>
    <s v="Naija Mart Ikeja"/>
    <n v="28000"/>
    <s v="Home Appliances"/>
    <x v="7"/>
  </r>
  <r>
    <s v="T01286"/>
    <d v="2025-12-02T00:00:00"/>
    <s v="BR003"/>
    <s v="P008"/>
    <s v="C0099"/>
    <n v="1"/>
    <n v="0"/>
    <n v="410000"/>
    <s v="Naija Mart GRA"/>
    <n v="410000"/>
    <s v="Home Appliances"/>
    <x v="4"/>
  </r>
  <r>
    <s v="T00519"/>
    <d v="2025-12-09T00:00:00"/>
    <s v="BR001"/>
    <s v="P019"/>
    <s v="C0114"/>
    <n v="2"/>
    <n v="10"/>
    <n v="21000"/>
    <s v="Naija Mart Ikeja"/>
    <n v="37800"/>
    <s v="Small Gadgets"/>
    <x v="4"/>
  </r>
  <r>
    <s v="T01011"/>
    <d v="2025-12-28T00:00:00"/>
    <s v="BR004"/>
    <s v="P009"/>
    <s v="C0097"/>
    <n v="1"/>
    <n v="0"/>
    <n v="265000"/>
    <s v="Naija Mart Sabon Gari"/>
    <n v="265000"/>
    <s v="Home Appliances"/>
    <x v="4"/>
  </r>
  <r>
    <s v="T00565"/>
    <d v="2025-01-11T00:00:00"/>
    <s v="BR003"/>
    <s v="P017"/>
    <s v="C0174"/>
    <n v="2"/>
    <n v="20"/>
    <n v="24000"/>
    <s v="Naija Mart GRA"/>
    <n v="38400"/>
    <s v="Home Appliances"/>
    <x v="11"/>
  </r>
  <r>
    <s v="T01289"/>
    <d v="2025-02-05T00:00:00"/>
    <s v="BR001"/>
    <s v="P013"/>
    <s v="C0151"/>
    <n v="1"/>
    <n v="0"/>
    <n v="22000"/>
    <s v="Naija Mart Ikeja"/>
    <n v="22000"/>
    <s v="Home Appliances"/>
    <x v="1"/>
  </r>
  <r>
    <s v="T01194"/>
    <d v="2025-03-20T00:00:00"/>
    <s v="BR003"/>
    <s v="P007"/>
    <s v="C0156"/>
    <n v="2"/>
    <n v="0"/>
    <n v="145000"/>
    <s v="Naija Mart GRA"/>
    <n v="290000"/>
    <s v="Electronics"/>
    <x v="7"/>
  </r>
  <r>
    <s v="T00068"/>
    <d v="2025-11-27T00:00:00"/>
    <s v="BR001"/>
    <s v="P010"/>
    <s v="C0219"/>
    <n v="1"/>
    <n v="5"/>
    <n v="62000"/>
    <s v="Naija Mart Ikeja"/>
    <n v="58900"/>
    <s v="Home Appliances"/>
    <x v="0"/>
  </r>
  <r>
    <s v="T00699"/>
    <d v="2025-12-21T00:00:00"/>
    <s v="BR003"/>
    <s v="P021"/>
    <s v="C0031"/>
    <n v="1"/>
    <n v="5"/>
    <n v="6500"/>
    <s v="Naija Mart GRA"/>
    <n v="6175"/>
    <s v="Small Gadgets"/>
    <x v="4"/>
  </r>
  <r>
    <s v="T00352"/>
    <d v="2025-08-13T00:00:00"/>
    <s v="BR001"/>
    <s v="P022"/>
    <s v="C0066"/>
    <n v="2"/>
    <n v="5"/>
    <n v="5200"/>
    <s v="Naija Mart Ikeja"/>
    <n v="9880"/>
    <s v="Small Gadgets"/>
    <x v="6"/>
  </r>
  <r>
    <s v="T00705"/>
    <d v="2025-07-15T00:00:00"/>
    <s v="BR001"/>
    <s v="P003"/>
    <s v="C0203"/>
    <n v="1"/>
    <n v="5"/>
    <n v="45000"/>
    <s v="Naija Mart Ikeja"/>
    <n v="42750"/>
    <s v="Electronics"/>
    <x v="10"/>
  </r>
  <r>
    <s v="T00782"/>
    <d v="2025-05-11T00:00:00"/>
    <s v="BR002"/>
    <s v="P024"/>
    <s v="C0197"/>
    <n v="1"/>
    <n v="5"/>
    <n v="245000"/>
    <s v="Naija Mart Wuse"/>
    <n v="232750"/>
    <s v="Generators &amp; Power"/>
    <x v="3"/>
  </r>
  <r>
    <s v="T00599"/>
    <d v="2025-09-11T00:00:00"/>
    <s v="BR002"/>
    <s v="P006"/>
    <s v="C0195"/>
    <n v="3"/>
    <n v="5"/>
    <n v="78000"/>
    <s v="Naija Mart Wuse"/>
    <n v="222300"/>
    <s v="Electronics"/>
    <x v="2"/>
  </r>
  <r>
    <s v="T01218"/>
    <d v="2025-11-26T00:00:00"/>
    <s v="BR002"/>
    <s v="P022"/>
    <s v="C0063"/>
    <n v="1"/>
    <n v="10"/>
    <n v="5200"/>
    <s v="Naija Mart Wuse"/>
    <n v="4680"/>
    <s v="Small Gadgets"/>
    <x v="0"/>
  </r>
  <r>
    <s v="T00922"/>
    <d v="2025-03-07T00:00:00"/>
    <s v="BR001"/>
    <s v="P015"/>
    <s v="C0163"/>
    <n v="1"/>
    <n v="0"/>
    <n v="15000"/>
    <s v="Naija Mart Ikeja"/>
    <n v="15000"/>
    <s v="Home Appliances"/>
    <x v="7"/>
  </r>
  <r>
    <s v="T01136"/>
    <d v="2025-01-15T00:00:00"/>
    <s v="BR001"/>
    <s v="P005"/>
    <s v="C0027"/>
    <n v="1"/>
    <n v="15"/>
    <n v="95000"/>
    <s v="Naija Mart Ikeja"/>
    <n v="80750"/>
    <s v="Electronics"/>
    <x v="11"/>
  </r>
  <r>
    <s v="T01273"/>
    <d v="2025-02-07T00:00:00"/>
    <s v="BR002"/>
    <s v="P009"/>
    <s v="C0169"/>
    <n v="1"/>
    <n v="0"/>
    <n v="265000"/>
    <s v="Naija Mart Wuse"/>
    <n v="265000"/>
    <s v="Home Appliances"/>
    <x v="1"/>
  </r>
  <r>
    <s v="T00612"/>
    <d v="2025-07-22T00:00:00"/>
    <s v="BR003"/>
    <s v="P023"/>
    <s v="C0115"/>
    <n v="2"/>
    <n v="0"/>
    <n v="195000"/>
    <s v="Naija Mart GRA"/>
    <n v="390000"/>
    <s v="Generators &amp; Power"/>
    <x v="10"/>
  </r>
  <r>
    <s v="T00347"/>
    <d v="2025-10-28T00:00:00"/>
    <s v="BR003"/>
    <s v="P024"/>
    <s v="C0207"/>
    <n v="1"/>
    <n v="10"/>
    <n v="245000"/>
    <s v="Naija Mart GRA"/>
    <n v="220500"/>
    <s v="Generators &amp; Power"/>
    <x v="8"/>
  </r>
  <r>
    <s v="T00756"/>
    <d v="2025-01-23T00:00:00"/>
    <s v="BR002"/>
    <s v="P019"/>
    <s v="C0035"/>
    <n v="2"/>
    <n v="0"/>
    <n v="21000"/>
    <s v="Naija Mart Wuse"/>
    <n v="42000"/>
    <s v="Small Gadgets"/>
    <x v="11"/>
  </r>
  <r>
    <s v="T00697"/>
    <d v="2025-06-10T00:00:00"/>
    <s v="BR001"/>
    <s v="P012"/>
    <s v="C0015"/>
    <n v="5"/>
    <n v="15"/>
    <n v="28000"/>
    <s v="Naija Mart Ikeja"/>
    <n v="119000"/>
    <s v="Home Appliances"/>
    <x v="9"/>
  </r>
  <r>
    <s v="T01203"/>
    <d v="2025-09-25T00:00:00"/>
    <s v="BR002"/>
    <s v="P022"/>
    <s v="C0140"/>
    <n v="2"/>
    <n v="0"/>
    <n v="5200"/>
    <s v="Naija Mart Wuse"/>
    <n v="10400"/>
    <s v="Small Gadgets"/>
    <x v="2"/>
  </r>
  <r>
    <s v="T01114"/>
    <d v="2025-07-28T00:00:00"/>
    <s v="BR003"/>
    <s v="P022"/>
    <s v="C0117"/>
    <n v="1"/>
    <n v="0"/>
    <n v="5200"/>
    <s v="Naija Mart GRA"/>
    <n v="5200"/>
    <s v="Small Gadgets"/>
    <x v="10"/>
  </r>
  <r>
    <s v="T00126"/>
    <d v="2025-09-27T00:00:00"/>
    <s v="BR003"/>
    <s v="P011"/>
    <s v="C0114"/>
    <n v="1"/>
    <n v="5"/>
    <n v="74000"/>
    <s v="Naija Mart GRA"/>
    <n v="70300"/>
    <s v="Home Appliances"/>
    <x v="2"/>
  </r>
  <r>
    <s v="T00840"/>
    <d v="2025-12-08T00:00:00"/>
    <s v="BR001"/>
    <s v="P011"/>
    <s v="C0079"/>
    <n v="1"/>
    <n v="0"/>
    <n v="74000"/>
    <s v="Naija Mart Ikeja"/>
    <n v="74000"/>
    <s v="Home Appliances"/>
    <x v="4"/>
  </r>
  <r>
    <s v="T00636"/>
    <d v="2025-08-11T00:00:00"/>
    <s v="BR003"/>
    <s v="P009"/>
    <s v="C0052"/>
    <n v="2"/>
    <n v="15"/>
    <n v="265000"/>
    <s v="Naija Mart GRA"/>
    <n v="450500"/>
    <s v="Home Appliances"/>
    <x v="6"/>
  </r>
  <r>
    <s v="T00716"/>
    <d v="2025-03-01T00:00:00"/>
    <s v="BR003"/>
    <s v="P010"/>
    <s v="C0054"/>
    <n v="1"/>
    <n v="20"/>
    <n v="62000"/>
    <s v="Naija Mart GRA"/>
    <n v="49600"/>
    <s v="Home Appliances"/>
    <x v="7"/>
  </r>
  <r>
    <s v="T01211"/>
    <d v="2025-04-21T00:00:00"/>
    <s v="BR001"/>
    <s v="P002"/>
    <s v="C0018"/>
    <n v="1"/>
    <n v="10"/>
    <n v="320000"/>
    <s v="Naija Mart Ikeja"/>
    <n v="288000"/>
    <s v="Electronics"/>
    <x v="5"/>
  </r>
  <r>
    <s v="T00290"/>
    <d v="2025-06-28T00:00:00"/>
    <s v="BR001"/>
    <s v="P022"/>
    <s v="C0154"/>
    <n v="1"/>
    <n v="0"/>
    <n v="5200"/>
    <s v="Naija Mart Ikeja"/>
    <n v="5200"/>
    <s v="Small Gadgets"/>
    <x v="9"/>
  </r>
  <r>
    <s v="T00963"/>
    <d v="2025-01-02T00:00:00"/>
    <s v="BR001"/>
    <s v="P021"/>
    <s v="C0111"/>
    <n v="1"/>
    <n v="0"/>
    <n v="6500"/>
    <s v="Naija Mart Ikeja"/>
    <n v="6500"/>
    <s v="Small Gadgets"/>
    <x v="11"/>
  </r>
  <r>
    <s v="T00745"/>
    <d v="2025-01-17T00:00:00"/>
    <s v="BR001"/>
    <s v="P008"/>
    <s v="C0165"/>
    <n v="1"/>
    <n v="5"/>
    <n v="410000"/>
    <s v="Naija Mart Ikeja"/>
    <n v="389500"/>
    <s v="Home Appliances"/>
    <x v="11"/>
  </r>
  <r>
    <s v="T00736"/>
    <d v="2025-11-19T00:00:00"/>
    <s v="BR001"/>
    <s v="P005"/>
    <s v="C0095"/>
    <n v="1"/>
    <n v="0"/>
    <n v="95000"/>
    <s v="Naija Mart Ikeja"/>
    <n v="95000"/>
    <s v="Electronics"/>
    <x v="0"/>
  </r>
  <r>
    <s v="T00054"/>
    <d v="2025-01-03T00:00:00"/>
    <s v="BR001"/>
    <s v="P024"/>
    <s v="C0196"/>
    <n v="1"/>
    <n v="10"/>
    <n v="245000"/>
    <s v="Naija Mart Ikeja"/>
    <n v="220500"/>
    <s v="Generators &amp; Power"/>
    <x v="11"/>
  </r>
  <r>
    <s v="T00936"/>
    <d v="2025-08-06T00:00:00"/>
    <s v="BR003"/>
    <s v="P024"/>
    <s v="C0001"/>
    <n v="1"/>
    <n v="10"/>
    <n v="245000"/>
    <s v="Naija Mart GRA"/>
    <n v="220500"/>
    <s v="Generators &amp; Power"/>
    <x v="6"/>
  </r>
  <r>
    <s v="T00703"/>
    <d v="2025-04-25T00:00:00"/>
    <s v="BR003"/>
    <s v="P005"/>
    <s v="C0160"/>
    <n v="2"/>
    <n v="0"/>
    <n v="95000"/>
    <s v="Naija Mart GRA"/>
    <n v="190000"/>
    <s v="Electronics"/>
    <x v="5"/>
  </r>
  <r>
    <s v="T00041"/>
    <d v="2025-03-16T00:00:00"/>
    <s v="BR003"/>
    <s v="P021"/>
    <s v="C0067"/>
    <n v="2"/>
    <n v="5"/>
    <n v="6500"/>
    <s v="Naija Mart GRA"/>
    <n v="12350"/>
    <s v="Small Gadgets"/>
    <x v="7"/>
  </r>
  <r>
    <s v="T00620"/>
    <d v="2025-01-06T00:00:00"/>
    <s v="BR002"/>
    <s v="P009"/>
    <s v="C0175"/>
    <n v="1"/>
    <n v="15"/>
    <n v="265000"/>
    <s v="Naija Mart Wuse"/>
    <n v="225250"/>
    <s v="Home Appliances"/>
    <x v="11"/>
  </r>
  <r>
    <s v="T00913"/>
    <d v="2025-02-16T00:00:00"/>
    <s v="BR001"/>
    <s v="P020"/>
    <s v="C0122"/>
    <n v="5"/>
    <n v="0"/>
    <n v="8500"/>
    <s v="Naija Mart Ikeja"/>
    <n v="42500"/>
    <s v="Small Gadgets"/>
    <x v="1"/>
  </r>
  <r>
    <s v="T00475"/>
    <d v="2025-12-28T00:00:00"/>
    <s v="BR002"/>
    <s v="P020"/>
    <s v="C0150"/>
    <n v="1"/>
    <n v="15"/>
    <n v="8500"/>
    <s v="Naija Mart Wuse"/>
    <n v="7225"/>
    <s v="Small Gadgets"/>
    <x v="4"/>
  </r>
  <r>
    <s v="T01196"/>
    <d v="2025-06-27T00:00:00"/>
    <s v="BR003"/>
    <s v="P019"/>
    <s v="C0063"/>
    <n v="2"/>
    <n v="10"/>
    <n v="21000"/>
    <s v="Naija Mart GRA"/>
    <n v="37800"/>
    <s v="Small Gadgets"/>
    <x v="9"/>
  </r>
  <r>
    <s v="T00084"/>
    <d v="2025-11-27T00:00:00"/>
    <s v="BR002"/>
    <s v="P007"/>
    <s v="C0183"/>
    <n v="1"/>
    <n v="15"/>
    <n v="145000"/>
    <s v="Naija Mart Wuse"/>
    <n v="123250"/>
    <s v="Electronics"/>
    <x v="0"/>
  </r>
  <r>
    <s v="T00116"/>
    <d v="2025-06-04T00:00:00"/>
    <s v="BR002"/>
    <s v="P001"/>
    <s v="C0171"/>
    <n v="1"/>
    <n v="0"/>
    <n v="185000"/>
    <s v="Naija Mart Wuse"/>
    <n v="185000"/>
    <s v="Electronics"/>
    <x v="9"/>
  </r>
  <r>
    <s v="T01086"/>
    <d v="2025-08-05T00:00:00"/>
    <s v="BR001"/>
    <s v="P003"/>
    <s v="C0163"/>
    <n v="1"/>
    <n v="0"/>
    <n v="45000"/>
    <s v="Naija Mart Ikeja"/>
    <n v="45000"/>
    <s v="Electronics"/>
    <x v="6"/>
  </r>
  <r>
    <s v="T00329"/>
    <d v="2025-03-17T00:00:00"/>
    <s v="BR002"/>
    <s v="P015"/>
    <s v="C0183"/>
    <n v="1"/>
    <n v="0"/>
    <n v="15000"/>
    <s v="Naija Mart Wuse"/>
    <n v="15000"/>
    <s v="Home Appliances"/>
    <x v="7"/>
  </r>
  <r>
    <s v="T00678"/>
    <d v="2025-11-21T00:00:00"/>
    <s v="BR002"/>
    <s v="P017"/>
    <s v="C0117"/>
    <n v="1"/>
    <n v="10"/>
    <n v="24000"/>
    <s v="Naija Mart Wuse"/>
    <n v="21600"/>
    <s v="Home Appliances"/>
    <x v="0"/>
  </r>
  <r>
    <s v="T00588"/>
    <d v="2025-12-05T00:00:00"/>
    <s v="BR001"/>
    <s v="P014"/>
    <s v="C0006"/>
    <n v="2"/>
    <n v="0"/>
    <n v="285000"/>
    <s v="Naija Mart Ikeja"/>
    <n v="570000"/>
    <s v="Home Appliances"/>
    <x v="4"/>
  </r>
  <r>
    <s v="T00547"/>
    <d v="2025-09-17T00:00:00"/>
    <s v="BR004"/>
    <s v="P022"/>
    <s v="C0073"/>
    <n v="2"/>
    <n v="0"/>
    <n v="5200"/>
    <s v="Naija Mart Sabon Gari"/>
    <n v="10400"/>
    <s v="Small Gadgets"/>
    <x v="2"/>
  </r>
  <r>
    <s v="T01173"/>
    <d v="2025-08-07T00:00:00"/>
    <s v="BR002"/>
    <s v="P003"/>
    <s v="C0054"/>
    <n v="1"/>
    <n v="10"/>
    <n v="45000"/>
    <s v="Naija Mart Wuse"/>
    <n v="40500"/>
    <s v="Electronics"/>
    <x v="6"/>
  </r>
  <r>
    <s v="T00504"/>
    <d v="2025-04-18T00:00:00"/>
    <s v="BR003"/>
    <s v="P004"/>
    <s v="C0104"/>
    <n v="1"/>
    <n v="0"/>
    <n v="38000"/>
    <s v="Naija Mart GRA"/>
    <n v="38000"/>
    <s v="Electronics"/>
    <x v="5"/>
  </r>
  <r>
    <s v="T01296"/>
    <d v="2025-03-09T00:00:00"/>
    <s v="BR001"/>
    <s v="P023"/>
    <s v="C0148"/>
    <n v="1"/>
    <n v="0"/>
    <n v="195000"/>
    <s v="Naija Mart Ikeja"/>
    <n v="195000"/>
    <s v="Generators &amp; Power"/>
    <x v="7"/>
  </r>
  <r>
    <s v="T01151"/>
    <d v="2025-05-12T00:00:00"/>
    <s v="BR001"/>
    <s v="P002"/>
    <s v="C0022"/>
    <n v="2"/>
    <n v="15"/>
    <n v="320000"/>
    <s v="Naija Mart Ikeja"/>
    <n v="544000"/>
    <s v="Electronics"/>
    <x v="3"/>
  </r>
  <r>
    <s v="T00097"/>
    <d v="2025-11-14T00:00:00"/>
    <s v="BR002"/>
    <s v="P008"/>
    <s v="C0058"/>
    <n v="1"/>
    <n v="0"/>
    <n v="410000"/>
    <s v="Naija Mart Wuse"/>
    <n v="410000"/>
    <s v="Home Appliances"/>
    <x v="0"/>
  </r>
  <r>
    <s v="T00410"/>
    <d v="2025-09-22T00:00:00"/>
    <s v="BR001"/>
    <s v="P021"/>
    <s v="C0201"/>
    <n v="1"/>
    <n v="0"/>
    <n v="6500"/>
    <s v="Naija Mart Ikeja"/>
    <n v="6500"/>
    <s v="Small Gadgets"/>
    <x v="2"/>
  </r>
  <r>
    <s v="T01282"/>
    <d v="2025-01-09T00:00:00"/>
    <s v="BR003"/>
    <s v="P017"/>
    <s v="C0142"/>
    <n v="1"/>
    <n v="10"/>
    <n v="24000"/>
    <s v="Naija Mart GRA"/>
    <n v="21600"/>
    <s v="Home Appliances"/>
    <x v="11"/>
  </r>
  <r>
    <s v="T01385"/>
    <d v="2025-12-16T00:00:00"/>
    <s v="BR003"/>
    <s v="P009"/>
    <s v="C0090"/>
    <n v="1"/>
    <n v="15"/>
    <n v="265000"/>
    <s v="Naija Mart GRA"/>
    <n v="225250"/>
    <s v="Home Appliances"/>
    <x v="4"/>
  </r>
  <r>
    <s v="T00049"/>
    <d v="2025-09-04T00:00:00"/>
    <s v="BR001"/>
    <s v="P025"/>
    <s v="C0126"/>
    <n v="1"/>
    <n v="20"/>
    <n v="175000"/>
    <s v="Naija Mart Ikeja"/>
    <n v="140000"/>
    <s v="Generators &amp; Power"/>
    <x v="2"/>
  </r>
  <r>
    <s v="T00682"/>
    <d v="2025-12-11T00:00:00"/>
    <s v="BR001"/>
    <s v="P006"/>
    <s v="C0154"/>
    <n v="1"/>
    <n v="5"/>
    <n v="78000"/>
    <s v="Naija Mart Ikeja"/>
    <n v="74100"/>
    <s v="Electronics"/>
    <x v="4"/>
  </r>
  <r>
    <s v="T01049"/>
    <d v="2025-09-08T00:00:00"/>
    <s v="BR001"/>
    <s v="P012"/>
    <s v="C0040"/>
    <n v="1"/>
    <n v="10"/>
    <n v="28000"/>
    <s v="Naija Mart Ikeja"/>
    <n v="25200"/>
    <s v="Home Appliances"/>
    <x v="2"/>
  </r>
  <r>
    <s v="T00154"/>
    <d v="2025-11-27T00:00:00"/>
    <s v="BR004"/>
    <s v="P009"/>
    <s v="C0120"/>
    <n v="1"/>
    <n v="0"/>
    <n v="265000"/>
    <s v="Naija Mart Sabon Gari"/>
    <n v="265000"/>
    <s v="Home Appliances"/>
    <x v="0"/>
  </r>
  <r>
    <s v="T00238"/>
    <d v="2025-02-14T00:00:00"/>
    <s v="BR001"/>
    <s v="P001"/>
    <s v="C0071"/>
    <n v="1"/>
    <n v="0"/>
    <n v="185000"/>
    <s v="Naija Mart Ikeja"/>
    <n v="185000"/>
    <s v="Electronics"/>
    <x v="1"/>
  </r>
  <r>
    <s v="T00055"/>
    <d v="2025-04-25T00:00:00"/>
    <s v="BR004"/>
    <s v="P004"/>
    <s v="C0160"/>
    <n v="1"/>
    <n v="0"/>
    <n v="38000"/>
    <s v="Naija Mart Sabon Gari"/>
    <n v="38000"/>
    <s v="Electronics"/>
    <x v="5"/>
  </r>
  <r>
    <s v="T00124"/>
    <d v="2025-04-09T00:00:00"/>
    <s v="BR001"/>
    <s v="P024"/>
    <s v="C0098"/>
    <n v="1"/>
    <n v="0"/>
    <n v="245000"/>
    <s v="Naija Mart Ikeja"/>
    <n v="245000"/>
    <s v="Generators &amp; Power"/>
    <x v="5"/>
  </r>
  <r>
    <s v="T00135"/>
    <d v="2025-03-15T00:00:00"/>
    <s v="BR004"/>
    <s v="P002"/>
    <s v="C0094"/>
    <n v="2"/>
    <n v="0"/>
    <n v="320000"/>
    <s v="Naija Mart Sabon Gari"/>
    <n v="640000"/>
    <s v="Electronics"/>
    <x v="7"/>
  </r>
  <r>
    <s v="T00269"/>
    <d v="2025-10-03T00:00:00"/>
    <s v="BR001"/>
    <s v="P010"/>
    <s v="C0045"/>
    <n v="2"/>
    <n v="10"/>
    <n v="62000"/>
    <s v="Naija Mart Ikeja"/>
    <n v="111600"/>
    <s v="Home Appliances"/>
    <x v="8"/>
  </r>
  <r>
    <s v="T00098"/>
    <d v="2025-07-06T00:00:00"/>
    <s v="BR002"/>
    <s v="P008"/>
    <s v="C0025"/>
    <n v="1"/>
    <n v="0"/>
    <n v="410000"/>
    <s v="Naija Mart Wuse"/>
    <n v="410000"/>
    <s v="Home Appliances"/>
    <x v="10"/>
  </r>
  <r>
    <s v="T00221"/>
    <d v="2025-10-12T00:00:00"/>
    <s v="BR004"/>
    <s v="P021"/>
    <s v="C0151"/>
    <n v="2"/>
    <n v="5"/>
    <n v="6500"/>
    <s v="Naija Mart Sabon Gari"/>
    <n v="12350"/>
    <s v="Small Gadgets"/>
    <x v="8"/>
  </r>
  <r>
    <s v="T00042"/>
    <d v="2025-02-15T00:00:00"/>
    <s v="BR001"/>
    <s v="P007"/>
    <s v="C0006"/>
    <n v="1"/>
    <n v="0"/>
    <n v="145000"/>
    <s v="Naija Mart Ikeja"/>
    <n v="145000"/>
    <s v="Electronics"/>
    <x v="1"/>
  </r>
  <r>
    <s v="T00881"/>
    <d v="2025-10-02T00:00:00"/>
    <s v="BR001"/>
    <s v="P012"/>
    <s v="C0183"/>
    <n v="1"/>
    <n v="0"/>
    <n v="28000"/>
    <s v="Naija Mart Ikeja"/>
    <n v="28000"/>
    <s v="Home Appliances"/>
    <x v="8"/>
  </r>
  <r>
    <s v="T00417"/>
    <d v="2025-03-12T00:00:00"/>
    <s v="BR001"/>
    <s v="P013"/>
    <s v="C0099"/>
    <n v="1"/>
    <n v="10"/>
    <n v="22000"/>
    <s v="Naija Mart Ikeja"/>
    <n v="19800"/>
    <s v="Home Appliances"/>
    <x v="7"/>
  </r>
  <r>
    <s v="T00759"/>
    <d v="2025-09-17T00:00:00"/>
    <s v="BR001"/>
    <s v="P025"/>
    <s v="C0063"/>
    <n v="1"/>
    <n v="0"/>
    <n v="175000"/>
    <s v="Naija Mart Ikeja"/>
    <n v="175000"/>
    <s v="Generators &amp; Power"/>
    <x v="2"/>
  </r>
  <r>
    <s v="T01257"/>
    <d v="2025-03-24T00:00:00"/>
    <s v="BR001"/>
    <s v="P001"/>
    <s v="C0137"/>
    <n v="2"/>
    <n v="5"/>
    <n v="185000"/>
    <s v="Naija Mart Ikeja"/>
    <n v="351500"/>
    <s v="Electronics"/>
    <x v="7"/>
  </r>
  <r>
    <s v="T00829"/>
    <d v="2025-05-05T00:00:00"/>
    <s v="BR001"/>
    <s v="P005"/>
    <s v="C0004"/>
    <n v="1"/>
    <n v="20"/>
    <n v="95000"/>
    <s v="Naija Mart Ikeja"/>
    <n v="76000"/>
    <s v="Electronics"/>
    <x v="3"/>
  </r>
  <r>
    <s v="T00534"/>
    <d v="2025-11-10T00:00:00"/>
    <s v="BR002"/>
    <s v="P022"/>
    <s v="C0140"/>
    <n v="1"/>
    <n v="15"/>
    <n v="5200"/>
    <s v="Naija Mart Wuse"/>
    <n v="4420"/>
    <s v="Small Gadgets"/>
    <x v="0"/>
  </r>
  <r>
    <s v="T00013"/>
    <d v="2025-03-26T00:00:00"/>
    <s v="BR001"/>
    <s v="P018"/>
    <s v="C0180"/>
    <n v="1"/>
    <n v="20"/>
    <n v="18000"/>
    <s v="Naija Mart Ikeja"/>
    <n v="14400"/>
    <s v="Small Gadgets"/>
    <x v="7"/>
  </r>
  <r>
    <s v="T00643"/>
    <d v="2025-12-28T00:00:00"/>
    <s v="BR001"/>
    <s v="P007"/>
    <s v="C0009"/>
    <n v="1"/>
    <n v="10"/>
    <n v="145000"/>
    <s v="Naija Mart Ikeja"/>
    <n v="130500"/>
    <s v="Electronics"/>
    <x v="4"/>
  </r>
  <r>
    <s v="T00499"/>
    <d v="2025-04-04T00:00:00"/>
    <s v="BR002"/>
    <s v="P007"/>
    <s v="C0165"/>
    <n v="1"/>
    <n v="0"/>
    <n v="145000"/>
    <s v="Naija Mart Wuse"/>
    <n v="145000"/>
    <s v="Electronics"/>
    <x v="5"/>
  </r>
  <r>
    <s v="T00973"/>
    <d v="2025-10-26T00:00:00"/>
    <s v="BR001"/>
    <s v="P025"/>
    <s v="C0215"/>
    <n v="2"/>
    <n v="0"/>
    <n v="175000"/>
    <s v="Naija Mart Ikeja"/>
    <n v="350000"/>
    <s v="Generators &amp; Power"/>
    <x v="8"/>
  </r>
  <r>
    <s v="T00669"/>
    <d v="2025-01-17T00:00:00"/>
    <s v="BR001"/>
    <s v="P018"/>
    <s v="C0220"/>
    <n v="1"/>
    <n v="0"/>
    <n v="18000"/>
    <s v="Naija Mart Ikeja"/>
    <n v="18000"/>
    <s v="Small Gadgets"/>
    <x v="11"/>
  </r>
  <r>
    <s v="T00518"/>
    <d v="2025-09-02T00:00:00"/>
    <s v="BR003"/>
    <s v="P009"/>
    <s v="C0216"/>
    <n v="1"/>
    <n v="5"/>
    <n v="265000"/>
    <s v="Naija Mart GRA"/>
    <n v="251750"/>
    <s v="Home Appliances"/>
    <x v="2"/>
  </r>
  <r>
    <s v="T01347"/>
    <d v="2025-11-26T00:00:00"/>
    <s v="BR002"/>
    <s v="P010"/>
    <s v="C0156"/>
    <n v="1"/>
    <n v="10"/>
    <n v="62000"/>
    <s v="Naija Mart Wuse"/>
    <n v="55800"/>
    <s v="Home Appliances"/>
    <x v="0"/>
  </r>
  <r>
    <s v="T00566"/>
    <d v="2025-08-22T00:00:00"/>
    <s v="BR001"/>
    <s v="P011"/>
    <s v="C0169"/>
    <n v="1"/>
    <n v="0"/>
    <n v="74000"/>
    <s v="Naija Mart Ikeja"/>
    <n v="74000"/>
    <s v="Home Appliances"/>
    <x v="6"/>
  </r>
  <r>
    <s v="T00803"/>
    <d v="2025-08-22T00:00:00"/>
    <s v="BR002"/>
    <s v="P012"/>
    <s v="C0184"/>
    <n v="1"/>
    <n v="0"/>
    <n v="28000"/>
    <s v="Naija Mart Wuse"/>
    <n v="28000"/>
    <s v="Home Appliances"/>
    <x v="6"/>
  </r>
  <r>
    <s v="T00880"/>
    <d v="2025-04-06T00:00:00"/>
    <s v="BR001"/>
    <s v="P004"/>
    <s v="C0116"/>
    <n v="1"/>
    <n v="10"/>
    <n v="38000"/>
    <s v="Naija Mart Ikeja"/>
    <n v="34200"/>
    <s v="Electronics"/>
    <x v="5"/>
  </r>
  <r>
    <s v="T00650"/>
    <d v="2025-02-19T00:00:00"/>
    <s v="BR001"/>
    <s v="P006"/>
    <s v="C0192"/>
    <n v="1"/>
    <n v="0"/>
    <n v="78000"/>
    <s v="Naija Mart Ikeja"/>
    <n v="78000"/>
    <s v="Electronics"/>
    <x v="1"/>
  </r>
  <r>
    <s v="T01324"/>
    <d v="2025-12-17T00:00:00"/>
    <s v="BR001"/>
    <s v="P018"/>
    <s v="C0012"/>
    <n v="1"/>
    <n v="0"/>
    <n v="18000"/>
    <s v="Naija Mart Ikeja"/>
    <n v="18000"/>
    <s v="Small Gadgets"/>
    <x v="4"/>
  </r>
  <r>
    <s v="T01099"/>
    <d v="2025-07-06T00:00:00"/>
    <s v="BR001"/>
    <s v="P015"/>
    <s v="C0066"/>
    <n v="1"/>
    <n v="0"/>
    <n v="15000"/>
    <s v="Naija Mart Ikeja"/>
    <n v="15000"/>
    <s v="Home Appliances"/>
    <x v="10"/>
  </r>
  <r>
    <s v="T00508"/>
    <d v="2025-08-14T00:00:00"/>
    <s v="BR003"/>
    <s v="P020"/>
    <s v="C0030"/>
    <n v="1"/>
    <n v="0"/>
    <n v="8500"/>
    <s v="Naija Mart GRA"/>
    <n v="8500"/>
    <s v="Small Gadgets"/>
    <x v="6"/>
  </r>
  <r>
    <s v="T00735"/>
    <d v="2025-12-13T00:00:00"/>
    <s v="BR003"/>
    <s v="P025"/>
    <s v="C0125"/>
    <n v="2"/>
    <n v="20"/>
    <n v="175000"/>
    <s v="Naija Mart GRA"/>
    <n v="280000"/>
    <s v="Generators &amp; Power"/>
    <x v="4"/>
  </r>
  <r>
    <s v="T00994"/>
    <d v="2025-03-11T00:00:00"/>
    <s v="BR004"/>
    <s v="P003"/>
    <s v="C0007"/>
    <n v="1"/>
    <n v="30"/>
    <n v="45000"/>
    <s v="Naija Mart Sabon Gari"/>
    <n v="31499.999999999996"/>
    <s v="Electronics"/>
    <x v="7"/>
  </r>
  <r>
    <s v="T00386"/>
    <d v="2025-09-18T00:00:00"/>
    <s v="BR002"/>
    <s v="P017"/>
    <s v="C0211"/>
    <n v="1"/>
    <n v="5"/>
    <n v="24000"/>
    <s v="Naija Mart Wuse"/>
    <n v="22800"/>
    <s v="Home Appliances"/>
    <x v="2"/>
  </r>
  <r>
    <s v="T00859"/>
    <d v="2025-08-25T00:00:00"/>
    <s v="BR003"/>
    <s v="P006"/>
    <s v="C0148"/>
    <n v="1"/>
    <n v="0"/>
    <n v="78000"/>
    <s v="Naija Mart GRA"/>
    <n v="78000"/>
    <s v="Electronics"/>
    <x v="6"/>
  </r>
  <r>
    <s v="T00337"/>
    <d v="2025-06-28T00:00:00"/>
    <s v="BR001"/>
    <s v="P013"/>
    <s v="C0108"/>
    <n v="1"/>
    <n v="0"/>
    <n v="22000"/>
    <s v="Naija Mart Ikeja"/>
    <n v="22000"/>
    <s v="Home Appliances"/>
    <x v="9"/>
  </r>
  <r>
    <s v="T00233"/>
    <d v="2025-02-07T00:00:00"/>
    <s v="BR004"/>
    <s v="P025"/>
    <s v="C0017"/>
    <n v="1"/>
    <n v="0"/>
    <n v="175000"/>
    <s v="Naija Mart Sabon Gari"/>
    <n v="175000"/>
    <s v="Generators &amp; Power"/>
    <x v="1"/>
  </r>
  <r>
    <s v="T00490"/>
    <d v="2025-09-13T00:00:00"/>
    <s v="BR001"/>
    <s v="P020"/>
    <s v="C0167"/>
    <n v="1"/>
    <n v="0"/>
    <n v="8500"/>
    <s v="Naija Mart Ikeja"/>
    <n v="8500"/>
    <s v="Small Gadgets"/>
    <x v="2"/>
  </r>
  <r>
    <s v="T00468"/>
    <d v="2025-09-28T00:00:00"/>
    <s v="BR003"/>
    <s v="P008"/>
    <s v="C0007"/>
    <n v="2"/>
    <n v="0"/>
    <n v="410000"/>
    <s v="Naija Mart GRA"/>
    <n v="820000"/>
    <s v="Home Appliances"/>
    <x v="2"/>
  </r>
  <r>
    <s v="T00604"/>
    <d v="2025-09-01T00:00:00"/>
    <s v="BR001"/>
    <s v="P016"/>
    <s v="C0119"/>
    <n v="1"/>
    <n v="15"/>
    <n v="19500"/>
    <s v="Naija Mart Ikeja"/>
    <n v="16575"/>
    <s v="Home Appliances"/>
    <x v="2"/>
  </r>
  <r>
    <s v="T00653"/>
    <d v="2025-01-13T00:00:00"/>
    <s v="BR001"/>
    <s v="P025"/>
    <s v="C0132"/>
    <n v="1"/>
    <n v="0"/>
    <n v="175000"/>
    <s v="Naija Mart Ikeja"/>
    <n v="175000"/>
    <s v="Generators &amp; Power"/>
    <x v="11"/>
  </r>
  <r>
    <s v="T00298"/>
    <d v="2025-04-20T00:00:00"/>
    <s v="BR002"/>
    <s v="P021"/>
    <s v="C0158"/>
    <n v="1"/>
    <n v="0"/>
    <n v="6500"/>
    <s v="Naija Mart Wuse"/>
    <n v="6500"/>
    <s v="Small Gadgets"/>
    <x v="5"/>
  </r>
  <r>
    <s v="T01223"/>
    <d v="2025-01-15T00:00:00"/>
    <s v="BR001"/>
    <s v="P025"/>
    <s v="C0140"/>
    <n v="1"/>
    <n v="5"/>
    <n v="175000"/>
    <s v="Naija Mart Ikeja"/>
    <n v="166250"/>
    <s v="Generators &amp; Power"/>
    <x v="11"/>
  </r>
  <r>
    <s v="T00985"/>
    <d v="2025-12-06T00:00:00"/>
    <s v="BR001"/>
    <s v="P025"/>
    <s v="C0041"/>
    <n v="1"/>
    <n v="0"/>
    <n v="175000"/>
    <s v="Naija Mart Ikeja"/>
    <n v="175000"/>
    <s v="Generators &amp; Power"/>
    <x v="4"/>
  </r>
  <r>
    <s v="T00603"/>
    <d v="2025-11-15T00:00:00"/>
    <s v="BR002"/>
    <s v="P012"/>
    <s v="C0051"/>
    <n v="1"/>
    <n v="15"/>
    <n v="28000"/>
    <s v="Naija Mart Wuse"/>
    <n v="23800"/>
    <s v="Home Appliances"/>
    <x v="0"/>
  </r>
  <r>
    <s v="T00206"/>
    <d v="2025-10-28T00:00:00"/>
    <s v="BR001"/>
    <s v="P009"/>
    <s v="C0138"/>
    <n v="2"/>
    <n v="0"/>
    <n v="265000"/>
    <s v="Naija Mart Ikeja"/>
    <n v="530000"/>
    <s v="Home Appliances"/>
    <x v="8"/>
  </r>
  <r>
    <s v="T01107"/>
    <d v="2025-01-28T00:00:00"/>
    <s v="BR004"/>
    <s v="P025"/>
    <s v="C0051"/>
    <n v="1"/>
    <n v="5"/>
    <n v="175000"/>
    <s v="Naija Mart Sabon Gari"/>
    <n v="166250"/>
    <s v="Generators &amp; Power"/>
    <x v="11"/>
  </r>
  <r>
    <s v="T00458"/>
    <d v="2025-04-11T00:00:00"/>
    <s v="BR002"/>
    <s v="P001"/>
    <s v="C0066"/>
    <n v="1"/>
    <n v="10"/>
    <n v="185000"/>
    <s v="Naija Mart Wuse"/>
    <n v="166500"/>
    <s v="Electronics"/>
    <x v="5"/>
  </r>
  <r>
    <s v="T00469"/>
    <d v="2025-05-22T00:00:00"/>
    <s v="BR001"/>
    <s v="P012"/>
    <s v="C0054"/>
    <n v="2"/>
    <n v="0"/>
    <n v="28000"/>
    <s v="Naija Mart Ikeja"/>
    <n v="56000"/>
    <s v="Home Appliances"/>
    <x v="3"/>
  </r>
  <r>
    <s v="T00738"/>
    <d v="2025-05-24T00:00:00"/>
    <s v="BR001"/>
    <s v="P010"/>
    <s v="C0142"/>
    <n v="1"/>
    <n v="15"/>
    <n v="62000"/>
    <s v="Naija Mart Ikeja"/>
    <n v="52700"/>
    <s v="Home Appliances"/>
    <x v="3"/>
  </r>
  <r>
    <s v="T00975"/>
    <d v="2025-12-01T00:00:00"/>
    <s v="BR001"/>
    <s v="P001"/>
    <s v="C0009"/>
    <n v="1"/>
    <n v="10"/>
    <n v="185000"/>
    <s v="Naija Mart Ikeja"/>
    <n v="166500"/>
    <s v="Electronics"/>
    <x v="4"/>
  </r>
  <r>
    <s v="T01179"/>
    <d v="2025-07-09T00:00:00"/>
    <s v="BR004"/>
    <s v="P001"/>
    <s v="C0074"/>
    <n v="2"/>
    <n v="15"/>
    <n v="185000"/>
    <s v="Naija Mart Sabon Gari"/>
    <n v="314500"/>
    <s v="Electronics"/>
    <x v="10"/>
  </r>
  <r>
    <s v="T00661"/>
    <d v="2025-12-26T00:00:00"/>
    <s v="BR002"/>
    <s v="P019"/>
    <s v="C0006"/>
    <n v="1"/>
    <n v="25"/>
    <n v="21000"/>
    <s v="Naija Mart Wuse"/>
    <n v="15750"/>
    <s v="Small Gadgets"/>
    <x v="4"/>
  </r>
  <r>
    <s v="T01267"/>
    <d v="2025-04-17T00:00:00"/>
    <s v="BR002"/>
    <s v="P011"/>
    <s v="C0123"/>
    <n v="1"/>
    <n v="0"/>
    <n v="74000"/>
    <s v="Naija Mart Wuse"/>
    <n v="74000"/>
    <s v="Home Appliances"/>
    <x v="5"/>
  </r>
  <r>
    <s v="T01328"/>
    <d v="2025-06-01T00:00:00"/>
    <s v="BR002"/>
    <s v="P013"/>
    <s v="C0017"/>
    <n v="2"/>
    <n v="0"/>
    <n v="22000"/>
    <s v="Naija Mart Wuse"/>
    <n v="44000"/>
    <s v="Home Appliances"/>
    <x v="9"/>
  </r>
  <r>
    <s v="T00557"/>
    <d v="2025-12-19T00:00:00"/>
    <s v="BR001"/>
    <s v="P002"/>
    <s v="C0144"/>
    <n v="1"/>
    <n v="5"/>
    <n v="320000"/>
    <s v="Naija Mart Ikeja"/>
    <n v="304000"/>
    <s v="Electronics"/>
    <x v="4"/>
  </r>
  <r>
    <s v="T00771"/>
    <d v="2025-03-02T00:00:00"/>
    <s v="BR002"/>
    <s v="P017"/>
    <s v="C0112"/>
    <n v="1"/>
    <n v="0"/>
    <n v="24000"/>
    <s v="Naija Mart Wuse"/>
    <n v="24000"/>
    <s v="Home Appliances"/>
    <x v="7"/>
  </r>
  <r>
    <s v="T01399"/>
    <d v="2025-06-18T00:00:00"/>
    <s v="BR004"/>
    <s v="P016"/>
    <s v="C0155"/>
    <n v="1"/>
    <n v="0"/>
    <n v="19500"/>
    <s v="Naija Mart Sabon Gari"/>
    <n v="19500"/>
    <s v="Home Appliances"/>
    <x v="9"/>
  </r>
  <r>
    <s v="T01243"/>
    <d v="2025-08-12T00:00:00"/>
    <s v="BR001"/>
    <s v="P002"/>
    <s v="C0055"/>
    <n v="1"/>
    <n v="15"/>
    <n v="320000"/>
    <s v="Naija Mart Ikeja"/>
    <n v="272000"/>
    <s v="Electronics"/>
    <x v="6"/>
  </r>
  <r>
    <s v="T00656"/>
    <d v="2025-10-12T00:00:00"/>
    <s v="BR001"/>
    <s v="P022"/>
    <s v="C0022"/>
    <n v="1"/>
    <n v="5"/>
    <n v="5200"/>
    <s v="Naija Mart Ikeja"/>
    <n v="4940"/>
    <s v="Small Gadgets"/>
    <x v="8"/>
  </r>
  <r>
    <s v="T01280"/>
    <d v="2025-11-16T00:00:00"/>
    <s v="BR003"/>
    <s v="P021"/>
    <s v="C0183"/>
    <n v="1"/>
    <n v="30"/>
    <n v="6500"/>
    <s v="Naija Mart GRA"/>
    <n v="4550"/>
    <s v="Small Gadgets"/>
    <x v="0"/>
  </r>
  <r>
    <s v="T00586"/>
    <d v="2025-11-01T00:00:00"/>
    <s v="BR002"/>
    <s v="P019"/>
    <s v="C0106"/>
    <n v="1"/>
    <n v="15"/>
    <n v="21000"/>
    <s v="Naija Mart Wuse"/>
    <n v="17850"/>
    <s v="Small Gadgets"/>
    <x v="0"/>
  </r>
  <r>
    <s v="T00158"/>
    <d v="2025-01-16T00:00:00"/>
    <s v="BR004"/>
    <s v="P014"/>
    <s v="C0077"/>
    <n v="2"/>
    <n v="0"/>
    <n v="285000"/>
    <s v="Naija Mart Sabon Gari"/>
    <n v="570000"/>
    <s v="Home Appliances"/>
    <x v="11"/>
  </r>
  <r>
    <s v="T00666"/>
    <d v="2025-11-14T00:00:00"/>
    <s v="BR001"/>
    <s v="P013"/>
    <s v="C0131"/>
    <n v="2"/>
    <n v="15"/>
    <n v="22000"/>
    <s v="Naija Mart Ikeja"/>
    <n v="37400"/>
    <s v="Home Appliances"/>
    <x v="0"/>
  </r>
  <r>
    <s v="T01212"/>
    <d v="2025-07-18T00:00:00"/>
    <s v="BR001"/>
    <s v="P025"/>
    <s v="C0040"/>
    <n v="1"/>
    <n v="5"/>
    <n v="175000"/>
    <s v="Naija Mart Ikeja"/>
    <n v="166250"/>
    <s v="Generators &amp; Power"/>
    <x v="10"/>
  </r>
  <r>
    <s v="T00141"/>
    <d v="2025-07-17T00:00:00"/>
    <s v="BR001"/>
    <s v="P023"/>
    <s v="C0032"/>
    <n v="1"/>
    <n v="5"/>
    <n v="195000"/>
    <s v="Naija Mart Ikeja"/>
    <n v="185250"/>
    <s v="Generators &amp; Power"/>
    <x v="10"/>
  </r>
  <r>
    <s v="T00161"/>
    <d v="2025-11-18T00:00:00"/>
    <s v="BR004"/>
    <s v="P003"/>
    <s v="C0141"/>
    <n v="1"/>
    <n v="20"/>
    <n v="45000"/>
    <s v="Naija Mart Sabon Gari"/>
    <n v="36000"/>
    <s v="Electronics"/>
    <x v="0"/>
  </r>
  <r>
    <s v="T00306"/>
    <d v="2025-11-22T00:00:00"/>
    <s v="BR001"/>
    <s v="P009"/>
    <s v="C0118"/>
    <n v="1"/>
    <n v="25"/>
    <n v="265000"/>
    <s v="Naija Mart Ikeja"/>
    <n v="198750"/>
    <s v="Home Appliances"/>
    <x v="0"/>
  </r>
  <r>
    <s v="T01038"/>
    <d v="2025-12-22T00:00:00"/>
    <s v="BR004"/>
    <s v="P022"/>
    <s v="C0058"/>
    <n v="2"/>
    <n v="30"/>
    <n v="5200"/>
    <s v="Naija Mart Sabon Gari"/>
    <n v="7279.9999999999991"/>
    <s v="Small Gadgets"/>
    <x v="4"/>
  </r>
  <r>
    <s v="T01294"/>
    <d v="2025-12-12T00:00:00"/>
    <s v="BR002"/>
    <s v="P005"/>
    <s v="C0036"/>
    <n v="1"/>
    <n v="10"/>
    <n v="95000"/>
    <s v="Naija Mart Wuse"/>
    <n v="85500"/>
    <s v="Electronics"/>
    <x v="4"/>
  </r>
  <r>
    <s v="T01376"/>
    <d v="2025-11-05T00:00:00"/>
    <s v="BR002"/>
    <s v="P016"/>
    <s v="C0006"/>
    <n v="1"/>
    <n v="0"/>
    <n v="19500"/>
    <s v="Naija Mart Wuse"/>
    <n v="19500"/>
    <s v="Home Appliances"/>
    <x v="0"/>
  </r>
  <r>
    <s v="T00396"/>
    <d v="2025-05-11T00:00:00"/>
    <s v="BR001"/>
    <s v="P006"/>
    <s v="C0071"/>
    <n v="1"/>
    <n v="5"/>
    <n v="78000"/>
    <s v="Naija Mart Ikeja"/>
    <n v="74100"/>
    <s v="Electronics"/>
    <x v="3"/>
  </r>
  <r>
    <s v="T00505"/>
    <d v="2025-11-24T00:00:00"/>
    <s v="BR003"/>
    <s v="P002"/>
    <s v="C0108"/>
    <n v="1"/>
    <n v="0"/>
    <n v="320000"/>
    <s v="Naija Mart GRA"/>
    <n v="320000"/>
    <s v="Electronics"/>
    <x v="0"/>
  </r>
  <r>
    <s v="T00400"/>
    <d v="2025-06-20T00:00:00"/>
    <s v="BR001"/>
    <s v="P012"/>
    <s v="C0079"/>
    <n v="1"/>
    <n v="5"/>
    <n v="28000"/>
    <s v="Naija Mart Ikeja"/>
    <n v="26600"/>
    <s v="Home Appliances"/>
    <x v="9"/>
  </r>
  <r>
    <s v="T00879"/>
    <d v="2025-08-28T00:00:00"/>
    <s v="BR004"/>
    <s v="P019"/>
    <s v="C0089"/>
    <n v="1"/>
    <n v="0"/>
    <n v="21000"/>
    <s v="Naija Mart Sabon Gari"/>
    <n v="21000"/>
    <s v="Small Gadgets"/>
    <x v="6"/>
  </r>
  <r>
    <s v="T01201"/>
    <d v="2025-03-03T00:00:00"/>
    <s v="BR003"/>
    <s v="P014"/>
    <s v="C0212"/>
    <n v="1"/>
    <n v="0"/>
    <n v="285000"/>
    <s v="Naija Mart GRA"/>
    <n v="285000"/>
    <s v="Home Appliances"/>
    <x v="7"/>
  </r>
  <r>
    <s v="T00903"/>
    <d v="2025-04-02T00:00:00"/>
    <s v="BR001"/>
    <s v="P024"/>
    <s v="C0077"/>
    <n v="5"/>
    <n v="0"/>
    <n v="245000"/>
    <s v="Naija Mart Ikeja"/>
    <n v="1225000"/>
    <s v="Generators &amp; Power"/>
    <x v="5"/>
  </r>
  <r>
    <s v="T00901"/>
    <d v="2025-12-12T00:00:00"/>
    <s v="BR001"/>
    <s v="P004"/>
    <s v="C0087"/>
    <n v="5"/>
    <n v="5"/>
    <n v="38000"/>
    <s v="Naija Mart Ikeja"/>
    <n v="180500"/>
    <s v="Electronics"/>
    <x v="4"/>
  </r>
  <r>
    <s v="T00225"/>
    <d v="2025-12-25T00:00:00"/>
    <s v="BR001"/>
    <s v="P004"/>
    <s v="C0003"/>
    <n v="1"/>
    <n v="10"/>
    <n v="38000"/>
    <s v="Naija Mart Ikeja"/>
    <n v="34200"/>
    <s v="Electronics"/>
    <x v="4"/>
  </r>
  <r>
    <s v="T00982"/>
    <d v="2025-11-25T00:00:00"/>
    <s v="BR002"/>
    <s v="P023"/>
    <s v="C0030"/>
    <n v="1"/>
    <n v="15"/>
    <n v="195000"/>
    <s v="Naija Mart Wuse"/>
    <n v="165750"/>
    <s v="Generators &amp; Power"/>
    <x v="0"/>
  </r>
  <r>
    <s v="T01174"/>
    <d v="2025-12-01T00:00:00"/>
    <s v="BR004"/>
    <s v="P009"/>
    <s v="C0211"/>
    <n v="1"/>
    <n v="25"/>
    <n v="265000"/>
    <s v="Naija Mart Sabon Gari"/>
    <n v="198750"/>
    <s v="Home Appliances"/>
    <x v="4"/>
  </r>
  <r>
    <s v="T00356"/>
    <d v="2025-12-03T00:00:00"/>
    <s v="BR001"/>
    <s v="P015"/>
    <s v="C0001"/>
    <n v="1"/>
    <n v="0"/>
    <n v="15000"/>
    <s v="Naija Mart Ikeja"/>
    <n v="15000"/>
    <s v="Home Appliances"/>
    <x v="4"/>
  </r>
  <r>
    <s v="T01146"/>
    <d v="2025-08-25T00:00:00"/>
    <s v="BR002"/>
    <s v="P004"/>
    <s v="C0085"/>
    <n v="1"/>
    <n v="15"/>
    <n v="38000"/>
    <s v="Naija Mart Wuse"/>
    <n v="32300"/>
    <s v="Electronics"/>
    <x v="6"/>
  </r>
  <r>
    <s v="T00472"/>
    <d v="2025-03-21T00:00:00"/>
    <s v="BR001"/>
    <s v="P007"/>
    <s v="C0220"/>
    <n v="1"/>
    <n v="5"/>
    <n v="145000"/>
    <s v="Naija Mart Ikeja"/>
    <n v="137750"/>
    <s v="Electronics"/>
    <x v="7"/>
  </r>
  <r>
    <s v="T00964"/>
    <d v="2025-08-13T00:00:00"/>
    <s v="BR003"/>
    <s v="P023"/>
    <s v="C0003"/>
    <n v="1"/>
    <n v="0"/>
    <n v="195000"/>
    <s v="Naija Mart GRA"/>
    <n v="195000"/>
    <s v="Generators &amp; Power"/>
    <x v="6"/>
  </r>
  <r>
    <s v="T00863"/>
    <d v="2025-11-17T00:00:00"/>
    <s v="BR002"/>
    <s v="P011"/>
    <s v="C0099"/>
    <n v="1"/>
    <n v="10"/>
    <n v="74000"/>
    <s v="Naija Mart Wuse"/>
    <n v="66600"/>
    <s v="Home Appliances"/>
    <x v="0"/>
  </r>
  <r>
    <s v="T00852"/>
    <d v="2025-12-18T00:00:00"/>
    <s v="BR002"/>
    <s v="P005"/>
    <s v="C0131"/>
    <n v="1"/>
    <n v="0"/>
    <n v="95000"/>
    <s v="Naija Mart Wuse"/>
    <n v="95000"/>
    <s v="Electronics"/>
    <x v="4"/>
  </r>
  <r>
    <s v="T00955"/>
    <d v="2025-12-22T00:00:00"/>
    <s v="BR001"/>
    <s v="P024"/>
    <s v="C0149"/>
    <n v="1"/>
    <n v="20"/>
    <n v="245000"/>
    <s v="Naija Mart Ikeja"/>
    <n v="196000"/>
    <s v="Generators &amp; Power"/>
    <x v="4"/>
  </r>
  <r>
    <s v="T01008"/>
    <d v="2025-07-10T00:00:00"/>
    <s v="BR001"/>
    <s v="P002"/>
    <s v="C0189"/>
    <n v="5"/>
    <n v="0"/>
    <n v="320000"/>
    <s v="Naija Mart Ikeja"/>
    <n v="1600000"/>
    <s v="Electronics"/>
    <x v="10"/>
  </r>
  <r>
    <s v="T00027"/>
    <d v="2025-03-12T00:00:00"/>
    <s v="BR001"/>
    <s v="P015"/>
    <s v="C0066"/>
    <n v="1"/>
    <n v="20"/>
    <n v="15000"/>
    <s v="Naija Mart Ikeja"/>
    <n v="12000"/>
    <s v="Home Appliances"/>
    <x v="7"/>
  </r>
  <r>
    <s v="T01043"/>
    <d v="2025-05-15T00:00:00"/>
    <s v="BR001"/>
    <s v="P004"/>
    <s v="C0188"/>
    <n v="2"/>
    <n v="20"/>
    <n v="38000"/>
    <s v="Naija Mart Ikeja"/>
    <n v="60800"/>
    <s v="Electronics"/>
    <x v="3"/>
  </r>
  <r>
    <s v="T00359"/>
    <d v="2025-09-22T00:00:00"/>
    <s v="BR003"/>
    <s v="P006"/>
    <s v="C0082"/>
    <n v="2"/>
    <n v="0"/>
    <n v="78000"/>
    <s v="Naija Mart GRA"/>
    <n v="156000"/>
    <s v="Electronics"/>
    <x v="2"/>
  </r>
  <r>
    <s v="T00279"/>
    <d v="2025-04-12T00:00:00"/>
    <s v="BR002"/>
    <s v="P020"/>
    <s v="C0183"/>
    <n v="1"/>
    <n v="5"/>
    <n v="8500"/>
    <s v="Naija Mart Wuse"/>
    <n v="8075"/>
    <s v="Small Gadgets"/>
    <x v="5"/>
  </r>
  <r>
    <s v="T00572"/>
    <d v="2025-11-06T00:00:00"/>
    <s v="BR001"/>
    <s v="P012"/>
    <s v="C0217"/>
    <n v="1"/>
    <n v="0"/>
    <n v="28000"/>
    <s v="Naija Mart Ikeja"/>
    <n v="28000"/>
    <s v="Home Appliances"/>
    <x v="0"/>
  </r>
  <r>
    <s v="T01298"/>
    <d v="2025-04-15T00:00:00"/>
    <s v="BR002"/>
    <s v="P009"/>
    <s v="C0078"/>
    <n v="1"/>
    <n v="0"/>
    <n v="265000"/>
    <s v="Naija Mart Wuse"/>
    <n v="265000"/>
    <s v="Home Appliances"/>
    <x v="5"/>
  </r>
  <r>
    <s v="T00004"/>
    <d v="2025-08-11T00:00:00"/>
    <s v="BR003"/>
    <s v="P017"/>
    <s v="C0092"/>
    <n v="1"/>
    <n v="5"/>
    <n v="24000"/>
    <s v="Naija Mart GRA"/>
    <n v="22800"/>
    <s v="Home Appliances"/>
    <x v="6"/>
  </r>
  <r>
    <s v="T00024"/>
    <d v="2025-05-06T00:00:00"/>
    <s v="BR003"/>
    <s v="P002"/>
    <s v="C0119"/>
    <n v="2"/>
    <n v="20"/>
    <n v="320000"/>
    <s v="Naija Mart GRA"/>
    <n v="512000"/>
    <s v="Electronics"/>
    <x v="3"/>
  </r>
  <r>
    <s v="T01228"/>
    <d v="2025-11-10T00:00:00"/>
    <s v="BR002"/>
    <s v="P001"/>
    <s v="C0207"/>
    <n v="1"/>
    <n v="0"/>
    <n v="185000"/>
    <s v="Naija Mart Wuse"/>
    <n v="185000"/>
    <s v="Electronics"/>
    <x v="0"/>
  </r>
  <r>
    <s v="T00489"/>
    <d v="2025-11-02T00:00:00"/>
    <s v="BR004"/>
    <s v="P023"/>
    <s v="C0195"/>
    <n v="2"/>
    <n v="15"/>
    <n v="195000"/>
    <s v="Naija Mart Sabon Gari"/>
    <n v="331500"/>
    <s v="Generators &amp; Power"/>
    <x v="0"/>
  </r>
  <r>
    <s v="T00348"/>
    <d v="2025-11-26T00:00:00"/>
    <s v="BR002"/>
    <s v="P013"/>
    <s v="C0141"/>
    <n v="1"/>
    <n v="25"/>
    <n v="22000"/>
    <s v="Naija Mart Wuse"/>
    <n v="16500"/>
    <s v="Home Appliances"/>
    <x v="0"/>
  </r>
  <r>
    <s v="T01164"/>
    <d v="2025-05-09T00:00:00"/>
    <s v="BR002"/>
    <s v="P018"/>
    <s v="C0118"/>
    <n v="1"/>
    <n v="0"/>
    <n v="18000"/>
    <s v="Naija Mart Wuse"/>
    <n v="18000"/>
    <s v="Small Gadgets"/>
    <x v="3"/>
  </r>
  <r>
    <s v="T01018"/>
    <d v="2025-06-24T00:00:00"/>
    <s v="BR001"/>
    <s v="P018"/>
    <s v="C0065"/>
    <n v="3"/>
    <n v="15"/>
    <n v="18000"/>
    <s v="Naija Mart Ikeja"/>
    <n v="45900"/>
    <s v="Small Gadgets"/>
    <x v="9"/>
  </r>
  <r>
    <s v="T01014"/>
    <d v="2025-11-06T00:00:00"/>
    <s v="BR001"/>
    <s v="P012"/>
    <s v="C0218"/>
    <n v="1"/>
    <n v="0"/>
    <n v="28000"/>
    <s v="Naija Mart Ikeja"/>
    <n v="28000"/>
    <s v="Home Appliances"/>
    <x v="0"/>
  </r>
  <r>
    <s v="T00908"/>
    <d v="2025-05-08T00:00:00"/>
    <s v="BR004"/>
    <s v="P010"/>
    <s v="C0057"/>
    <n v="1"/>
    <n v="0"/>
    <n v="62000"/>
    <s v="Naija Mart Sabon Gari"/>
    <n v="62000"/>
    <s v="Home Appliances"/>
    <x v="3"/>
  </r>
  <r>
    <s v="T01119"/>
    <d v="2025-10-07T00:00:00"/>
    <s v="BR001"/>
    <s v="P014"/>
    <s v="C0217"/>
    <n v="1"/>
    <n v="0"/>
    <n v="285000"/>
    <s v="Naija Mart Ikeja"/>
    <n v="285000"/>
    <s v="Home Appliances"/>
    <x v="8"/>
  </r>
  <r>
    <s v="T00594"/>
    <d v="2025-02-11T00:00:00"/>
    <s v="BR002"/>
    <s v="P007"/>
    <s v="C0103"/>
    <n v="1"/>
    <n v="5"/>
    <n v="145000"/>
    <s v="Naija Mart Wuse"/>
    <n v="137750"/>
    <s v="Electronics"/>
    <x v="1"/>
  </r>
  <r>
    <s v="T01265"/>
    <d v="2025-01-03T00:00:00"/>
    <s v="BR003"/>
    <s v="P002"/>
    <s v="C0044"/>
    <n v="1"/>
    <n v="5"/>
    <n v="320000"/>
    <s v="Naija Mart GRA"/>
    <n v="304000"/>
    <s v="Electronics"/>
    <x v="11"/>
  </r>
  <r>
    <s v="T00380"/>
    <d v="2025-02-06T00:00:00"/>
    <s v="BR001"/>
    <s v="P007"/>
    <s v="C0013"/>
    <n v="1"/>
    <n v="0"/>
    <n v="145000"/>
    <s v="Naija Mart Ikeja"/>
    <n v="145000"/>
    <s v="Electronics"/>
    <x v="1"/>
  </r>
  <r>
    <s v="T00783"/>
    <d v="2025-03-01T00:00:00"/>
    <s v="BR002"/>
    <s v="P015"/>
    <s v="C0075"/>
    <n v="1"/>
    <n v="0"/>
    <n v="15000"/>
    <s v="Naija Mart Wuse"/>
    <n v="15000"/>
    <s v="Home Appliances"/>
    <x v="7"/>
  </r>
  <r>
    <s v="T00375"/>
    <d v="2025-04-21T00:00:00"/>
    <s v="BR001"/>
    <s v="P010"/>
    <s v="C0167"/>
    <n v="1"/>
    <n v="10"/>
    <n v="62000"/>
    <s v="Naija Mart Ikeja"/>
    <n v="55800"/>
    <s v="Home Appliances"/>
    <x v="5"/>
  </r>
  <r>
    <s v="T01216"/>
    <d v="2025-11-16T00:00:00"/>
    <s v="BR002"/>
    <s v="P009"/>
    <s v="C0008"/>
    <n v="1"/>
    <n v="10"/>
    <n v="265000"/>
    <s v="Naija Mart Wuse"/>
    <n v="238500"/>
    <s v="Home Appliances"/>
    <x v="0"/>
  </r>
  <r>
    <s v="T00574"/>
    <d v="2025-06-11T00:00:00"/>
    <s v="BR001"/>
    <s v="P011"/>
    <s v="C0181"/>
    <n v="1"/>
    <n v="0"/>
    <n v="74000"/>
    <s v="Naija Mart Ikeja"/>
    <n v="74000"/>
    <s v="Home Appliances"/>
    <x v="9"/>
  </r>
  <r>
    <s v="T00810"/>
    <d v="2025-01-11T00:00:00"/>
    <s v="BR001"/>
    <s v="P019"/>
    <s v="C0177"/>
    <n v="1"/>
    <n v="5"/>
    <n v="21000"/>
    <s v="Naija Mart Ikeja"/>
    <n v="19950"/>
    <s v="Small Gadgets"/>
    <x v="11"/>
  </r>
  <r>
    <s v="T00452"/>
    <d v="2025-01-08T00:00:00"/>
    <s v="BR002"/>
    <s v="P016"/>
    <s v="C0141"/>
    <n v="1"/>
    <n v="0"/>
    <n v="19500"/>
    <s v="Naija Mart Wuse"/>
    <n v="19500"/>
    <s v="Home Appliances"/>
    <x v="11"/>
  </r>
  <r>
    <s v="T00479"/>
    <d v="2025-12-16T00:00:00"/>
    <s v="BR003"/>
    <s v="P002"/>
    <s v="C0079"/>
    <n v="1"/>
    <n v="10"/>
    <n v="320000"/>
    <s v="Naija Mart GRA"/>
    <n v="288000"/>
    <s v="Electronics"/>
    <x v="4"/>
  </r>
  <r>
    <s v="T00232"/>
    <d v="2025-01-07T00:00:00"/>
    <s v="BR002"/>
    <s v="P018"/>
    <s v="C0026"/>
    <n v="1"/>
    <n v="0"/>
    <n v="18000"/>
    <s v="Naija Mart Wuse"/>
    <n v="18000"/>
    <s v="Small Gadgets"/>
    <x v="11"/>
  </r>
  <r>
    <s v="T00148"/>
    <d v="2025-08-26T00:00:00"/>
    <s v="BR004"/>
    <s v="P002"/>
    <s v="C0106"/>
    <n v="2"/>
    <n v="0"/>
    <n v="320000"/>
    <s v="Naija Mart Sabon Gari"/>
    <n v="640000"/>
    <s v="Electronics"/>
    <x v="6"/>
  </r>
  <r>
    <s v="T01009"/>
    <d v="2025-10-06T00:00:00"/>
    <s v="BR001"/>
    <s v="P018"/>
    <s v="C0026"/>
    <n v="2"/>
    <n v="0"/>
    <n v="18000"/>
    <s v="Naija Mart Ikeja"/>
    <n v="36000"/>
    <s v="Small Gadgets"/>
    <x v="8"/>
  </r>
  <r>
    <s v="T00168"/>
    <d v="2025-08-05T00:00:00"/>
    <s v="BR004"/>
    <s v="P008"/>
    <s v="C0110"/>
    <n v="1"/>
    <n v="0"/>
    <n v="410000"/>
    <s v="Naija Mart Sabon Gari"/>
    <n v="410000"/>
    <s v="Home Appliances"/>
    <x v="6"/>
  </r>
  <r>
    <s v="T00073"/>
    <d v="2025-11-02T00:00:00"/>
    <s v="BR002"/>
    <s v="P011"/>
    <s v="C0220"/>
    <n v="1"/>
    <n v="5"/>
    <n v="74000"/>
    <s v="Naija Mart Wuse"/>
    <n v="70300"/>
    <s v="Home Appliances"/>
    <x v="0"/>
  </r>
  <r>
    <s v="T00071"/>
    <d v="2025-12-07T00:00:00"/>
    <s v="BR002"/>
    <s v="P020"/>
    <s v="C0092"/>
    <n v="1"/>
    <n v="15"/>
    <n v="8500"/>
    <s v="Naija Mart Wuse"/>
    <n v="7225"/>
    <s v="Small Gadgets"/>
    <x v="4"/>
  </r>
  <r>
    <s v="T00595"/>
    <d v="2025-06-12T00:00:00"/>
    <s v="BR003"/>
    <s v="P011"/>
    <s v="C0050"/>
    <n v="1"/>
    <n v="20"/>
    <n v="74000"/>
    <s v="Naija Mart GRA"/>
    <n v="59200"/>
    <s v="Home Appliances"/>
    <x v="9"/>
  </r>
  <r>
    <s v="T01189"/>
    <d v="2025-06-03T00:00:00"/>
    <s v="BR004"/>
    <s v="P023"/>
    <s v="C0122"/>
    <n v="2"/>
    <n v="0"/>
    <n v="195000"/>
    <s v="Naija Mart Sabon Gari"/>
    <n v="390000"/>
    <s v="Generators &amp; Power"/>
    <x v="9"/>
  </r>
  <r>
    <s v="T00172"/>
    <d v="2025-06-25T00:00:00"/>
    <s v="BR004"/>
    <s v="P014"/>
    <s v="C0003"/>
    <n v="1"/>
    <n v="0"/>
    <n v="285000"/>
    <s v="Naija Mart Sabon Gari"/>
    <n v="285000"/>
    <s v="Home Appliances"/>
    <x v="9"/>
  </r>
  <r>
    <s v="T00131"/>
    <d v="2025-12-23T00:00:00"/>
    <s v="BR002"/>
    <s v="P003"/>
    <s v="C0097"/>
    <n v="1"/>
    <n v="5"/>
    <n v="45000"/>
    <s v="Naija Mart Wuse"/>
    <n v="42750"/>
    <s v="Electronics"/>
    <x v="4"/>
  </r>
  <r>
    <s v="T00169"/>
    <d v="2025-06-19T00:00:00"/>
    <s v="BR004"/>
    <s v="P006"/>
    <s v="C0010"/>
    <n v="3"/>
    <n v="5"/>
    <n v="78000"/>
    <s v="Naija Mart Sabon Gari"/>
    <n v="222300"/>
    <s v="Electronics"/>
    <x v="9"/>
  </r>
  <r>
    <s v="T00265"/>
    <d v="2025-06-05T00:00:00"/>
    <s v="BR004"/>
    <s v="P003"/>
    <s v="C0044"/>
    <n v="1"/>
    <n v="10"/>
    <n v="45000"/>
    <s v="Naija Mart Sabon Gari"/>
    <n v="40500"/>
    <s v="Electronics"/>
    <x v="9"/>
  </r>
  <r>
    <s v="T00514"/>
    <d v="2025-11-01T00:00:00"/>
    <s v="BR003"/>
    <s v="P002"/>
    <s v="C0052"/>
    <n v="1"/>
    <n v="5"/>
    <n v="320000"/>
    <s v="Naija Mart GRA"/>
    <n v="304000"/>
    <s v="Electronics"/>
    <x v="0"/>
  </r>
  <r>
    <s v="T01290"/>
    <d v="2025-02-13T00:00:00"/>
    <s v="BR002"/>
    <s v="P022"/>
    <s v="C0172"/>
    <n v="1"/>
    <n v="0"/>
    <n v="5200"/>
    <s v="Naija Mart Wuse"/>
    <n v="5200"/>
    <s v="Small Gadgets"/>
    <x v="1"/>
  </r>
  <r>
    <s v="T00948"/>
    <d v="2025-01-23T00:00:00"/>
    <s v="BR004"/>
    <s v="P011"/>
    <s v="C0047"/>
    <n v="2"/>
    <n v="5"/>
    <n v="74000"/>
    <s v="Naija Mart Sabon Gari"/>
    <n v="140600"/>
    <s v="Home Appliances"/>
    <x v="11"/>
  </r>
  <r>
    <s v="T00273"/>
    <d v="2025-01-15T00:00:00"/>
    <s v="BR001"/>
    <s v="P008"/>
    <s v="C0093"/>
    <n v="2"/>
    <n v="5"/>
    <n v="410000"/>
    <s v="Naija Mart Ikeja"/>
    <n v="779000"/>
    <s v="Home Appliances"/>
    <x v="11"/>
  </r>
  <r>
    <s v="T01195"/>
    <d v="2025-11-09T00:00:00"/>
    <s v="BR003"/>
    <s v="P012"/>
    <s v="C0059"/>
    <n v="2"/>
    <n v="0"/>
    <n v="28000"/>
    <s v="Naija Mart GRA"/>
    <n v="56000"/>
    <s v="Home Appliances"/>
    <x v="0"/>
  </r>
  <r>
    <s v="T00421"/>
    <d v="2025-01-11T00:00:00"/>
    <s v="BR002"/>
    <s v="P001"/>
    <s v="C0016"/>
    <n v="1"/>
    <n v="0"/>
    <n v="185000"/>
    <s v="Naija Mart Wuse"/>
    <n v="185000"/>
    <s v="Electronics"/>
    <x v="11"/>
  </r>
  <r>
    <s v="T00511"/>
    <d v="2025-11-15T00:00:00"/>
    <s v="BR002"/>
    <s v="P007"/>
    <s v="C0002"/>
    <n v="2"/>
    <n v="30"/>
    <n v="145000"/>
    <s v="Naija Mart Wuse"/>
    <n v="203000"/>
    <s v="Electronics"/>
    <x v="0"/>
  </r>
  <r>
    <s v="T01063"/>
    <d v="2025-02-06T00:00:00"/>
    <s v="BR001"/>
    <s v="P023"/>
    <s v="C0016"/>
    <n v="1"/>
    <n v="5"/>
    <n v="195000"/>
    <s v="Naija Mart Ikeja"/>
    <n v="185250"/>
    <s v="Generators &amp; Power"/>
    <x v="1"/>
  </r>
  <r>
    <s v="T00921"/>
    <d v="2025-01-09T00:00:00"/>
    <s v="BR002"/>
    <s v="P021"/>
    <s v="C0172"/>
    <n v="1"/>
    <n v="5"/>
    <n v="6500"/>
    <s v="Naija Mart Wuse"/>
    <n v="6175"/>
    <s v="Small Gadgets"/>
    <x v="11"/>
  </r>
  <r>
    <s v="T01117"/>
    <d v="2025-11-23T00:00:00"/>
    <s v="BR002"/>
    <s v="P001"/>
    <s v="C0132"/>
    <n v="1"/>
    <n v="5"/>
    <n v="185000"/>
    <s v="Naija Mart Wuse"/>
    <n v="175750"/>
    <s v="Electronics"/>
    <x v="0"/>
  </r>
  <r>
    <s v="T00043"/>
    <d v="2025-03-01T00:00:00"/>
    <s v="BR003"/>
    <s v="P023"/>
    <s v="C0028"/>
    <n v="1"/>
    <n v="0"/>
    <n v="195000"/>
    <s v="Naija Mart GRA"/>
    <n v="195000"/>
    <s v="Generators &amp; Power"/>
    <x v="7"/>
  </r>
  <r>
    <s v="T00057"/>
    <d v="2025-07-19T00:00:00"/>
    <s v="BR001"/>
    <s v="P023"/>
    <s v="C0029"/>
    <n v="1"/>
    <n v="15"/>
    <n v="195000"/>
    <s v="Naija Mart Ikeja"/>
    <n v="165750"/>
    <s v="Generators &amp; Power"/>
    <x v="10"/>
  </r>
  <r>
    <s v="T01246"/>
    <d v="2025-08-04T00:00:00"/>
    <s v="BR001"/>
    <s v="P023"/>
    <s v="C0151"/>
    <n v="2"/>
    <n v="5"/>
    <n v="195000"/>
    <s v="Naija Mart Ikeja"/>
    <n v="370500"/>
    <s v="Generators &amp; Power"/>
    <x v="6"/>
  </r>
  <r>
    <s v="T00621"/>
    <d v="2025-07-05T00:00:00"/>
    <s v="BR004"/>
    <s v="P018"/>
    <s v="C0189"/>
    <n v="3"/>
    <n v="5"/>
    <n v="18000"/>
    <s v="Naija Mart Sabon Gari"/>
    <n v="51300"/>
    <s v="Small Gadgets"/>
    <x v="10"/>
  </r>
  <r>
    <s v="T00133"/>
    <d v="2025-12-27T00:00:00"/>
    <s v="BR002"/>
    <s v="P012"/>
    <s v="C0052"/>
    <n v="1"/>
    <n v="20"/>
    <n v="28000"/>
    <s v="Naija Mart Wuse"/>
    <n v="22400"/>
    <s v="Home Appliances"/>
    <x v="4"/>
  </r>
  <r>
    <s v="T01166"/>
    <d v="2025-01-17T00:00:00"/>
    <s v="BR002"/>
    <s v="P014"/>
    <s v="C0069"/>
    <n v="1"/>
    <n v="20"/>
    <n v="285000"/>
    <s v="Naija Mart Wuse"/>
    <n v="228000"/>
    <s v="Home Appliances"/>
    <x v="11"/>
  </r>
  <r>
    <s v="T01106"/>
    <d v="2025-05-06T00:00:00"/>
    <s v="BR001"/>
    <s v="P010"/>
    <s v="C0036"/>
    <n v="2"/>
    <n v="0"/>
    <n v="62000"/>
    <s v="Naija Mart Ikeja"/>
    <n v="124000"/>
    <s v="Home Appliances"/>
    <x v="3"/>
  </r>
  <r>
    <s v="T00039"/>
    <d v="2025-01-17T00:00:00"/>
    <s v="BR001"/>
    <s v="P001"/>
    <s v="C0021"/>
    <n v="1"/>
    <n v="15"/>
    <n v="185000"/>
    <s v="Naija Mart Ikeja"/>
    <n v="157250"/>
    <s v="Electronics"/>
    <x v="11"/>
  </r>
  <r>
    <s v="T00307"/>
    <d v="2025-12-25T00:00:00"/>
    <s v="BR001"/>
    <s v="P023"/>
    <s v="C0029"/>
    <n v="1"/>
    <n v="20"/>
    <n v="195000"/>
    <s v="Naija Mart Ikeja"/>
    <n v="156000"/>
    <s v="Generators &amp; Power"/>
    <x v="4"/>
  </r>
  <r>
    <s v="T00507"/>
    <d v="2025-08-01T00:00:00"/>
    <s v="BR004"/>
    <s v="P004"/>
    <s v="C0196"/>
    <n v="1"/>
    <n v="10"/>
    <n v="38000"/>
    <s v="Naija Mart Sabon Gari"/>
    <n v="34200"/>
    <s v="Electronics"/>
    <x v="6"/>
  </r>
  <r>
    <s v="T00778"/>
    <d v="2025-03-28T00:00:00"/>
    <s v="BR001"/>
    <s v="P025"/>
    <s v="C0032"/>
    <n v="1"/>
    <n v="15"/>
    <n v="175000"/>
    <s v="Naija Mart Ikeja"/>
    <n v="148750"/>
    <s v="Generators &amp; Power"/>
    <x v="7"/>
  </r>
  <r>
    <s v="T00548"/>
    <d v="2025-07-04T00:00:00"/>
    <s v="BR001"/>
    <s v="P021"/>
    <s v="C0141"/>
    <n v="1"/>
    <n v="10"/>
    <n v="6500"/>
    <s v="Naija Mart Ikeja"/>
    <n v="5850"/>
    <s v="Small Gadgets"/>
    <x v="10"/>
  </r>
  <r>
    <s v="T00271"/>
    <d v="2025-12-14T00:00:00"/>
    <s v="BR003"/>
    <s v="P020"/>
    <s v="C0116"/>
    <n v="1"/>
    <n v="10"/>
    <n v="8500"/>
    <s v="Naija Mart GRA"/>
    <n v="7650"/>
    <s v="Small Gadgets"/>
    <x v="4"/>
  </r>
  <r>
    <s v="T00409"/>
    <d v="2025-04-03T00:00:00"/>
    <s v="BR004"/>
    <s v="P008"/>
    <s v="C0196"/>
    <n v="3"/>
    <n v="0"/>
    <n v="410000"/>
    <s v="Naija Mart Sabon Gari"/>
    <n v="1230000"/>
    <s v="Home Appliances"/>
    <x v="5"/>
  </r>
  <r>
    <s v="T01076"/>
    <d v="2025-12-01T00:00:00"/>
    <s v="BR002"/>
    <s v="P012"/>
    <s v="C0079"/>
    <n v="1"/>
    <n v="0"/>
    <n v="28000"/>
    <s v="Naija Mart Wuse"/>
    <n v="28000"/>
    <s v="Home Appliances"/>
    <x v="4"/>
  </r>
  <r>
    <s v="T01241"/>
    <d v="2025-04-03T00:00:00"/>
    <s v="BR001"/>
    <s v="P020"/>
    <s v="C0161"/>
    <n v="2"/>
    <n v="0"/>
    <n v="8500"/>
    <s v="Naija Mart Ikeja"/>
    <n v="17000"/>
    <s v="Small Gadgets"/>
    <x v="5"/>
  </r>
  <r>
    <s v="T00167"/>
    <d v="2025-07-23T00:00:00"/>
    <s v="BR003"/>
    <s v="P015"/>
    <s v="C0065"/>
    <n v="1"/>
    <n v="0"/>
    <n v="15000"/>
    <s v="Naija Mart GRA"/>
    <n v="15000"/>
    <s v="Home Appliances"/>
    <x v="10"/>
  </r>
  <r>
    <s v="T00721"/>
    <d v="2025-09-01T00:00:00"/>
    <s v="BR001"/>
    <s v="P025"/>
    <s v="C0080"/>
    <n v="1"/>
    <n v="15"/>
    <n v="175000"/>
    <s v="Naija Mart Ikeja"/>
    <n v="148750"/>
    <s v="Generators &amp; Power"/>
    <x v="2"/>
  </r>
  <r>
    <s v="T00072"/>
    <d v="2025-12-14T00:00:00"/>
    <s v="BR004"/>
    <s v="P025"/>
    <s v="C0056"/>
    <n v="1"/>
    <n v="5"/>
    <n v="175000"/>
    <s v="Naija Mart Sabon Gari"/>
    <n v="166250"/>
    <s v="Generators &amp; Power"/>
    <x v="4"/>
  </r>
  <r>
    <s v="T00562"/>
    <d v="2025-04-20T00:00:00"/>
    <s v="BR004"/>
    <s v="P005"/>
    <s v="C0201"/>
    <n v="2"/>
    <n v="5"/>
    <n v="95000"/>
    <s v="Naija Mart Sabon Gari"/>
    <n v="180500"/>
    <s v="Electronics"/>
    <x v="5"/>
  </r>
  <r>
    <s v="T00957"/>
    <d v="2025-07-17T00:00:00"/>
    <s v="BR001"/>
    <s v="P022"/>
    <s v="C0086"/>
    <n v="1"/>
    <n v="5"/>
    <n v="5200"/>
    <s v="Naija Mart Ikeja"/>
    <n v="4940"/>
    <s v="Small Gadgets"/>
    <x v="10"/>
  </r>
  <r>
    <s v="T00983"/>
    <d v="2025-05-08T00:00:00"/>
    <s v="BR002"/>
    <s v="P021"/>
    <s v="C0044"/>
    <n v="1"/>
    <n v="10"/>
    <n v="6500"/>
    <s v="Naija Mart Wuse"/>
    <n v="5850"/>
    <s v="Small Gadgets"/>
    <x v="3"/>
  </r>
  <r>
    <s v="T00541"/>
    <d v="2025-11-24T00:00:00"/>
    <s v="BR001"/>
    <s v="P003"/>
    <s v="C0092"/>
    <n v="2"/>
    <n v="20"/>
    <n v="45000"/>
    <s v="Naija Mart Ikeja"/>
    <n v="72000"/>
    <s v="Electronics"/>
    <x v="0"/>
  </r>
  <r>
    <s v="T01140"/>
    <d v="2025-03-02T00:00:00"/>
    <s v="BR004"/>
    <s v="P017"/>
    <s v="C0154"/>
    <n v="1"/>
    <n v="0"/>
    <n v="24000"/>
    <s v="Naija Mart Sabon Gari"/>
    <n v="24000"/>
    <s v="Home Appliances"/>
    <x v="7"/>
  </r>
  <r>
    <s v="T01326"/>
    <d v="2025-07-20T00:00:00"/>
    <s v="BR004"/>
    <s v="P011"/>
    <s v="C0135"/>
    <n v="1"/>
    <n v="0"/>
    <n v="74000"/>
    <s v="Naija Mart Sabon Gari"/>
    <n v="74000"/>
    <s v="Home Appliances"/>
    <x v="10"/>
  </r>
  <r>
    <s v="T00631"/>
    <d v="2025-04-24T00:00:00"/>
    <s v="BR001"/>
    <s v="P004"/>
    <s v="C0002"/>
    <n v="1"/>
    <n v="0"/>
    <n v="38000"/>
    <s v="Naija Mart Ikeja"/>
    <n v="38000"/>
    <s v="Electronics"/>
    <x v="5"/>
  </r>
  <r>
    <s v="T00610"/>
    <d v="2025-04-11T00:00:00"/>
    <s v="BR004"/>
    <s v="P016"/>
    <s v="C0196"/>
    <n v="1"/>
    <n v="5"/>
    <n v="19500"/>
    <s v="Naija Mart Sabon Gari"/>
    <n v="18525"/>
    <s v="Home Appliances"/>
    <x v="5"/>
  </r>
  <r>
    <s v="T00849"/>
    <d v="2025-09-26T00:00:00"/>
    <s v="BR001"/>
    <s v="P020"/>
    <s v="C0198"/>
    <n v="1"/>
    <n v="0"/>
    <n v="8500"/>
    <s v="Naija Mart Ikeja"/>
    <n v="8500"/>
    <s v="Small Gadgets"/>
    <x v="2"/>
  </r>
  <r>
    <s v="T00675"/>
    <d v="2025-08-02T00:00:00"/>
    <s v="BR001"/>
    <s v="P010"/>
    <s v="C0069"/>
    <n v="1"/>
    <n v="5"/>
    <n v="62000"/>
    <s v="Naija Mart Ikeja"/>
    <n v="58900"/>
    <s v="Home Appliances"/>
    <x v="6"/>
  </r>
  <r>
    <s v="T00317"/>
    <d v="2025-05-11T00:00:00"/>
    <s v="BR001"/>
    <s v="P025"/>
    <s v="C0071"/>
    <n v="2"/>
    <n v="0"/>
    <n v="175000"/>
    <s v="Naija Mart Ikeja"/>
    <n v="350000"/>
    <s v="Generators &amp; Power"/>
    <x v="3"/>
  </r>
  <r>
    <s v="T00873"/>
    <d v="2025-12-16T00:00:00"/>
    <s v="BR001"/>
    <s v="P014"/>
    <s v="C0072"/>
    <n v="1"/>
    <n v="25"/>
    <n v="285000"/>
    <s v="Naija Mart Ikeja"/>
    <n v="213750"/>
    <s v="Home Appliances"/>
    <x v="4"/>
  </r>
  <r>
    <s v="T01207"/>
    <d v="2025-03-14T00:00:00"/>
    <s v="BR001"/>
    <s v="P017"/>
    <s v="C0072"/>
    <n v="1"/>
    <n v="5"/>
    <n v="24000"/>
    <s v="Naija Mart Ikeja"/>
    <n v="22800"/>
    <s v="Home Appliances"/>
    <x v="7"/>
  </r>
  <r>
    <s v="T00005"/>
    <d v="2025-05-23T00:00:00"/>
    <s v="BR001"/>
    <s v="P020"/>
    <s v="C0136"/>
    <n v="2"/>
    <n v="0"/>
    <n v="8500"/>
    <s v="Naija Mart Ikeja"/>
    <n v="17000"/>
    <s v="Small Gadgets"/>
    <x v="3"/>
  </r>
  <r>
    <s v="T00563"/>
    <d v="2025-11-20T00:00:00"/>
    <s v="BR002"/>
    <s v="P017"/>
    <s v="C0200"/>
    <n v="1"/>
    <n v="20"/>
    <n v="24000"/>
    <s v="Naija Mart Wuse"/>
    <n v="19200"/>
    <s v="Home Appliances"/>
    <x v="0"/>
  </r>
  <r>
    <s v="T00798"/>
    <d v="2025-11-07T00:00:00"/>
    <s v="BR001"/>
    <s v="P008"/>
    <s v="C0063"/>
    <n v="1"/>
    <n v="5"/>
    <n v="410000"/>
    <s v="Naija Mart Ikeja"/>
    <n v="389500"/>
    <s v="Home Appliances"/>
    <x v="0"/>
  </r>
  <r>
    <s v="T00757"/>
    <d v="2025-08-15T00:00:00"/>
    <s v="BR004"/>
    <s v="P024"/>
    <s v="C0180"/>
    <n v="2"/>
    <n v="0"/>
    <n v="245000"/>
    <s v="Naija Mart Sabon Gari"/>
    <n v="490000"/>
    <s v="Generators &amp; Power"/>
    <x v="6"/>
  </r>
  <r>
    <s v="T01064"/>
    <d v="2025-05-04T00:00:00"/>
    <s v="BR001"/>
    <s v="P021"/>
    <s v="C0143"/>
    <n v="1"/>
    <n v="5"/>
    <n v="6500"/>
    <s v="Naija Mart Ikeja"/>
    <n v="6175"/>
    <s v="Small Gadgets"/>
    <x v="3"/>
  </r>
  <r>
    <s v="T01232"/>
    <d v="2025-11-12T00:00:00"/>
    <s v="BR002"/>
    <s v="P012"/>
    <s v="C0165"/>
    <n v="1"/>
    <n v="20"/>
    <n v="28000"/>
    <s v="Naija Mart Wuse"/>
    <n v="22400"/>
    <s v="Home Appliances"/>
    <x v="0"/>
  </r>
  <r>
    <s v="T00899"/>
    <d v="2025-08-04T00:00:00"/>
    <s v="BR003"/>
    <s v="P022"/>
    <s v="C0207"/>
    <n v="2"/>
    <n v="15"/>
    <n v="5200"/>
    <s v="Naija Mart GRA"/>
    <n v="8840"/>
    <s v="Small Gadgets"/>
    <x v="6"/>
  </r>
  <r>
    <s v="T00698"/>
    <d v="2025-10-25T00:00:00"/>
    <s v="BR001"/>
    <s v="P007"/>
    <s v="C0153"/>
    <n v="1"/>
    <n v="0"/>
    <n v="145000"/>
    <s v="Naija Mart Ikeja"/>
    <n v="145000"/>
    <s v="Electronics"/>
    <x v="8"/>
  </r>
  <r>
    <s v="T00532"/>
    <d v="2025-10-18T00:00:00"/>
    <s v="BR002"/>
    <s v="P022"/>
    <s v="C0157"/>
    <n v="2"/>
    <n v="0"/>
    <n v="5200"/>
    <s v="Naija Mart Wuse"/>
    <n v="10400"/>
    <s v="Small Gadgets"/>
    <x v="8"/>
  </r>
  <r>
    <s v="T01098"/>
    <d v="2025-05-15T00:00:00"/>
    <s v="BR001"/>
    <s v="P008"/>
    <s v="C0100"/>
    <n v="2"/>
    <n v="0"/>
    <n v="410000"/>
    <s v="Naija Mart Ikeja"/>
    <n v="820000"/>
    <s v="Home Appliances"/>
    <x v="3"/>
  </r>
  <r>
    <s v="T01245"/>
    <d v="2025-03-15T00:00:00"/>
    <s v="BR001"/>
    <s v="P004"/>
    <s v="C0146"/>
    <n v="1"/>
    <n v="0"/>
    <n v="38000"/>
    <s v="Naija Mart Ikeja"/>
    <n v="38000"/>
    <s v="Electronics"/>
    <x v="7"/>
  </r>
  <r>
    <s v="T01161"/>
    <d v="2025-10-19T00:00:00"/>
    <s v="BR001"/>
    <s v="P015"/>
    <s v="C0078"/>
    <n v="3"/>
    <n v="0"/>
    <n v="15000"/>
    <s v="Naija Mart Ikeja"/>
    <n v="45000"/>
    <s v="Home Appliances"/>
    <x v="8"/>
  </r>
  <r>
    <s v="T00453"/>
    <d v="2025-06-12T00:00:00"/>
    <s v="BR002"/>
    <s v="P016"/>
    <s v="C0043"/>
    <n v="1"/>
    <n v="5"/>
    <n v="19500"/>
    <s v="Naija Mart Wuse"/>
    <n v="18525"/>
    <s v="Home Appliances"/>
    <x v="9"/>
  </r>
  <r>
    <s v="T00095"/>
    <d v="2025-12-22T00:00:00"/>
    <s v="BR001"/>
    <s v="P023"/>
    <s v="C0022"/>
    <n v="2"/>
    <n v="10"/>
    <n v="195000"/>
    <s v="Naija Mart Ikeja"/>
    <n v="351000"/>
    <s v="Generators &amp; Power"/>
    <x v="4"/>
  </r>
  <r>
    <s v="T00096"/>
    <d v="2025-08-15T00:00:00"/>
    <s v="BR003"/>
    <s v="P009"/>
    <s v="C0067"/>
    <n v="1"/>
    <n v="25"/>
    <n v="265000"/>
    <s v="Naija Mart GRA"/>
    <n v="198750"/>
    <s v="Home Appliances"/>
    <x v="6"/>
  </r>
  <r>
    <s v="T00928"/>
    <d v="2025-11-24T00:00:00"/>
    <s v="BR001"/>
    <s v="P018"/>
    <s v="C0097"/>
    <n v="1"/>
    <n v="10"/>
    <n v="18000"/>
    <s v="Naija Mart Ikeja"/>
    <n v="16200"/>
    <s v="Small Gadgets"/>
    <x v="0"/>
  </r>
  <r>
    <s v="T00882"/>
    <d v="2025-03-09T00:00:00"/>
    <s v="BR001"/>
    <s v="P018"/>
    <s v="C0096"/>
    <n v="1"/>
    <n v="10"/>
    <n v="18000"/>
    <s v="Naija Mart Ikeja"/>
    <n v="16200"/>
    <s v="Small Gadgets"/>
    <x v="7"/>
  </r>
  <r>
    <s v="T00062"/>
    <d v="2025-12-16T00:00:00"/>
    <s v="BR003"/>
    <s v="P001"/>
    <s v="C0156"/>
    <n v="1"/>
    <n v="10"/>
    <n v="185000"/>
    <s v="Naija Mart GRA"/>
    <n v="166500"/>
    <s v="Electronics"/>
    <x v="4"/>
  </r>
  <r>
    <s v="T01264"/>
    <d v="2025-10-12T00:00:00"/>
    <s v="BR001"/>
    <s v="P009"/>
    <s v="C0039"/>
    <n v="5"/>
    <n v="5"/>
    <n v="265000"/>
    <s v="Naija Mart Ikeja"/>
    <n v="1258750"/>
    <s v="Home Appliances"/>
    <x v="8"/>
  </r>
  <r>
    <s v="T01392"/>
    <d v="2025-11-12T00:00:00"/>
    <s v="BR001"/>
    <s v="P009"/>
    <s v="C0122"/>
    <n v="2"/>
    <n v="10"/>
    <n v="265000"/>
    <s v="Naija Mart Ikeja"/>
    <n v="477000"/>
    <s v="Home Appliances"/>
    <x v="0"/>
  </r>
  <r>
    <s v="T00889"/>
    <d v="2025-03-07T00:00:00"/>
    <s v="BR004"/>
    <s v="P019"/>
    <s v="C0172"/>
    <n v="1"/>
    <n v="10"/>
    <n v="21000"/>
    <s v="Naija Mart Sabon Gari"/>
    <n v="18900"/>
    <s v="Small Gadgets"/>
    <x v="7"/>
  </r>
  <r>
    <s v="T00245"/>
    <d v="2025-03-10T00:00:00"/>
    <s v="BR002"/>
    <s v="P016"/>
    <s v="C0008"/>
    <n v="2"/>
    <n v="15"/>
    <n v="19500"/>
    <s v="Naija Mart Wuse"/>
    <n v="33150"/>
    <s v="Home Appliances"/>
    <x v="7"/>
  </r>
  <r>
    <s v="T00026"/>
    <d v="2025-11-27T00:00:00"/>
    <s v="BR001"/>
    <s v="P014"/>
    <s v="C0202"/>
    <n v="2"/>
    <n v="5"/>
    <n v="285000"/>
    <s v="Naija Mart Ikeja"/>
    <n v="541500"/>
    <s v="Home Appliances"/>
    <x v="0"/>
  </r>
  <r>
    <s v="T00223"/>
    <d v="2025-07-14T00:00:00"/>
    <s v="BR002"/>
    <s v="P017"/>
    <s v="C0117"/>
    <n v="1"/>
    <n v="0"/>
    <n v="24000"/>
    <s v="Naija Mart Wuse"/>
    <n v="24000"/>
    <s v="Home Appliances"/>
    <x v="10"/>
  </r>
  <r>
    <s v="T01361"/>
    <d v="2025-09-17T00:00:00"/>
    <s v="BR003"/>
    <s v="P024"/>
    <s v="C0043"/>
    <n v="1"/>
    <n v="0"/>
    <n v="245000"/>
    <s v="Naija Mart GRA"/>
    <n v="245000"/>
    <s v="Generators &amp; Power"/>
    <x v="2"/>
  </r>
  <r>
    <s v="T00106"/>
    <d v="2025-09-01T00:00:00"/>
    <s v="BR003"/>
    <s v="P014"/>
    <s v="C0040"/>
    <n v="1"/>
    <n v="0"/>
    <n v="285000"/>
    <s v="Naija Mart GRA"/>
    <n v="285000"/>
    <s v="Home Appliances"/>
    <x v="2"/>
  </r>
  <r>
    <s v="T00659"/>
    <d v="2025-11-04T00:00:00"/>
    <s v="BR002"/>
    <s v="P011"/>
    <s v="C0086"/>
    <n v="1"/>
    <n v="10"/>
    <n v="74000"/>
    <s v="Naija Mart Wuse"/>
    <n v="66600"/>
    <s v="Home Appliances"/>
    <x v="0"/>
  </r>
  <r>
    <s v="T00510"/>
    <d v="2025-08-27T00:00:00"/>
    <s v="BR001"/>
    <s v="P015"/>
    <s v="C0140"/>
    <n v="1"/>
    <n v="0"/>
    <n v="15000"/>
    <s v="Naija Mart Ikeja"/>
    <n v="15000"/>
    <s v="Home Appliances"/>
    <x v="6"/>
  </r>
  <r>
    <s v="T00132"/>
    <d v="2025-04-14T00:00:00"/>
    <s v="BR001"/>
    <s v="P025"/>
    <s v="C0139"/>
    <n v="1"/>
    <n v="0"/>
    <n v="175000"/>
    <s v="Naija Mart Ikeja"/>
    <n v="175000"/>
    <s v="Generators &amp; Power"/>
    <x v="5"/>
  </r>
  <r>
    <s v="T00900"/>
    <d v="2025-12-13T00:00:00"/>
    <s v="BR001"/>
    <s v="P009"/>
    <s v="C0114"/>
    <n v="2"/>
    <n v="5"/>
    <n v="265000"/>
    <s v="Naija Mart Ikeja"/>
    <n v="503500"/>
    <s v="Home Appliances"/>
    <x v="4"/>
  </r>
  <r>
    <s v="T01239"/>
    <d v="2025-09-17T00:00:00"/>
    <s v="BR001"/>
    <s v="P021"/>
    <s v="C0198"/>
    <n v="2"/>
    <n v="0"/>
    <n v="6500"/>
    <s v="Naija Mart Ikeja"/>
    <n v="13000"/>
    <s v="Small Gadgets"/>
    <x v="2"/>
  </r>
  <r>
    <s v="T00509"/>
    <d v="2025-11-07T00:00:00"/>
    <s v="BR004"/>
    <s v="P002"/>
    <s v="C0072"/>
    <n v="1"/>
    <n v="20"/>
    <n v="320000"/>
    <s v="Naija Mart Sabon Gari"/>
    <n v="256000"/>
    <s v="Electronics"/>
    <x v="0"/>
  </r>
  <r>
    <s v="T01129"/>
    <d v="2025-05-26T00:00:00"/>
    <s v="BR004"/>
    <s v="P018"/>
    <s v="C0189"/>
    <n v="1"/>
    <n v="0"/>
    <n v="18000"/>
    <s v="Naija Mart Sabon Gari"/>
    <n v="18000"/>
    <s v="Small Gadgets"/>
    <x v="3"/>
  </r>
  <r>
    <s v="T00076"/>
    <d v="2025-03-28T00:00:00"/>
    <s v="BR004"/>
    <s v="P019"/>
    <s v="C0165"/>
    <n v="2"/>
    <n v="0"/>
    <n v="21000"/>
    <s v="Naija Mart Sabon Gari"/>
    <n v="42000"/>
    <s v="Small Gadgets"/>
    <x v="7"/>
  </r>
  <r>
    <s v="T00037"/>
    <d v="2025-06-13T00:00:00"/>
    <s v="BR001"/>
    <s v="P003"/>
    <s v="C0112"/>
    <n v="2"/>
    <n v="0"/>
    <n v="45000"/>
    <s v="Naija Mart Ikeja"/>
    <n v="90000"/>
    <s v="Electronics"/>
    <x v="9"/>
  </r>
  <r>
    <s v="T01238"/>
    <d v="2025-12-08T00:00:00"/>
    <s v="BR004"/>
    <s v="P023"/>
    <s v="C0016"/>
    <n v="1"/>
    <n v="0"/>
    <n v="195000"/>
    <s v="Naija Mart Sabon Gari"/>
    <n v="195000"/>
    <s v="Generators &amp; Power"/>
    <x v="4"/>
  </r>
  <r>
    <s v="T00058"/>
    <d v="2025-02-05T00:00:00"/>
    <s v="BR001"/>
    <s v="P012"/>
    <s v="C0102"/>
    <n v="2"/>
    <n v="0"/>
    <n v="28000"/>
    <s v="Naija Mart Ikeja"/>
    <n v="56000"/>
    <s v="Home Appliances"/>
    <x v="1"/>
  </r>
  <r>
    <s v="T00197"/>
    <d v="2025-12-28T00:00:00"/>
    <s v="BR003"/>
    <s v="P010"/>
    <s v="C0033"/>
    <n v="1"/>
    <n v="10"/>
    <n v="62000"/>
    <s v="Naija Mart GRA"/>
    <n v="55800"/>
    <s v="Home Appliances"/>
    <x v="4"/>
  </r>
  <r>
    <s v="T01372"/>
    <d v="2025-06-19T00:00:00"/>
    <s v="BR001"/>
    <s v="P017"/>
    <s v="C0106"/>
    <n v="1"/>
    <n v="10"/>
    <n v="24000"/>
    <s v="Naija Mart Ikeja"/>
    <n v="21600"/>
    <s v="Home Appliances"/>
    <x v="9"/>
  </r>
  <r>
    <s v="T01301"/>
    <d v="2025-09-07T00:00:00"/>
    <s v="BR002"/>
    <s v="P021"/>
    <s v="C0105"/>
    <n v="1"/>
    <n v="15"/>
    <n v="6500"/>
    <s v="Naija Mart Wuse"/>
    <n v="5525"/>
    <s v="Small Gadgets"/>
    <x v="2"/>
  </r>
  <r>
    <s v="T00587"/>
    <d v="2025-06-10T00:00:00"/>
    <s v="BR002"/>
    <s v="P022"/>
    <s v="C0166"/>
    <n v="1"/>
    <n v="0"/>
    <n v="5200"/>
    <s v="Naija Mart Wuse"/>
    <n v="5200"/>
    <s v="Small Gadgets"/>
    <x v="9"/>
  </r>
  <r>
    <s v="T00478"/>
    <d v="2025-04-02T00:00:00"/>
    <s v="BR001"/>
    <s v="P023"/>
    <s v="C0206"/>
    <n v="1"/>
    <n v="15"/>
    <n v="195000"/>
    <s v="Naija Mart Ikeja"/>
    <n v="165750"/>
    <s v="Generators &amp; Power"/>
    <x v="5"/>
  </r>
  <r>
    <s v="T00087"/>
    <d v="2025-11-03T00:00:00"/>
    <s v="BR001"/>
    <s v="P012"/>
    <s v="C0065"/>
    <n v="1"/>
    <n v="15"/>
    <n v="28000"/>
    <s v="Naija Mart Ikeja"/>
    <n v="23800"/>
    <s v="Home Appliances"/>
    <x v="0"/>
  </r>
  <r>
    <s v="T00335"/>
    <d v="2025-10-09T00:00:00"/>
    <s v="BR002"/>
    <s v="P017"/>
    <s v="C0036"/>
    <n v="1"/>
    <n v="0"/>
    <n v="24000"/>
    <s v="Naija Mart Wuse"/>
    <n v="24000"/>
    <s v="Home Appliances"/>
    <x v="8"/>
  </r>
  <r>
    <s v="T01118"/>
    <d v="2025-11-18T00:00:00"/>
    <s v="BR001"/>
    <s v="P019"/>
    <s v="C0107"/>
    <n v="1"/>
    <n v="0"/>
    <n v="21000"/>
    <s v="Naija Mart Ikeja"/>
    <n v="21000"/>
    <s v="Small Gadgets"/>
    <x v="0"/>
  </r>
  <r>
    <s v="T00719"/>
    <d v="2025-10-04T00:00:00"/>
    <s v="BR001"/>
    <s v="P001"/>
    <s v="C0202"/>
    <n v="1"/>
    <n v="0"/>
    <n v="185000"/>
    <s v="Naija Mart Ikeja"/>
    <n v="185000"/>
    <s v="Electronics"/>
    <x v="8"/>
  </r>
  <r>
    <s v="T00790"/>
    <d v="2025-09-22T00:00:00"/>
    <s v="BR001"/>
    <s v="P024"/>
    <s v="C0201"/>
    <n v="2"/>
    <n v="0"/>
    <n v="245000"/>
    <s v="Naija Mart Ikeja"/>
    <n v="490000"/>
    <s v="Generators &amp; Power"/>
    <x v="2"/>
  </r>
  <r>
    <s v="T01090"/>
    <d v="2025-11-16T00:00:00"/>
    <s v="BR001"/>
    <s v="P005"/>
    <s v="C0190"/>
    <n v="1"/>
    <n v="10"/>
    <n v="95000"/>
    <s v="Naija Mart Ikeja"/>
    <n v="85500"/>
    <s v="Electronics"/>
    <x v="0"/>
  </r>
  <r>
    <s v="T01095"/>
    <d v="2025-01-25T00:00:00"/>
    <s v="BR001"/>
    <s v="P019"/>
    <s v="C0197"/>
    <n v="1"/>
    <n v="0"/>
    <n v="21000"/>
    <s v="Naija Mart Ikeja"/>
    <n v="21000"/>
    <s v="Small Gadgets"/>
    <x v="11"/>
  </r>
  <r>
    <s v="T00539"/>
    <d v="2025-12-25T00:00:00"/>
    <s v="BR004"/>
    <s v="P010"/>
    <s v="C0012"/>
    <n v="1"/>
    <n v="5"/>
    <n v="62000"/>
    <s v="Naija Mart Sabon Gari"/>
    <n v="58900"/>
    <s v="Home Appliances"/>
    <x v="4"/>
  </r>
  <r>
    <s v="T00673"/>
    <d v="2025-06-24T00:00:00"/>
    <s v="BR002"/>
    <s v="P017"/>
    <s v="C0182"/>
    <n v="1"/>
    <n v="5"/>
    <n v="24000"/>
    <s v="Naija Mart Wuse"/>
    <n v="22800"/>
    <s v="Home Appliances"/>
    <x v="9"/>
  </r>
  <r>
    <s v="T00419"/>
    <d v="2025-12-21T00:00:00"/>
    <s v="BR003"/>
    <s v="P003"/>
    <s v="C0134"/>
    <n v="1"/>
    <n v="10"/>
    <n v="45000"/>
    <s v="Naija Mart GRA"/>
    <n v="40500"/>
    <s v="Electronics"/>
    <x v="4"/>
  </r>
  <r>
    <s v="T00831"/>
    <d v="2025-12-13T00:00:00"/>
    <s v="BR001"/>
    <s v="P017"/>
    <s v="C0036"/>
    <n v="1"/>
    <n v="0"/>
    <n v="24000"/>
    <s v="Naija Mart Ikeja"/>
    <n v="24000"/>
    <s v="Home Appliances"/>
    <x v="4"/>
  </r>
  <r>
    <s v="T01314"/>
    <d v="2025-06-17T00:00:00"/>
    <s v="BR001"/>
    <s v="P011"/>
    <s v="C0142"/>
    <n v="3"/>
    <n v="0"/>
    <n v="74000"/>
    <s v="Naija Mart Ikeja"/>
    <n v="222000"/>
    <s v="Home Appliances"/>
    <x v="9"/>
  </r>
  <r>
    <s v="T00993"/>
    <d v="2025-11-26T00:00:00"/>
    <s v="BR002"/>
    <s v="P016"/>
    <s v="C0128"/>
    <n v="1"/>
    <n v="0"/>
    <n v="19500"/>
    <s v="Naija Mart Wuse"/>
    <n v="19500"/>
    <s v="Home Appliances"/>
    <x v="0"/>
  </r>
  <r>
    <s v="T00718"/>
    <d v="2025-11-15T00:00:00"/>
    <s v="BR001"/>
    <s v="P018"/>
    <s v="C0148"/>
    <n v="1"/>
    <n v="20"/>
    <n v="18000"/>
    <s v="Naija Mart Ikeja"/>
    <n v="14400"/>
    <s v="Small Gadgets"/>
    <x v="0"/>
  </r>
  <r>
    <s v="T01191"/>
    <d v="2025-11-19T00:00:00"/>
    <s v="BR002"/>
    <s v="P010"/>
    <s v="C0112"/>
    <n v="2"/>
    <n v="0"/>
    <n v="62000"/>
    <s v="Naija Mart Wuse"/>
    <n v="124000"/>
    <s v="Home Appliances"/>
    <x v="0"/>
  </r>
  <r>
    <s v="T01024"/>
    <d v="2025-10-16T00:00:00"/>
    <s v="BR001"/>
    <s v="P002"/>
    <s v="C0164"/>
    <n v="2"/>
    <n v="0"/>
    <n v="320000"/>
    <s v="Naija Mart Ikeja"/>
    <n v="640000"/>
    <s v="Electronics"/>
    <x v="8"/>
  </r>
  <r>
    <s v="T00768"/>
    <d v="2025-02-11T00:00:00"/>
    <s v="BR001"/>
    <s v="P006"/>
    <s v="C0143"/>
    <n v="1"/>
    <n v="10"/>
    <n v="78000"/>
    <s v="Naija Mart Ikeja"/>
    <n v="70200"/>
    <s v="Electronics"/>
    <x v="1"/>
  </r>
  <r>
    <s v="T01302"/>
    <d v="2025-10-27T00:00:00"/>
    <s v="BR004"/>
    <s v="P016"/>
    <s v="C0057"/>
    <n v="5"/>
    <n v="5"/>
    <n v="19500"/>
    <s v="Naija Mart Sabon Gari"/>
    <n v="92625"/>
    <s v="Home Appliances"/>
    <x v="8"/>
  </r>
  <r>
    <s v="T01032"/>
    <d v="2025-07-18T00:00:00"/>
    <s v="BR003"/>
    <s v="P014"/>
    <s v="C0150"/>
    <n v="1"/>
    <n v="0"/>
    <n v="285000"/>
    <s v="Naija Mart GRA"/>
    <n v="285000"/>
    <s v="Home Appliances"/>
    <x v="10"/>
  </r>
  <r>
    <s v="T01028"/>
    <d v="2025-03-11T00:00:00"/>
    <s v="BR004"/>
    <s v="P012"/>
    <s v="C0041"/>
    <n v="1"/>
    <n v="20"/>
    <n v="28000"/>
    <s v="Naija Mart Sabon Gari"/>
    <n v="22400"/>
    <s v="Home Appliances"/>
    <x v="7"/>
  </r>
  <r>
    <s v="T01135"/>
    <d v="2025-12-19T00:00:00"/>
    <s v="BR001"/>
    <s v="P005"/>
    <s v="C0199"/>
    <n v="2"/>
    <n v="15"/>
    <n v="95000"/>
    <s v="Naija Mart Ikeja"/>
    <n v="161500"/>
    <s v="Electronics"/>
    <x v="4"/>
  </r>
  <r>
    <s v="T01103"/>
    <d v="2025-03-16T00:00:00"/>
    <s v="BR004"/>
    <s v="P022"/>
    <s v="C0220"/>
    <n v="2"/>
    <n v="15"/>
    <n v="5200"/>
    <s v="Naija Mart Sabon Gari"/>
    <n v="8840"/>
    <s v="Small Gadgets"/>
    <x v="7"/>
  </r>
  <r>
    <s v="T00009"/>
    <d v="2025-02-15T00:00:00"/>
    <s v="BR004"/>
    <s v="P008"/>
    <s v="C0089"/>
    <n v="1"/>
    <n v="0"/>
    <n v="410000"/>
    <s v="Naija Mart Sabon Gari"/>
    <n v="410000"/>
    <s v="Home Appliances"/>
    <x v="1"/>
  </r>
  <r>
    <s v="T00811"/>
    <d v="2025-10-05T00:00:00"/>
    <s v="BR003"/>
    <s v="P011"/>
    <s v="C0189"/>
    <n v="1"/>
    <n v="0"/>
    <n v="74000"/>
    <s v="Naija Mart GRA"/>
    <n v="74000"/>
    <s v="Home Appliances"/>
    <x v="8"/>
  </r>
  <r>
    <s v="T01269"/>
    <d v="2025-08-02T00:00:00"/>
    <s v="BR001"/>
    <s v="P015"/>
    <s v="C0151"/>
    <n v="1"/>
    <n v="0"/>
    <n v="15000"/>
    <s v="Naija Mart Ikeja"/>
    <n v="15000"/>
    <s v="Home Appliances"/>
    <x v="6"/>
  </r>
  <r>
    <s v="T00700"/>
    <d v="2025-03-15T00:00:00"/>
    <s v="BR001"/>
    <s v="P025"/>
    <s v="C0202"/>
    <n v="1"/>
    <n v="5"/>
    <n v="175000"/>
    <s v="Naija Mart Ikeja"/>
    <n v="166250"/>
    <s v="Generators &amp; Power"/>
    <x v="7"/>
  </r>
  <r>
    <s v="T00884"/>
    <d v="2025-09-01T00:00:00"/>
    <s v="BR003"/>
    <s v="P015"/>
    <s v="C0067"/>
    <n v="1"/>
    <n v="0"/>
    <n v="15000"/>
    <s v="Naija Mart GRA"/>
    <n v="15000"/>
    <s v="Home Appliances"/>
    <x v="2"/>
  </r>
  <r>
    <s v="T01062"/>
    <d v="2025-06-15T00:00:00"/>
    <s v="BR001"/>
    <s v="P017"/>
    <s v="C0075"/>
    <n v="1"/>
    <n v="0"/>
    <n v="24000"/>
    <s v="Naija Mart Ikeja"/>
    <n v="24000"/>
    <s v="Home Appliances"/>
    <x v="9"/>
  </r>
  <r>
    <s v="T00075"/>
    <d v="2025-04-09T00:00:00"/>
    <s v="BR001"/>
    <s v="P022"/>
    <s v="C0004"/>
    <n v="1"/>
    <n v="15"/>
    <n v="5200"/>
    <s v="Naija Mart Ikeja"/>
    <n v="4420"/>
    <s v="Small Gadgets"/>
    <x v="5"/>
  </r>
  <r>
    <s v="T00748"/>
    <d v="2025-11-15T00:00:00"/>
    <s v="BR001"/>
    <s v="P023"/>
    <s v="C0171"/>
    <n v="3"/>
    <n v="0"/>
    <n v="195000"/>
    <s v="Naija Mart Ikeja"/>
    <n v="585000"/>
    <s v="Generators &amp; Power"/>
    <x v="0"/>
  </r>
  <r>
    <s v="T00523"/>
    <d v="2025-03-12T00:00:00"/>
    <s v="BR004"/>
    <s v="P014"/>
    <s v="C0215"/>
    <n v="2"/>
    <n v="0"/>
    <n v="285000"/>
    <s v="Naija Mart Sabon Gari"/>
    <n v="570000"/>
    <s v="Home Appliances"/>
    <x v="7"/>
  </r>
  <r>
    <s v="T00336"/>
    <d v="2025-06-24T00:00:00"/>
    <s v="BR003"/>
    <s v="P011"/>
    <s v="C0109"/>
    <n v="2"/>
    <n v="0"/>
    <n v="74000"/>
    <s v="Naija Mart GRA"/>
    <n v="148000"/>
    <s v="Home Appliances"/>
    <x v="9"/>
  </r>
  <r>
    <s v="T00570"/>
    <d v="2025-06-12T00:00:00"/>
    <s v="BR004"/>
    <s v="P001"/>
    <s v="C0124"/>
    <n v="1"/>
    <n v="5"/>
    <n v="185000"/>
    <s v="Naija Mart Sabon Gari"/>
    <n v="175750"/>
    <s v="Electronics"/>
    <x v="9"/>
  </r>
  <r>
    <s v="T00089"/>
    <d v="2025-11-04T00:00:00"/>
    <s v="BR003"/>
    <s v="P010"/>
    <s v="C0097"/>
    <n v="3"/>
    <n v="5"/>
    <n v="62000"/>
    <s v="Naija Mart GRA"/>
    <n v="176700"/>
    <s v="Home Appliances"/>
    <x v="0"/>
  </r>
  <r>
    <s v="T01153"/>
    <d v="2025-03-02T00:00:00"/>
    <s v="BR001"/>
    <s v="P002"/>
    <s v="C0047"/>
    <n v="1"/>
    <n v="0"/>
    <n v="320000"/>
    <s v="Naija Mart Ikeja"/>
    <n v="320000"/>
    <s v="Electronics"/>
    <x v="7"/>
  </r>
  <r>
    <s v="T00218"/>
    <d v="2025-11-20T00:00:00"/>
    <s v="BR002"/>
    <s v="P015"/>
    <s v="C0161"/>
    <n v="2"/>
    <n v="0"/>
    <n v="15000"/>
    <s v="Naija Mart Wuse"/>
    <n v="30000"/>
    <s v="Home Appliances"/>
    <x v="0"/>
  </r>
  <r>
    <s v="T01055"/>
    <d v="2025-11-17T00:00:00"/>
    <s v="BR002"/>
    <s v="P022"/>
    <s v="C0163"/>
    <n v="1"/>
    <n v="30"/>
    <n v="5200"/>
    <s v="Naija Mart Wuse"/>
    <n v="3639.9999999999995"/>
    <s v="Small Gadgets"/>
    <x v="0"/>
  </r>
  <r>
    <s v="T00174"/>
    <d v="2025-02-10T00:00:00"/>
    <s v="BR002"/>
    <s v="P013"/>
    <s v="C0085"/>
    <n v="1"/>
    <n v="0"/>
    <n v="22000"/>
    <s v="Naija Mart Wuse"/>
    <n v="22000"/>
    <s v="Home Appliances"/>
    <x v="1"/>
  </r>
  <r>
    <s v="T00937"/>
    <d v="2025-05-14T00:00:00"/>
    <s v="BR004"/>
    <s v="P007"/>
    <s v="C0180"/>
    <n v="1"/>
    <n v="10"/>
    <n v="145000"/>
    <s v="Naija Mart Sabon Gari"/>
    <n v="130500"/>
    <s v="Electronics"/>
    <x v="3"/>
  </r>
  <r>
    <s v="T00916"/>
    <d v="2025-05-07T00:00:00"/>
    <s v="BR004"/>
    <s v="P018"/>
    <s v="C0201"/>
    <n v="3"/>
    <n v="10"/>
    <n v="18000"/>
    <s v="Naija Mart Sabon Gari"/>
    <n v="48600"/>
    <s v="Small Gadgets"/>
    <x v="3"/>
  </r>
  <r>
    <s v="T00320"/>
    <d v="2025-03-24T00:00:00"/>
    <s v="BR001"/>
    <s v="P007"/>
    <s v="C0138"/>
    <n v="1"/>
    <n v="10"/>
    <n v="145000"/>
    <s v="Naija Mart Ikeja"/>
    <n v="130500"/>
    <s v="Electronics"/>
    <x v="7"/>
  </r>
  <r>
    <s v="T01224"/>
    <d v="2025-06-14T00:00:00"/>
    <s v="BR001"/>
    <s v="P002"/>
    <s v="C0091"/>
    <n v="1"/>
    <n v="0"/>
    <n v="320000"/>
    <s v="Naija Mart Ikeja"/>
    <n v="320000"/>
    <s v="Electronics"/>
    <x v="9"/>
  </r>
  <r>
    <s v="T00701"/>
    <d v="2025-09-25T00:00:00"/>
    <s v="BR003"/>
    <s v="P005"/>
    <s v="C0132"/>
    <n v="1"/>
    <n v="0"/>
    <n v="95000"/>
    <s v="Naija Mart GRA"/>
    <n v="95000"/>
    <s v="Electronics"/>
    <x v="2"/>
  </r>
  <r>
    <s v="T00267"/>
    <d v="2025-12-01T00:00:00"/>
    <s v="BR001"/>
    <s v="P009"/>
    <s v="C0158"/>
    <n v="2"/>
    <n v="10"/>
    <n v="265000"/>
    <s v="Naija Mart Ikeja"/>
    <n v="477000"/>
    <s v="Home Appliances"/>
    <x v="4"/>
  </r>
  <r>
    <s v="T00007"/>
    <d v="2025-06-23T00:00:00"/>
    <s v="BR002"/>
    <s v="P010"/>
    <s v="C0214"/>
    <n v="2"/>
    <n v="0"/>
    <n v="62000"/>
    <s v="Naija Mart Wuse"/>
    <n v="124000"/>
    <s v="Home Appliances"/>
    <x v="9"/>
  </r>
  <r>
    <s v="T00139"/>
    <d v="2025-07-08T00:00:00"/>
    <s v="BR001"/>
    <s v="P005"/>
    <s v="C0199"/>
    <n v="2"/>
    <n v="15"/>
    <n v="95000"/>
    <s v="Naija Mart Ikeja"/>
    <n v="161500"/>
    <s v="Electronics"/>
    <x v="10"/>
  </r>
  <r>
    <s v="T00164"/>
    <d v="2025-12-18T00:00:00"/>
    <s v="BR003"/>
    <s v="P010"/>
    <s v="C0068"/>
    <n v="1"/>
    <n v="30"/>
    <n v="62000"/>
    <s v="Naija Mart GRA"/>
    <n v="43400"/>
    <s v="Home Appliances"/>
    <x v="4"/>
  </r>
  <r>
    <s v="T01315"/>
    <d v="2025-12-13T00:00:00"/>
    <s v="BR001"/>
    <s v="P017"/>
    <s v="C0011"/>
    <n v="5"/>
    <n v="15"/>
    <n v="24000"/>
    <s v="Naija Mart Ikeja"/>
    <n v="102000"/>
    <s v="Home Appliances"/>
    <x v="4"/>
  </r>
  <r>
    <s v="T01319"/>
    <d v="2025-05-23T00:00:00"/>
    <s v="BR003"/>
    <s v="P009"/>
    <s v="C0186"/>
    <n v="1"/>
    <n v="10"/>
    <n v="265000"/>
    <s v="Naija Mart GRA"/>
    <n v="238500"/>
    <s v="Home Appliances"/>
    <x v="3"/>
  </r>
  <r>
    <s v="T01026"/>
    <d v="2025-09-09T00:00:00"/>
    <s v="BR001"/>
    <s v="P001"/>
    <s v="C0065"/>
    <n v="2"/>
    <n v="25"/>
    <n v="185000"/>
    <s v="Naija Mart Ikeja"/>
    <n v="277500"/>
    <s v="Electronics"/>
    <x v="2"/>
  </r>
  <r>
    <s v="T01017"/>
    <d v="2025-12-14T00:00:00"/>
    <s v="BR003"/>
    <s v="P017"/>
    <s v="C0111"/>
    <n v="1"/>
    <n v="10"/>
    <n v="24000"/>
    <s v="Naija Mart GRA"/>
    <n v="21600"/>
    <s v="Home Appliances"/>
    <x v="4"/>
  </r>
  <r>
    <s v="T00524"/>
    <d v="2025-03-06T00:00:00"/>
    <s v="BR002"/>
    <s v="P025"/>
    <s v="C0131"/>
    <n v="1"/>
    <n v="10"/>
    <n v="175000"/>
    <s v="Naija Mart Wuse"/>
    <n v="157500"/>
    <s v="Generators &amp; Power"/>
    <x v="7"/>
  </r>
  <r>
    <s v="T00774"/>
    <d v="2025-01-18T00:00:00"/>
    <s v="BR004"/>
    <s v="P019"/>
    <s v="C0114"/>
    <n v="2"/>
    <n v="0"/>
    <n v="21000"/>
    <s v="Naija Mart Sabon Gari"/>
    <n v="42000"/>
    <s v="Small Gadgets"/>
    <x v="11"/>
  </r>
  <r>
    <s v="T01089"/>
    <d v="2025-06-03T00:00:00"/>
    <s v="BR002"/>
    <s v="P004"/>
    <s v="C0218"/>
    <n v="1"/>
    <n v="0"/>
    <n v="38000"/>
    <s v="Naija Mart Wuse"/>
    <n v="38000"/>
    <s v="Electronics"/>
    <x v="9"/>
  </r>
  <r>
    <s v="T00579"/>
    <d v="2025-09-24T00:00:00"/>
    <s v="BR003"/>
    <s v="P006"/>
    <s v="C0023"/>
    <n v="1"/>
    <n v="0"/>
    <n v="78000"/>
    <s v="Naija Mart GRA"/>
    <n v="78000"/>
    <s v="Electronics"/>
    <x v="2"/>
  </r>
  <r>
    <s v="T00672"/>
    <d v="2025-10-07T00:00:00"/>
    <s v="BR003"/>
    <s v="P009"/>
    <s v="C0178"/>
    <n v="1"/>
    <n v="5"/>
    <n v="265000"/>
    <s v="Naija Mart GRA"/>
    <n v="251750"/>
    <s v="Home Appliances"/>
    <x v="8"/>
  </r>
  <r>
    <s v="T00020"/>
    <d v="2025-04-08T00:00:00"/>
    <s v="BR003"/>
    <s v="P006"/>
    <s v="C0114"/>
    <n v="1"/>
    <n v="0"/>
    <n v="78000"/>
    <s v="Naija Mart GRA"/>
    <n v="78000"/>
    <s v="Electronics"/>
    <x v="5"/>
  </r>
  <r>
    <s v="T01190"/>
    <d v="2025-04-19T00:00:00"/>
    <s v="BR001"/>
    <s v="P022"/>
    <s v="C0159"/>
    <n v="2"/>
    <n v="0"/>
    <n v="5200"/>
    <s v="Naija Mart Ikeja"/>
    <n v="10400"/>
    <s v="Small Gadgets"/>
    <x v="5"/>
  </r>
  <r>
    <s v="T00670"/>
    <d v="2025-03-12T00:00:00"/>
    <s v="BR002"/>
    <s v="P014"/>
    <s v="C0026"/>
    <n v="1"/>
    <n v="25"/>
    <n v="285000"/>
    <s v="Naija Mart Wuse"/>
    <n v="213750"/>
    <s v="Home Appliances"/>
    <x v="7"/>
  </r>
  <r>
    <s v="T00680"/>
    <d v="2025-07-09T00:00:00"/>
    <s v="BR002"/>
    <s v="P006"/>
    <s v="C0057"/>
    <n v="2"/>
    <n v="5"/>
    <n v="78000"/>
    <s v="Naija Mart Wuse"/>
    <n v="148200"/>
    <s v="Electronics"/>
    <x v="10"/>
  </r>
  <r>
    <s v="T00714"/>
    <d v="2025-05-02T00:00:00"/>
    <s v="BR003"/>
    <s v="P004"/>
    <s v="C0038"/>
    <n v="1"/>
    <n v="0"/>
    <n v="38000"/>
    <s v="Naija Mart GRA"/>
    <n v="38000"/>
    <s v="Electronics"/>
    <x v="3"/>
  </r>
  <r>
    <s v="T00138"/>
    <d v="2025-02-13T00:00:00"/>
    <s v="BR004"/>
    <s v="P009"/>
    <s v="C0088"/>
    <n v="1"/>
    <n v="0"/>
    <n v="265000"/>
    <s v="Naija Mart Sabon Gari"/>
    <n v="265000"/>
    <s v="Home Appliances"/>
    <x v="1"/>
  </r>
  <r>
    <s v="T00558"/>
    <d v="2025-03-26T00:00:00"/>
    <s v="BR003"/>
    <s v="P010"/>
    <s v="C0064"/>
    <n v="1"/>
    <n v="0"/>
    <n v="62000"/>
    <s v="Naija Mart GRA"/>
    <n v="62000"/>
    <s v="Home Appliances"/>
    <x v="7"/>
  </r>
  <r>
    <s v="T01150"/>
    <d v="2025-03-05T00:00:00"/>
    <s v="BR004"/>
    <s v="P005"/>
    <s v="C0128"/>
    <n v="2"/>
    <n v="25"/>
    <n v="95000"/>
    <s v="Naija Mart Sabon Gari"/>
    <n v="142500"/>
    <s v="Electronics"/>
    <x v="7"/>
  </r>
  <r>
    <s v="T00634"/>
    <d v="2025-05-12T00:00:00"/>
    <s v="BR003"/>
    <s v="P011"/>
    <s v="C0098"/>
    <n v="1"/>
    <n v="5"/>
    <n v="74000"/>
    <s v="Naija Mart GRA"/>
    <n v="70300"/>
    <s v="Home Appliances"/>
    <x v="3"/>
  </r>
  <r>
    <s v="T00753"/>
    <d v="2025-12-21T00:00:00"/>
    <s v="BR001"/>
    <s v="P003"/>
    <s v="C0164"/>
    <n v="1"/>
    <n v="0"/>
    <n v="45000"/>
    <s v="Naija Mart Ikeja"/>
    <n v="45000"/>
    <s v="Electronics"/>
    <x v="4"/>
  </r>
  <r>
    <s v="T01023"/>
    <d v="2025-05-23T00:00:00"/>
    <s v="BR002"/>
    <s v="P016"/>
    <s v="C0185"/>
    <n v="1"/>
    <n v="0"/>
    <n v="19500"/>
    <s v="Naija Mart Wuse"/>
    <n v="19500"/>
    <s v="Home Appliances"/>
    <x v="3"/>
  </r>
  <r>
    <s v="T00369"/>
    <d v="2025-12-20T00:00:00"/>
    <s v="BR004"/>
    <s v="P024"/>
    <s v="C0054"/>
    <n v="1"/>
    <n v="0"/>
    <n v="245000"/>
    <s v="Naija Mart Sabon Gari"/>
    <n v="245000"/>
    <s v="Generators &amp; Power"/>
    <x v="4"/>
  </r>
  <r>
    <s v="T01323"/>
    <d v="2025-01-20T00:00:00"/>
    <s v="BR001"/>
    <s v="P015"/>
    <s v="C0157"/>
    <n v="1"/>
    <n v="0"/>
    <n v="15000"/>
    <s v="Naija Mart Ikeja"/>
    <n v="15000"/>
    <s v="Home Appliances"/>
    <x v="11"/>
  </r>
  <r>
    <s v="T00732"/>
    <d v="2025-11-28T00:00:00"/>
    <s v="BR004"/>
    <s v="P017"/>
    <s v="C0011"/>
    <n v="1"/>
    <n v="20"/>
    <n v="24000"/>
    <s v="Naija Mart Sabon Gari"/>
    <n v="19200"/>
    <s v="Home Appliances"/>
    <x v="0"/>
  </r>
  <r>
    <s v="T00328"/>
    <d v="2025-02-17T00:00:00"/>
    <s v="BR003"/>
    <s v="P017"/>
    <s v="C0066"/>
    <n v="1"/>
    <n v="0"/>
    <n v="24000"/>
    <s v="Naija Mart GRA"/>
    <n v="24000"/>
    <s v="Home Appliances"/>
    <x v="1"/>
  </r>
  <r>
    <s v="T00318"/>
    <d v="2025-10-04T00:00:00"/>
    <s v="BR002"/>
    <s v="P015"/>
    <s v="C0026"/>
    <n v="1"/>
    <n v="0"/>
    <n v="15000"/>
    <s v="Naija Mart Wuse"/>
    <n v="15000"/>
    <s v="Home Appliances"/>
    <x v="8"/>
  </r>
  <r>
    <s v="T01071"/>
    <d v="2025-02-12T00:00:00"/>
    <s v="BR003"/>
    <s v="P003"/>
    <s v="C0159"/>
    <n v="2"/>
    <n v="10"/>
    <n v="45000"/>
    <s v="Naija Mart GRA"/>
    <n v="81000"/>
    <s v="Electronics"/>
    <x v="1"/>
  </r>
  <r>
    <s v="T01039"/>
    <d v="2025-10-11T00:00:00"/>
    <s v="BR001"/>
    <s v="P019"/>
    <s v="C0027"/>
    <n v="1"/>
    <n v="5"/>
    <n v="21000"/>
    <s v="Naija Mart Ikeja"/>
    <n v="19950"/>
    <s v="Small Gadgets"/>
    <x v="8"/>
  </r>
  <r>
    <s v="T00529"/>
    <d v="2025-12-12T00:00:00"/>
    <s v="BR001"/>
    <s v="P012"/>
    <s v="C0143"/>
    <n v="5"/>
    <n v="15"/>
    <n v="28000"/>
    <s v="Naija Mart Ikeja"/>
    <n v="119000"/>
    <s v="Home Appliances"/>
    <x v="4"/>
  </r>
  <r>
    <s v="T00527"/>
    <d v="2025-09-24T00:00:00"/>
    <s v="BR002"/>
    <s v="P008"/>
    <s v="C0171"/>
    <n v="2"/>
    <n v="5"/>
    <n v="410000"/>
    <s v="Naija Mart Wuse"/>
    <n v="779000"/>
    <s v="Home Appliances"/>
    <x v="2"/>
  </r>
  <r>
    <s v="T00088"/>
    <d v="2025-09-07T00:00:00"/>
    <s v="BR001"/>
    <s v="P011"/>
    <s v="C0031"/>
    <n v="2"/>
    <n v="0"/>
    <n v="74000"/>
    <s v="Naija Mart Ikeja"/>
    <n v="148000"/>
    <s v="Home Appliances"/>
    <x v="2"/>
  </r>
  <r>
    <s v="T00480"/>
    <d v="2025-12-15T00:00:00"/>
    <s v="BR003"/>
    <s v="P017"/>
    <s v="C0207"/>
    <n v="1"/>
    <n v="0"/>
    <n v="24000"/>
    <s v="Naija Mart GRA"/>
    <n v="24000"/>
    <s v="Home Appliances"/>
    <x v="4"/>
  </r>
  <r>
    <s v="T00339"/>
    <d v="2025-11-26T00:00:00"/>
    <s v="BR003"/>
    <s v="P011"/>
    <s v="C0069"/>
    <n v="2"/>
    <n v="15"/>
    <n v="74000"/>
    <s v="Naija Mart GRA"/>
    <n v="125800"/>
    <s v="Home Appliances"/>
    <x v="0"/>
  </r>
  <r>
    <s v="T00665"/>
    <d v="2025-03-02T00:00:00"/>
    <s v="BR004"/>
    <s v="P009"/>
    <s v="C0205"/>
    <n v="1"/>
    <n v="5"/>
    <n v="265000"/>
    <s v="Naija Mart Sabon Gari"/>
    <n v="251750"/>
    <s v="Home Appliances"/>
    <x v="7"/>
  </r>
  <r>
    <s v="T00149"/>
    <d v="2025-02-28T00:00:00"/>
    <s v="BR004"/>
    <s v="P016"/>
    <s v="C0022"/>
    <n v="1"/>
    <n v="10"/>
    <n v="19500"/>
    <s v="Naija Mart Sabon Gari"/>
    <n v="17550"/>
    <s v="Home Appliances"/>
    <x v="1"/>
  </r>
  <r>
    <s v="T01381"/>
    <d v="2025-05-14T00:00:00"/>
    <s v="BR001"/>
    <s v="P012"/>
    <s v="C0192"/>
    <n v="1"/>
    <n v="5"/>
    <n v="28000"/>
    <s v="Naija Mart Ikeja"/>
    <n v="26600"/>
    <s v="Home Appliances"/>
    <x v="3"/>
  </r>
  <r>
    <s v="T01297"/>
    <d v="2025-11-13T00:00:00"/>
    <s v="BR004"/>
    <s v="P006"/>
    <s v="C0072"/>
    <n v="2"/>
    <n v="25"/>
    <n v="78000"/>
    <s v="Naija Mart Sabon Gari"/>
    <n v="117000"/>
    <s v="Electronics"/>
    <x v="0"/>
  </r>
  <r>
    <s v="T00029"/>
    <d v="2025-11-20T00:00:00"/>
    <s v="BR002"/>
    <s v="P021"/>
    <s v="C0117"/>
    <n v="1"/>
    <n v="30"/>
    <n v="6500"/>
    <s v="Naija Mart Wuse"/>
    <n v="4550"/>
    <s v="Small Gadgets"/>
    <x v="0"/>
  </r>
  <r>
    <s v="T00247"/>
    <d v="2025-01-28T00:00:00"/>
    <s v="BR004"/>
    <s v="P005"/>
    <s v="C0116"/>
    <n v="1"/>
    <n v="0"/>
    <n v="95000"/>
    <s v="Naija Mart Sabon Gari"/>
    <n v="95000"/>
    <s v="Electronics"/>
    <x v="11"/>
  </r>
  <r>
    <s v="T00366"/>
    <d v="2025-01-08T00:00:00"/>
    <s v="BR002"/>
    <s v="P020"/>
    <s v="C0209"/>
    <n v="1"/>
    <n v="0"/>
    <n v="8500"/>
    <s v="Naija Mart Wuse"/>
    <n v="8500"/>
    <s v="Small Gadgets"/>
    <x v="11"/>
  </r>
  <r>
    <s v="T00667"/>
    <d v="2025-08-11T00:00:00"/>
    <s v="BR003"/>
    <s v="P010"/>
    <s v="C0083"/>
    <n v="1"/>
    <n v="5"/>
    <n v="62000"/>
    <s v="Naija Mart GRA"/>
    <n v="58900"/>
    <s v="Home Appliances"/>
    <x v="6"/>
  </r>
  <r>
    <s v="T01059"/>
    <d v="2025-05-11T00:00:00"/>
    <s v="BR001"/>
    <s v="P003"/>
    <s v="C0210"/>
    <n v="1"/>
    <n v="10"/>
    <n v="45000"/>
    <s v="Naija Mart Ikeja"/>
    <n v="40500"/>
    <s v="Electronics"/>
    <x v="3"/>
  </r>
  <r>
    <s v="T00199"/>
    <d v="2025-12-16T00:00:00"/>
    <s v="BR004"/>
    <s v="P025"/>
    <s v="C0012"/>
    <n v="1"/>
    <n v="5"/>
    <n v="175000"/>
    <s v="Naija Mart Sabon Gari"/>
    <n v="166250"/>
    <s v="Generators &amp; Power"/>
    <x v="4"/>
  </r>
  <r>
    <s v="T01341"/>
    <d v="2025-03-16T00:00:00"/>
    <s v="BR002"/>
    <s v="P024"/>
    <s v="C0035"/>
    <n v="2"/>
    <n v="15"/>
    <n v="245000"/>
    <s v="Naija Mart Wuse"/>
    <n v="416500"/>
    <s v="Generators &amp; Power"/>
    <x v="7"/>
  </r>
  <r>
    <s v="T01112"/>
    <d v="2025-08-26T00:00:00"/>
    <s v="BR001"/>
    <s v="P013"/>
    <s v="C0199"/>
    <n v="1"/>
    <n v="0"/>
    <n v="22000"/>
    <s v="Naija Mart Ikeja"/>
    <n v="22000"/>
    <s v="Home Appliances"/>
    <x v="6"/>
  </r>
  <r>
    <s v="T00405"/>
    <d v="2025-05-15T00:00:00"/>
    <s v="BR004"/>
    <s v="P016"/>
    <s v="C0044"/>
    <n v="2"/>
    <n v="0"/>
    <n v="19500"/>
    <s v="Naija Mart Sabon Gari"/>
    <n v="39000"/>
    <s v="Home Appliances"/>
    <x v="3"/>
  </r>
  <r>
    <s v="T00972"/>
    <d v="2025-01-11T00:00:00"/>
    <s v="BR002"/>
    <s v="P004"/>
    <s v="C0004"/>
    <n v="1"/>
    <n v="5"/>
    <n v="38000"/>
    <s v="Naija Mart Wuse"/>
    <n v="36100"/>
    <s v="Electronics"/>
    <x v="11"/>
  </r>
  <r>
    <s v="T00484"/>
    <d v="2025-05-11T00:00:00"/>
    <s v="BR002"/>
    <s v="P013"/>
    <s v="C0046"/>
    <n v="1"/>
    <n v="5"/>
    <n v="22000"/>
    <s v="Naija Mart Wuse"/>
    <n v="20900"/>
    <s v="Home Appliances"/>
    <x v="3"/>
  </r>
  <r>
    <s v="T00159"/>
    <d v="2025-12-28T00:00:00"/>
    <s v="BR001"/>
    <s v="P004"/>
    <s v="C0168"/>
    <n v="2"/>
    <n v="0"/>
    <n v="38000"/>
    <s v="Naija Mart Ikeja"/>
    <n v="76000"/>
    <s v="Electronics"/>
    <x v="4"/>
  </r>
  <r>
    <s v="T00316"/>
    <d v="2025-04-24T00:00:00"/>
    <s v="BR003"/>
    <s v="P011"/>
    <s v="C0092"/>
    <n v="1"/>
    <n v="10"/>
    <n v="74000"/>
    <s v="Naija Mart GRA"/>
    <n v="66600"/>
    <s v="Home Appliances"/>
    <x v="5"/>
  </r>
  <r>
    <s v="T00257"/>
    <d v="2025-09-02T00:00:00"/>
    <s v="BR004"/>
    <s v="P003"/>
    <s v="C0183"/>
    <n v="1"/>
    <n v="10"/>
    <n v="45000"/>
    <s v="Naija Mart Sabon Gari"/>
    <n v="40500"/>
    <s v="Electronics"/>
    <x v="2"/>
  </r>
  <r>
    <s v="T00008"/>
    <d v="2025-09-28T00:00:00"/>
    <s v="BR002"/>
    <s v="P006"/>
    <s v="C0040"/>
    <n v="1"/>
    <n v="10"/>
    <n v="78000"/>
    <s v="Naija Mart Wuse"/>
    <n v="70200"/>
    <s v="Electronics"/>
    <x v="2"/>
  </r>
  <r>
    <s v="T01127"/>
    <d v="2025-08-10T00:00:00"/>
    <s v="BR001"/>
    <s v="P024"/>
    <s v="C0145"/>
    <n v="1"/>
    <n v="0"/>
    <n v="245000"/>
    <s v="Naija Mart Ikeja"/>
    <n v="245000"/>
    <s v="Generators &amp; Power"/>
    <x v="6"/>
  </r>
  <r>
    <s v="T00385"/>
    <d v="2025-08-01T00:00:00"/>
    <s v="BR001"/>
    <s v="P008"/>
    <s v="C0021"/>
    <n v="2"/>
    <n v="0"/>
    <n v="410000"/>
    <s v="Naija Mart Ikeja"/>
    <n v="820000"/>
    <s v="Home Appliances"/>
    <x v="6"/>
  </r>
  <r>
    <s v="T00178"/>
    <d v="2025-01-26T00:00:00"/>
    <s v="BR001"/>
    <s v="P022"/>
    <s v="C0068"/>
    <n v="2"/>
    <n v="10"/>
    <n v="5200"/>
    <s v="Naija Mart Ikeja"/>
    <n v="9360"/>
    <s v="Small Gadgets"/>
    <x v="11"/>
  </r>
  <r>
    <s v="T00869"/>
    <d v="2025-05-06T00:00:00"/>
    <s v="BR002"/>
    <s v="P016"/>
    <s v="C0008"/>
    <n v="1"/>
    <n v="15"/>
    <n v="19500"/>
    <s v="Naija Mart Wuse"/>
    <n v="16575"/>
    <s v="Home Appliances"/>
    <x v="3"/>
  </r>
  <r>
    <s v="T00315"/>
    <d v="2025-12-19T00:00:00"/>
    <s v="BR001"/>
    <s v="P023"/>
    <s v="C0020"/>
    <n v="5"/>
    <n v="5"/>
    <n v="195000"/>
    <s v="Naija Mart Ikeja"/>
    <n v="926250"/>
    <s v="Generators &amp; Power"/>
    <x v="4"/>
  </r>
  <r>
    <s v="T00358"/>
    <d v="2025-09-24T00:00:00"/>
    <s v="BR003"/>
    <s v="P002"/>
    <s v="C0197"/>
    <n v="2"/>
    <n v="0"/>
    <n v="320000"/>
    <s v="Naija Mart GRA"/>
    <n v="640000"/>
    <s v="Electronics"/>
    <x v="2"/>
  </r>
  <r>
    <s v="T00299"/>
    <d v="2025-04-26T00:00:00"/>
    <s v="BR004"/>
    <s v="P009"/>
    <s v="C0199"/>
    <n v="1"/>
    <n v="10"/>
    <n v="265000"/>
    <s v="Naija Mart Sabon Gari"/>
    <n v="238500"/>
    <s v="Home Appliances"/>
    <x v="5"/>
  </r>
  <r>
    <s v="T00456"/>
    <d v="2025-12-24T00:00:00"/>
    <s v="BR004"/>
    <s v="P015"/>
    <s v="C0132"/>
    <n v="1"/>
    <n v="5"/>
    <n v="15000"/>
    <s v="Naija Mart Sabon Gari"/>
    <n v="14250"/>
    <s v="Home Appliances"/>
    <x v="4"/>
  </r>
  <r>
    <s v="T00544"/>
    <d v="2025-10-02T00:00:00"/>
    <s v="BR004"/>
    <s v="P024"/>
    <s v="C0194"/>
    <n v="1"/>
    <n v="0"/>
    <n v="245000"/>
    <s v="Naija Mart Sabon Gari"/>
    <n v="245000"/>
    <s v="Generators &amp; Power"/>
    <x v="8"/>
  </r>
  <r>
    <s v="T01065"/>
    <d v="2025-03-05T00:00:00"/>
    <s v="BR003"/>
    <s v="P001"/>
    <s v="C0214"/>
    <n v="2"/>
    <n v="0"/>
    <n v="185000"/>
    <s v="Naija Mart GRA"/>
    <n v="370000"/>
    <s v="Electronics"/>
    <x v="7"/>
  </r>
  <r>
    <s v="T00741"/>
    <d v="2025-12-19T00:00:00"/>
    <s v="BR001"/>
    <s v="P019"/>
    <s v="C0068"/>
    <n v="3"/>
    <n v="10"/>
    <n v="21000"/>
    <s v="Naija Mart Ikeja"/>
    <n v="56700"/>
    <s v="Small Gadgets"/>
    <x v="4"/>
  </r>
  <r>
    <s v="T00528"/>
    <d v="2025-09-24T00:00:00"/>
    <s v="BR003"/>
    <s v="P022"/>
    <s v="C0101"/>
    <n v="1"/>
    <n v="0"/>
    <n v="5200"/>
    <s v="Naija Mart GRA"/>
    <n v="5200"/>
    <s v="Small Gadgets"/>
    <x v="2"/>
  </r>
  <r>
    <s v="T01175"/>
    <d v="2025-01-17T00:00:00"/>
    <s v="BR001"/>
    <s v="P007"/>
    <s v="C0027"/>
    <n v="1"/>
    <n v="0"/>
    <n v="145000"/>
    <s v="Naija Mart Ikeja"/>
    <n v="145000"/>
    <s v="Electronics"/>
    <x v="11"/>
  </r>
  <r>
    <s v="T00160"/>
    <d v="2025-05-15T00:00:00"/>
    <s v="BR004"/>
    <s v="P013"/>
    <s v="C0163"/>
    <n v="1"/>
    <n v="0"/>
    <n v="22000"/>
    <s v="Naija Mart Sabon Gari"/>
    <n v="22000"/>
    <s v="Home Appliances"/>
    <x v="3"/>
  </r>
  <r>
    <s v="T01169"/>
    <d v="2025-04-17T00:00:00"/>
    <s v="BR001"/>
    <s v="P014"/>
    <s v="C0172"/>
    <n v="1"/>
    <n v="10"/>
    <n v="285000"/>
    <s v="Naija Mart Ikeja"/>
    <n v="256500"/>
    <s v="Home Appliances"/>
    <x v="5"/>
  </r>
  <r>
    <s v="T00361"/>
    <d v="2025-11-19T00:00:00"/>
    <s v="BR004"/>
    <s v="P014"/>
    <s v="C0057"/>
    <n v="1"/>
    <n v="5"/>
    <n v="285000"/>
    <s v="Naija Mart Sabon Gari"/>
    <n v="270750"/>
    <s v="Home Appliances"/>
    <x v="0"/>
  </r>
  <r>
    <s v="T01237"/>
    <d v="2025-06-25T00:00:00"/>
    <s v="BR001"/>
    <s v="P021"/>
    <s v="C0004"/>
    <n v="1"/>
    <n v="0"/>
    <n v="6500"/>
    <s v="Naija Mart Ikeja"/>
    <n v="6500"/>
    <s v="Small Gadgets"/>
    <x v="9"/>
  </r>
  <r>
    <s v="T00203"/>
    <d v="2025-01-13T00:00:00"/>
    <s v="BR003"/>
    <s v="P013"/>
    <s v="C0149"/>
    <n v="1"/>
    <n v="0"/>
    <n v="22000"/>
    <s v="Naija Mart GRA"/>
    <n v="22000"/>
    <s v="Home Appliances"/>
    <x v="11"/>
  </r>
  <r>
    <s v="T00872"/>
    <d v="2025-10-21T00:00:00"/>
    <s v="BR002"/>
    <s v="P013"/>
    <s v="C0093"/>
    <n v="1"/>
    <n v="0"/>
    <n v="22000"/>
    <s v="Naija Mart Wuse"/>
    <n v="22000"/>
    <s v="Home Appliances"/>
    <x v="8"/>
  </r>
  <r>
    <s v="T00681"/>
    <d v="2025-01-25T00:00:00"/>
    <s v="BR004"/>
    <s v="P008"/>
    <s v="C0210"/>
    <n v="2"/>
    <n v="15"/>
    <n v="410000"/>
    <s v="Naija Mart Sabon Gari"/>
    <n v="697000"/>
    <s v="Home Appliances"/>
    <x v="11"/>
  </r>
  <r>
    <s v="T00113"/>
    <d v="2025-12-21T00:00:00"/>
    <s v="BR004"/>
    <s v="P017"/>
    <s v="C0220"/>
    <n v="2"/>
    <n v="10"/>
    <n v="24000"/>
    <s v="Naija Mart Sabon Gari"/>
    <n v="43200"/>
    <s v="Home Appliances"/>
    <x v="4"/>
  </r>
  <r>
    <s v="T00780"/>
    <d v="2025-01-20T00:00:00"/>
    <s v="BR001"/>
    <s v="P023"/>
    <s v="C0077"/>
    <n v="1"/>
    <n v="5"/>
    <n v="195000"/>
    <s v="Naija Mart Ikeja"/>
    <n v="185250"/>
    <s v="Generators &amp; Power"/>
    <x v="11"/>
  </r>
  <r>
    <s v="T00308"/>
    <d v="2025-11-22T00:00:00"/>
    <s v="BR002"/>
    <s v="P011"/>
    <s v="C0201"/>
    <n v="2"/>
    <n v="15"/>
    <n v="74000"/>
    <s v="Naija Mart Wuse"/>
    <n v="125800"/>
    <s v="Home Appliances"/>
    <x v="0"/>
  </r>
  <r>
    <s v="T00740"/>
    <d v="2025-09-26T00:00:00"/>
    <s v="BR004"/>
    <s v="P010"/>
    <s v="C0081"/>
    <n v="1"/>
    <n v="5"/>
    <n v="62000"/>
    <s v="Naija Mart Sabon Gari"/>
    <n v="58900"/>
    <s v="Home Appliances"/>
    <x v="2"/>
  </r>
  <r>
    <s v="T00423"/>
    <d v="2025-11-11T00:00:00"/>
    <s v="BR004"/>
    <s v="P023"/>
    <s v="C0088"/>
    <n v="1"/>
    <n v="15"/>
    <n v="195000"/>
    <s v="Naija Mart Sabon Gari"/>
    <n v="165750"/>
    <s v="Generators &amp; Power"/>
    <x v="0"/>
  </r>
  <r>
    <s v="T00692"/>
    <d v="2025-08-20T00:00:00"/>
    <s v="BR004"/>
    <s v="P008"/>
    <s v="C0084"/>
    <n v="1"/>
    <n v="5"/>
    <n v="410000"/>
    <s v="Naija Mart Sabon Gari"/>
    <n v="389500"/>
    <s v="Home Appliances"/>
    <x v="6"/>
  </r>
  <r>
    <s v="T01042"/>
    <d v="2025-06-12T00:00:00"/>
    <s v="BR003"/>
    <s v="P025"/>
    <s v="C0120"/>
    <n v="1"/>
    <n v="15"/>
    <n v="175000"/>
    <s v="Naija Mart GRA"/>
    <n v="148750"/>
    <s v="Generators &amp; Power"/>
    <x v="9"/>
  </r>
  <r>
    <s v="T00826"/>
    <d v="2025-06-22T00:00:00"/>
    <s v="BR001"/>
    <s v="P004"/>
    <s v="C0134"/>
    <n v="1"/>
    <n v="0"/>
    <n v="38000"/>
    <s v="Naija Mart Ikeja"/>
    <n v="38000"/>
    <s v="Electronics"/>
    <x v="9"/>
  </r>
  <r>
    <s v="T00460"/>
    <d v="2025-12-15T00:00:00"/>
    <s v="BR004"/>
    <s v="P025"/>
    <s v="C0179"/>
    <n v="1"/>
    <n v="10"/>
    <n v="175000"/>
    <s v="Naija Mart Sabon Gari"/>
    <n v="157500"/>
    <s v="Generators &amp; Power"/>
    <x v="4"/>
  </r>
  <r>
    <s v="T01051"/>
    <d v="2025-03-11T00:00:00"/>
    <s v="BR001"/>
    <s v="P012"/>
    <s v="C0102"/>
    <n v="5"/>
    <n v="10"/>
    <n v="28000"/>
    <s v="Naija Mart Ikeja"/>
    <n v="126000"/>
    <s v="Home Appliances"/>
    <x v="7"/>
  </r>
  <r>
    <s v="T01215"/>
    <d v="2025-10-10T00:00:00"/>
    <s v="BR002"/>
    <s v="P015"/>
    <s v="C0039"/>
    <n v="2"/>
    <n v="5"/>
    <n v="15000"/>
    <s v="Naija Mart Wuse"/>
    <n v="28500"/>
    <s v="Home Appliances"/>
    <x v="8"/>
  </r>
  <r>
    <s v="T00717"/>
    <d v="2025-02-16T00:00:00"/>
    <s v="BR003"/>
    <s v="P011"/>
    <s v="C0038"/>
    <n v="1"/>
    <n v="0"/>
    <n v="74000"/>
    <s v="Naija Mart GRA"/>
    <n v="74000"/>
    <s v="Home Appliances"/>
    <x v="1"/>
  </r>
  <r>
    <s v="T00802"/>
    <d v="2025-12-27T00:00:00"/>
    <s v="BR001"/>
    <s v="P010"/>
    <s v="C0053"/>
    <n v="1"/>
    <n v="10"/>
    <n v="62000"/>
    <s v="Naija Mart Ikeja"/>
    <n v="55800"/>
    <s v="Home Appliances"/>
    <x v="4"/>
  </r>
  <r>
    <s v="T00450"/>
    <d v="2025-12-12T00:00:00"/>
    <s v="BR001"/>
    <s v="P004"/>
    <s v="C0185"/>
    <n v="1"/>
    <n v="10"/>
    <n v="38000"/>
    <s v="Naija Mart Ikeja"/>
    <n v="34200"/>
    <s v="Electronics"/>
    <x v="4"/>
  </r>
  <r>
    <s v="T01263"/>
    <d v="2025-06-16T00:00:00"/>
    <s v="BR001"/>
    <s v="P016"/>
    <s v="C0091"/>
    <n v="1"/>
    <n v="20"/>
    <n v="19500"/>
    <s v="Naija Mart Ikeja"/>
    <n v="15600"/>
    <s v="Home Appliances"/>
    <x v="9"/>
  </r>
  <r>
    <s v="T00081"/>
    <d v="2025-03-16T00:00:00"/>
    <s v="BR003"/>
    <s v="P005"/>
    <s v="C0109"/>
    <n v="2"/>
    <n v="10"/>
    <n v="95000"/>
    <s v="Naija Mart GRA"/>
    <n v="171000"/>
    <s v="Electronics"/>
    <x v="7"/>
  </r>
  <r>
    <s v="T01227"/>
    <d v="2025-07-03T00:00:00"/>
    <s v="BR002"/>
    <s v="P001"/>
    <s v="C0131"/>
    <n v="2"/>
    <n v="0"/>
    <n v="185000"/>
    <s v="Naija Mart Wuse"/>
    <n v="370000"/>
    <s v="Electronics"/>
    <x v="10"/>
  </r>
  <r>
    <s v="T01340"/>
    <d v="2025-10-10T00:00:00"/>
    <s v="BR001"/>
    <s v="P013"/>
    <s v="C0068"/>
    <n v="1"/>
    <n v="0"/>
    <n v="22000"/>
    <s v="Naija Mart Ikeja"/>
    <n v="22000"/>
    <s v="Home Appliances"/>
    <x v="8"/>
  </r>
  <r>
    <s v="T00216"/>
    <d v="2025-08-18T00:00:00"/>
    <s v="BR001"/>
    <s v="P016"/>
    <s v="C0060"/>
    <n v="1"/>
    <n v="0"/>
    <n v="19500"/>
    <s v="Naija Mart Ikeja"/>
    <n v="19500"/>
    <s v="Home Appliances"/>
    <x v="6"/>
  </r>
  <r>
    <s v="T00833"/>
    <d v="2025-06-12T00:00:00"/>
    <s v="BR001"/>
    <s v="P011"/>
    <s v="C0159"/>
    <n v="2"/>
    <n v="30"/>
    <n v="74000"/>
    <s v="Naija Mart Ikeja"/>
    <n v="103600"/>
    <s v="Home Appliances"/>
    <x v="9"/>
  </r>
  <r>
    <s v="T00031"/>
    <d v="2025-10-10T00:00:00"/>
    <s v="BR003"/>
    <s v="P024"/>
    <s v="C0182"/>
    <n v="1"/>
    <n v="0"/>
    <n v="245000"/>
    <s v="Naija Mart GRA"/>
    <n v="245000"/>
    <s v="Generators &amp; Power"/>
    <x v="8"/>
  </r>
  <r>
    <s v="T00243"/>
    <d v="2025-06-09T00:00:00"/>
    <s v="BR002"/>
    <s v="P001"/>
    <s v="C0179"/>
    <n v="1"/>
    <n v="0"/>
    <n v="185000"/>
    <s v="Naija Mart Wuse"/>
    <n v="185000"/>
    <s v="Electronics"/>
    <x v="9"/>
  </r>
  <r>
    <s v="T00857"/>
    <d v="2025-11-19T00:00:00"/>
    <s v="BR004"/>
    <s v="P025"/>
    <s v="C0187"/>
    <n v="2"/>
    <n v="5"/>
    <n v="175000"/>
    <s v="Naija Mart Sabon Gari"/>
    <n v="332500"/>
    <s v="Generators &amp; Power"/>
    <x v="0"/>
  </r>
  <r>
    <s v="T00642"/>
    <d v="2025-03-13T00:00:00"/>
    <s v="BR001"/>
    <s v="P015"/>
    <s v="C0020"/>
    <n v="1"/>
    <n v="10"/>
    <n v="15000"/>
    <s v="Naija Mart Ikeja"/>
    <n v="13500"/>
    <s v="Home Appliances"/>
    <x v="7"/>
  </r>
  <r>
    <s v="T00210"/>
    <d v="2025-11-04T00:00:00"/>
    <s v="BR002"/>
    <s v="P009"/>
    <s v="C0042"/>
    <n v="2"/>
    <n v="15"/>
    <n v="265000"/>
    <s v="Naija Mart Wuse"/>
    <n v="450500"/>
    <s v="Home Appliances"/>
    <x v="0"/>
  </r>
  <r>
    <s v="T00729"/>
    <d v="2025-11-27T00:00:00"/>
    <s v="BR001"/>
    <s v="P014"/>
    <s v="C0171"/>
    <n v="1"/>
    <n v="0"/>
    <n v="285000"/>
    <s v="Naija Mart Ikeja"/>
    <n v="285000"/>
    <s v="Home Appliances"/>
    <x v="0"/>
  </r>
  <r>
    <s v="T00436"/>
    <d v="2025-08-20T00:00:00"/>
    <s v="BR004"/>
    <s v="P010"/>
    <s v="C0151"/>
    <n v="1"/>
    <n v="5"/>
    <n v="62000"/>
    <s v="Naija Mart Sabon Gari"/>
    <n v="58900"/>
    <s v="Home Appliances"/>
    <x v="6"/>
  </r>
  <r>
    <s v="T00947"/>
    <d v="2025-12-19T00:00:00"/>
    <s v="BR003"/>
    <s v="P024"/>
    <s v="C0099"/>
    <n v="1"/>
    <n v="0"/>
    <n v="245000"/>
    <s v="Naija Mart GRA"/>
    <n v="245000"/>
    <s v="Generators &amp; Power"/>
    <x v="4"/>
  </r>
  <r>
    <s v="T01316"/>
    <d v="2025-02-11T00:00:00"/>
    <s v="BR002"/>
    <s v="P018"/>
    <s v="C0108"/>
    <n v="2"/>
    <n v="0"/>
    <n v="18000"/>
    <s v="Naija Mart Wuse"/>
    <n v="36000"/>
    <s v="Small Gadgets"/>
    <x v="1"/>
  </r>
  <r>
    <s v="T01287"/>
    <d v="2025-04-25T00:00:00"/>
    <s v="BR003"/>
    <s v="P002"/>
    <s v="C0220"/>
    <n v="2"/>
    <n v="0"/>
    <n v="320000"/>
    <s v="Naija Mart GRA"/>
    <n v="640000"/>
    <s v="Electronics"/>
    <x v="5"/>
  </r>
  <r>
    <s v="T01281"/>
    <d v="2025-03-18T00:00:00"/>
    <s v="BR001"/>
    <s v="P012"/>
    <s v="C0094"/>
    <n v="1"/>
    <n v="0"/>
    <n v="28000"/>
    <s v="Naija Mart Ikeja"/>
    <n v="28000"/>
    <s v="Home Appliances"/>
    <x v="7"/>
  </r>
  <r>
    <s v="T00689"/>
    <d v="2025-04-12T00:00:00"/>
    <s v="BR001"/>
    <s v="P015"/>
    <s v="C0118"/>
    <n v="1"/>
    <n v="0"/>
    <n v="15000"/>
    <s v="Naija Mart Ikeja"/>
    <n v="15000"/>
    <s v="Home Appliances"/>
    <x v="5"/>
  </r>
  <r>
    <s v="T00552"/>
    <d v="2025-12-11T00:00:00"/>
    <s v="BR004"/>
    <s v="P011"/>
    <s v="C0084"/>
    <n v="1"/>
    <n v="30"/>
    <n v="74000"/>
    <s v="Naija Mart Sabon Gari"/>
    <n v="51800"/>
    <s v="Home Appliances"/>
    <x v="4"/>
  </r>
  <r>
    <s v="T00545"/>
    <d v="2025-12-02T00:00:00"/>
    <s v="BR001"/>
    <s v="P018"/>
    <s v="C0012"/>
    <n v="1"/>
    <n v="0"/>
    <n v="18000"/>
    <s v="Naija Mart Ikeja"/>
    <n v="18000"/>
    <s v="Small Gadgets"/>
    <x v="4"/>
  </r>
  <r>
    <s v="T00929"/>
    <d v="2025-08-17T00:00:00"/>
    <s v="BR001"/>
    <s v="P005"/>
    <s v="C0135"/>
    <n v="1"/>
    <n v="0"/>
    <n v="95000"/>
    <s v="Naija Mart Ikeja"/>
    <n v="95000"/>
    <s v="Electronics"/>
    <x v="6"/>
  </r>
  <r>
    <s v="T01142"/>
    <d v="2025-03-13T00:00:00"/>
    <s v="BR004"/>
    <s v="P014"/>
    <s v="C0068"/>
    <n v="1"/>
    <n v="0"/>
    <n v="285000"/>
    <s v="Naija Mart Sabon Gari"/>
    <n v="285000"/>
    <s v="Home Appliances"/>
    <x v="7"/>
  </r>
  <r>
    <s v="T00755"/>
    <d v="2025-08-07T00:00:00"/>
    <s v="BR001"/>
    <s v="P001"/>
    <s v="C0116"/>
    <n v="3"/>
    <n v="5"/>
    <n v="185000"/>
    <s v="Naija Mart Ikeja"/>
    <n v="527250"/>
    <s v="Electronics"/>
    <x v="6"/>
  </r>
  <r>
    <s v="T00404"/>
    <d v="2025-12-12T00:00:00"/>
    <s v="BR002"/>
    <s v="P008"/>
    <s v="C0016"/>
    <n v="5"/>
    <n v="0"/>
    <n v="410000"/>
    <s v="Naija Mart Wuse"/>
    <n v="2050000"/>
    <s v="Home Appliances"/>
    <x v="4"/>
  </r>
  <r>
    <s v="T01388"/>
    <d v="2025-09-23T00:00:00"/>
    <s v="BR002"/>
    <s v="P003"/>
    <s v="C0203"/>
    <n v="2"/>
    <n v="15"/>
    <n v="45000"/>
    <s v="Naija Mart Wuse"/>
    <n v="76500"/>
    <s v="Electronics"/>
    <x v="2"/>
  </r>
  <r>
    <s v="T00363"/>
    <d v="2025-11-21T00:00:00"/>
    <s v="BR001"/>
    <s v="P002"/>
    <s v="C0178"/>
    <n v="1"/>
    <n v="10"/>
    <n v="320000"/>
    <s v="Naija Mart Ikeja"/>
    <n v="288000"/>
    <s v="Electronics"/>
    <x v="0"/>
  </r>
  <r>
    <s v="T00272"/>
    <d v="2025-09-09T00:00:00"/>
    <s v="BR001"/>
    <s v="P007"/>
    <s v="C0185"/>
    <n v="1"/>
    <n v="0"/>
    <n v="145000"/>
    <s v="Naija Mart Ikeja"/>
    <n v="145000"/>
    <s v="Electronics"/>
    <x v="2"/>
  </r>
  <r>
    <s v="T00467"/>
    <d v="2025-06-26T00:00:00"/>
    <s v="BR001"/>
    <s v="P002"/>
    <s v="C0071"/>
    <n v="1"/>
    <n v="5"/>
    <n v="320000"/>
    <s v="Naija Mart Ikeja"/>
    <n v="304000"/>
    <s v="Electronics"/>
    <x v="9"/>
  </r>
  <r>
    <s v="T01253"/>
    <d v="2025-08-11T00:00:00"/>
    <s v="BR004"/>
    <s v="P021"/>
    <s v="C0141"/>
    <n v="1"/>
    <n v="10"/>
    <n v="6500"/>
    <s v="Naija Mart Sabon Gari"/>
    <n v="5850"/>
    <s v="Small Gadgets"/>
    <x v="6"/>
  </r>
  <r>
    <s v="T01035"/>
    <d v="2025-04-01T00:00:00"/>
    <s v="BR003"/>
    <s v="P006"/>
    <s v="C0050"/>
    <n v="1"/>
    <n v="0"/>
    <n v="78000"/>
    <s v="Naija Mart GRA"/>
    <n v="78000"/>
    <s v="Electronics"/>
    <x v="5"/>
  </r>
  <r>
    <s v="T00278"/>
    <d v="2025-06-16T00:00:00"/>
    <s v="BR001"/>
    <s v="P003"/>
    <s v="C0131"/>
    <n v="2"/>
    <n v="10"/>
    <n v="45000"/>
    <s v="Naija Mart Ikeja"/>
    <n v="81000"/>
    <s v="Electronics"/>
    <x v="9"/>
  </r>
  <r>
    <s v="T01251"/>
    <d v="2025-02-28T00:00:00"/>
    <s v="BR003"/>
    <s v="P008"/>
    <s v="C0103"/>
    <n v="5"/>
    <n v="20"/>
    <n v="410000"/>
    <s v="Naija Mart GRA"/>
    <n v="1640000"/>
    <s v="Home Appliances"/>
    <x v="1"/>
  </r>
  <r>
    <s v="T01334"/>
    <d v="2025-11-06T00:00:00"/>
    <s v="BR003"/>
    <s v="P024"/>
    <s v="C0206"/>
    <n v="1"/>
    <n v="10"/>
    <n v="245000"/>
    <s v="Naija Mart GRA"/>
    <n v="220500"/>
    <s v="Generators &amp; Power"/>
    <x v="0"/>
  </r>
  <r>
    <s v="T00839"/>
    <d v="2025-06-14T00:00:00"/>
    <s v="BR001"/>
    <s v="P014"/>
    <s v="C0117"/>
    <n v="1"/>
    <n v="0"/>
    <n v="285000"/>
    <s v="Naija Mart Ikeja"/>
    <n v="285000"/>
    <s v="Home Appliances"/>
    <x v="9"/>
  </r>
  <r>
    <s v="T00935"/>
    <d v="2025-04-11T00:00:00"/>
    <s v="BR001"/>
    <s v="P016"/>
    <s v="C0154"/>
    <n v="1"/>
    <n v="0"/>
    <n v="19500"/>
    <s v="Naija Mart Ikeja"/>
    <n v="19500"/>
    <s v="Home Appliances"/>
    <x v="5"/>
  </r>
  <r>
    <s v="T01082"/>
    <d v="2025-09-17T00:00:00"/>
    <s v="BR001"/>
    <s v="P003"/>
    <s v="C0152"/>
    <n v="1"/>
    <n v="25"/>
    <n v="45000"/>
    <s v="Naija Mart Ikeja"/>
    <n v="33750"/>
    <s v="Electronics"/>
    <x v="2"/>
  </r>
  <r>
    <s v="T00443"/>
    <d v="2025-09-01T00:00:00"/>
    <s v="BR004"/>
    <s v="P008"/>
    <s v="C0033"/>
    <n v="1"/>
    <n v="0"/>
    <n v="410000"/>
    <s v="Naija Mart Sabon Gari"/>
    <n v="410000"/>
    <s v="Home Appliances"/>
    <x v="2"/>
  </r>
  <r>
    <s v="T00300"/>
    <d v="2025-12-09T00:00:00"/>
    <s v="BR001"/>
    <s v="P004"/>
    <s v="C0106"/>
    <n v="2"/>
    <n v="5"/>
    <n v="38000"/>
    <s v="Naija Mart Ikeja"/>
    <n v="72200"/>
    <s v="Electronics"/>
    <x v="4"/>
  </r>
  <r>
    <s v="T01133"/>
    <d v="2025-12-05T00:00:00"/>
    <s v="BR002"/>
    <s v="P025"/>
    <s v="C0091"/>
    <n v="1"/>
    <n v="15"/>
    <n v="175000"/>
    <s v="Naija Mart Wuse"/>
    <n v="148750"/>
    <s v="Generators &amp; Power"/>
    <x v="4"/>
  </r>
  <r>
    <s v="T00376"/>
    <d v="2025-09-14T00:00:00"/>
    <s v="BR002"/>
    <s v="P002"/>
    <s v="C0204"/>
    <n v="2"/>
    <n v="0"/>
    <n v="320000"/>
    <s v="Naija Mart Wuse"/>
    <n v="640000"/>
    <s v="Electronics"/>
    <x v="2"/>
  </r>
  <r>
    <s v="T00969"/>
    <d v="2025-12-02T00:00:00"/>
    <s v="BR003"/>
    <s v="P022"/>
    <s v="C0122"/>
    <n v="1"/>
    <n v="0"/>
    <n v="5200"/>
    <s v="Naija Mart GRA"/>
    <n v="5200"/>
    <s v="Small Gadgets"/>
    <x v="4"/>
  </r>
  <r>
    <s v="T01052"/>
    <d v="2025-06-21T00:00:00"/>
    <s v="BR001"/>
    <s v="P010"/>
    <s v="C0209"/>
    <n v="1"/>
    <n v="15"/>
    <n v="62000"/>
    <s v="Naija Mart Ikeja"/>
    <n v="52700"/>
    <s v="Home Appliances"/>
    <x v="9"/>
  </r>
  <r>
    <s v="T00836"/>
    <d v="2025-06-12T00:00:00"/>
    <s v="BR001"/>
    <s v="P006"/>
    <s v="C0026"/>
    <n v="1"/>
    <n v="10"/>
    <n v="78000"/>
    <s v="Naija Mart Ikeja"/>
    <n v="70200"/>
    <s v="Electronics"/>
    <x v="9"/>
  </r>
  <r>
    <s v="T00862"/>
    <d v="2025-05-13T00:00:00"/>
    <s v="BR003"/>
    <s v="P017"/>
    <s v="C0107"/>
    <n v="1"/>
    <n v="0"/>
    <n v="24000"/>
    <s v="Naija Mart GRA"/>
    <n v="24000"/>
    <s v="Home Appliances"/>
    <x v="3"/>
  </r>
  <r>
    <s v="T00473"/>
    <d v="2025-01-07T00:00:00"/>
    <s v="BR002"/>
    <s v="P025"/>
    <s v="C0011"/>
    <n v="3"/>
    <n v="5"/>
    <n v="175000"/>
    <s v="Naija Mart Wuse"/>
    <n v="498750"/>
    <s v="Generators &amp; Power"/>
    <x v="11"/>
  </r>
  <r>
    <s v="T00772"/>
    <d v="2025-11-03T00:00:00"/>
    <s v="BR002"/>
    <s v="P017"/>
    <s v="C0132"/>
    <n v="1"/>
    <n v="0"/>
    <n v="24000"/>
    <s v="Naija Mart Wuse"/>
    <n v="24000"/>
    <s v="Home Appliances"/>
    <x v="0"/>
  </r>
  <r>
    <s v="T00564"/>
    <d v="2025-12-21T00:00:00"/>
    <s v="BR003"/>
    <s v="P018"/>
    <s v="C0114"/>
    <n v="1"/>
    <n v="20"/>
    <n v="18000"/>
    <s v="Naija Mart GRA"/>
    <n v="14400"/>
    <s v="Small Gadgets"/>
    <x v="4"/>
  </r>
  <r>
    <s v="T01274"/>
    <d v="2025-02-01T00:00:00"/>
    <s v="BR001"/>
    <s v="P012"/>
    <s v="C0108"/>
    <n v="1"/>
    <n v="10"/>
    <n v="28000"/>
    <s v="Naija Mart Ikeja"/>
    <n v="25200"/>
    <s v="Home Appliances"/>
    <x v="1"/>
  </r>
  <r>
    <s v="T00389"/>
    <d v="2025-06-15T00:00:00"/>
    <s v="BR001"/>
    <s v="P003"/>
    <s v="C0099"/>
    <n v="1"/>
    <n v="0"/>
    <n v="45000"/>
    <s v="Naija Mart Ikeja"/>
    <n v="45000"/>
    <s v="Electronics"/>
    <x v="9"/>
  </r>
  <r>
    <s v="T00023"/>
    <d v="2025-02-21T00:00:00"/>
    <s v="BR001"/>
    <s v="P008"/>
    <s v="C0094"/>
    <n v="2"/>
    <n v="5"/>
    <n v="410000"/>
    <s v="Naija Mart Ikeja"/>
    <n v="779000"/>
    <s v="Home Appliances"/>
    <x v="1"/>
  </r>
  <r>
    <s v="T00861"/>
    <d v="2025-09-25T00:00:00"/>
    <s v="BR001"/>
    <s v="P023"/>
    <s v="C0070"/>
    <n v="1"/>
    <n v="15"/>
    <n v="195000"/>
    <s v="Naija Mart Ikeja"/>
    <n v="165750"/>
    <s v="Generators &amp; Power"/>
    <x v="2"/>
  </r>
  <r>
    <s v="T00125"/>
    <d v="2025-05-21T00:00:00"/>
    <s v="BR002"/>
    <s v="P010"/>
    <s v="C0077"/>
    <n v="1"/>
    <n v="5"/>
    <n v="62000"/>
    <s v="Naija Mart Wuse"/>
    <n v="58900"/>
    <s v="Home Appliances"/>
    <x v="3"/>
  </r>
  <r>
    <s v="T00424"/>
    <d v="2025-05-12T00:00:00"/>
    <s v="BR001"/>
    <s v="P022"/>
    <s v="C0002"/>
    <n v="1"/>
    <n v="10"/>
    <n v="5200"/>
    <s v="Naija Mart Ikeja"/>
    <n v="4680"/>
    <s v="Small Gadgets"/>
    <x v="3"/>
  </r>
  <r>
    <s v="T01261"/>
    <d v="2025-09-17T00:00:00"/>
    <s v="BR001"/>
    <s v="P021"/>
    <s v="C0032"/>
    <n v="1"/>
    <n v="10"/>
    <n v="6500"/>
    <s v="Naija Mart Ikeja"/>
    <n v="5850"/>
    <s v="Small Gadgets"/>
    <x v="2"/>
  </r>
  <r>
    <s v="T01003"/>
    <d v="2025-02-13T00:00:00"/>
    <s v="BR001"/>
    <s v="P014"/>
    <s v="C0218"/>
    <n v="1"/>
    <n v="5"/>
    <n v="285000"/>
    <s v="Naija Mart Ikeja"/>
    <n v="270750"/>
    <s v="Home Appliances"/>
    <x v="1"/>
  </r>
  <r>
    <s v="T00722"/>
    <d v="2025-02-19T00:00:00"/>
    <s v="BR002"/>
    <s v="P018"/>
    <s v="C0170"/>
    <n v="1"/>
    <n v="0"/>
    <n v="18000"/>
    <s v="Naija Mart Wuse"/>
    <n v="18000"/>
    <s v="Small Gadgets"/>
    <x v="1"/>
  </r>
  <r>
    <s v="T00902"/>
    <d v="2025-01-11T00:00:00"/>
    <s v="BR002"/>
    <s v="P016"/>
    <s v="C0117"/>
    <n v="1"/>
    <n v="15"/>
    <n v="19500"/>
    <s v="Naija Mart Wuse"/>
    <n v="16575"/>
    <s v="Home Appliances"/>
    <x v="11"/>
  </r>
  <r>
    <s v="T01064"/>
    <d v="2025-05-04T00:00:00"/>
    <s v="BR001"/>
    <s v="P021"/>
    <s v="C0143"/>
    <n v="1"/>
    <n v="5"/>
    <n v="6500"/>
    <s v="Naija Mart Ikeja"/>
    <n v="6175"/>
    <s v="Small Gadgets"/>
    <x v="3"/>
  </r>
  <r>
    <s v="T00143"/>
    <d v="2025-05-03T00:00:00"/>
    <s v="BR001"/>
    <s v="P016"/>
    <s v="C0014"/>
    <n v="3"/>
    <n v="10"/>
    <n v="19500"/>
    <s v="Naija Mart Ikeja"/>
    <n v="52650"/>
    <s v="Home Appliances"/>
    <x v="3"/>
  </r>
  <r>
    <s v="T00051"/>
    <d v="2025-03-12T00:00:00"/>
    <s v="BR001"/>
    <s v="P009"/>
    <s v="C0217"/>
    <n v="3"/>
    <n v="15"/>
    <n v="265000"/>
    <s v="Naija Mart Ikeja"/>
    <n v="675750"/>
    <s v="Home Appliances"/>
    <x v="7"/>
  </r>
  <r>
    <s v="T01344"/>
    <d v="2025-11-11T00:00:00"/>
    <s v="BR001"/>
    <s v="P012"/>
    <s v="C0145"/>
    <n v="1"/>
    <n v="10"/>
    <n v="28000"/>
    <s v="Naija Mart Ikeja"/>
    <n v="25200"/>
    <s v="Home Appliances"/>
    <x v="0"/>
  </r>
  <r>
    <s v="T00998"/>
    <d v="2025-07-01T00:00:00"/>
    <s v="BR003"/>
    <s v="P003"/>
    <s v="C0176"/>
    <n v="2"/>
    <n v="0"/>
    <n v="45000"/>
    <s v="Naija Mart GRA"/>
    <n v="90000"/>
    <s v="Electronics"/>
    <x v="10"/>
  </r>
  <r>
    <s v="T00624"/>
    <d v="2025-10-25T00:00:00"/>
    <s v="BR001"/>
    <s v="P019"/>
    <s v="C0148"/>
    <n v="1"/>
    <n v="15"/>
    <n v="21000"/>
    <s v="Naija Mart Ikeja"/>
    <n v="17850"/>
    <s v="Small Gadgets"/>
    <x v="8"/>
  </r>
  <r>
    <s v="T01025"/>
    <d v="2025-12-12T00:00:00"/>
    <s v="BR001"/>
    <s v="P022"/>
    <s v="C0070"/>
    <n v="1"/>
    <n v="10"/>
    <n v="5200"/>
    <s v="Naija Mart Ikeja"/>
    <n v="4680"/>
    <s v="Small Gadgets"/>
    <x v="4"/>
  </r>
  <r>
    <s v="T00082"/>
    <d v="2025-10-07T00:00:00"/>
    <s v="BR003"/>
    <s v="P002"/>
    <s v="C0145"/>
    <n v="1"/>
    <n v="0"/>
    <n v="320000"/>
    <s v="Naija Mart GRA"/>
    <n v="320000"/>
    <s v="Electronics"/>
    <x v="8"/>
  </r>
  <r>
    <s v="T00704"/>
    <d v="2025-06-19T00:00:00"/>
    <s v="BR001"/>
    <s v="P004"/>
    <s v="C0021"/>
    <n v="1"/>
    <n v="0"/>
    <n v="38000"/>
    <s v="Naija Mart Ikeja"/>
    <n v="38000"/>
    <s v="Electronics"/>
    <x v="9"/>
  </r>
  <r>
    <s v="T00483"/>
    <d v="2025-10-20T00:00:00"/>
    <s v="BR002"/>
    <s v="P016"/>
    <s v="C0134"/>
    <n v="1"/>
    <n v="0"/>
    <n v="19500"/>
    <s v="Naija Mart Wuse"/>
    <n v="19500"/>
    <s v="Home Appliances"/>
    <x v="8"/>
  </r>
  <r>
    <s v="T00322"/>
    <d v="2025-06-08T00:00:00"/>
    <s v="BR003"/>
    <s v="P020"/>
    <s v="C0079"/>
    <n v="1"/>
    <n v="0"/>
    <n v="8500"/>
    <s v="Naija Mart GRA"/>
    <n v="8500"/>
    <s v="Small Gadgets"/>
    <x v="9"/>
  </r>
  <r>
    <s v="T01171"/>
    <d v="2025-06-11T00:00:00"/>
    <s v="BR004"/>
    <s v="P012"/>
    <s v="C0057"/>
    <n v="1"/>
    <n v="0"/>
    <n v="28000"/>
    <s v="Naija Mart Sabon Gari"/>
    <n v="28000"/>
    <s v="Home Appliances"/>
    <x v="9"/>
  </r>
  <r>
    <s v="T00968"/>
    <d v="2025-10-13T00:00:00"/>
    <s v="BR003"/>
    <s v="P012"/>
    <s v="C0063"/>
    <n v="1"/>
    <n v="20"/>
    <n v="28000"/>
    <s v="Naija Mart GRA"/>
    <n v="22400"/>
    <s v="Home Appliances"/>
    <x v="8"/>
  </r>
  <r>
    <s v="T01337"/>
    <d v="2025-03-16T00:00:00"/>
    <s v="BR002"/>
    <s v="P012"/>
    <s v="C0078"/>
    <n v="2"/>
    <n v="0"/>
    <n v="28000"/>
    <s v="Naija Mart Wuse"/>
    <n v="56000"/>
    <s v="Home Appliances"/>
    <x v="7"/>
  </r>
  <r>
    <s v="T00067"/>
    <d v="2025-12-14T00:00:00"/>
    <s v="BR002"/>
    <s v="P023"/>
    <s v="C0144"/>
    <n v="2"/>
    <n v="10"/>
    <n v="195000"/>
    <s v="Naija Mart Wuse"/>
    <n v="351000"/>
    <s v="Generators &amp; Power"/>
    <x v="4"/>
  </r>
  <r>
    <s v="T00801"/>
    <d v="2025-12-22T00:00:00"/>
    <s v="BR004"/>
    <s v="P023"/>
    <s v="C0111"/>
    <n v="2"/>
    <n v="10"/>
    <n v="195000"/>
    <s v="Naija Mart Sabon Gari"/>
    <n v="351000"/>
    <s v="Generators &amp; Power"/>
    <x v="4"/>
  </r>
  <r>
    <s v="T01242"/>
    <d v="2025-11-07T00:00:00"/>
    <s v="BR002"/>
    <s v="P017"/>
    <s v="C0045"/>
    <n v="1"/>
    <n v="20"/>
    <n v="24000"/>
    <s v="Naija Mart Wuse"/>
    <n v="19200"/>
    <s v="Home Appliances"/>
    <x v="0"/>
  </r>
  <r>
    <s v="T00747"/>
    <d v="2025-02-04T00:00:00"/>
    <s v="BR002"/>
    <s v="P007"/>
    <s v="C0178"/>
    <n v="1"/>
    <n v="20"/>
    <n v="145000"/>
    <s v="Naija Mart Wuse"/>
    <n v="116000"/>
    <s v="Electronics"/>
    <x v="1"/>
  </r>
  <r>
    <s v="T00032"/>
    <d v="2025-01-15T00:00:00"/>
    <s v="BR001"/>
    <s v="P004"/>
    <s v="C0034"/>
    <n v="1"/>
    <n v="0"/>
    <n v="38000"/>
    <s v="Naija Mart Ikeja"/>
    <n v="38000"/>
    <s v="Electronics"/>
    <x v="11"/>
  </r>
  <r>
    <s v="T00418"/>
    <d v="2025-07-05T00:00:00"/>
    <s v="BR001"/>
    <s v="P023"/>
    <s v="C0187"/>
    <n v="1"/>
    <n v="0"/>
    <n v="195000"/>
    <s v="Naija Mart Ikeja"/>
    <n v="195000"/>
    <s v="Generators &amp; Power"/>
    <x v="10"/>
  </r>
  <r>
    <s v="T00633"/>
    <d v="2025-06-05T00:00:00"/>
    <s v="BR001"/>
    <s v="P016"/>
    <s v="C0052"/>
    <n v="1"/>
    <n v="5"/>
    <n v="19500"/>
    <s v="Naija Mart Ikeja"/>
    <n v="18525"/>
    <s v="Home Appliances"/>
    <x v="9"/>
  </r>
  <r>
    <s v="T01284"/>
    <d v="2025-11-14T00:00:00"/>
    <s v="BR001"/>
    <s v="P001"/>
    <s v="C0161"/>
    <n v="2"/>
    <n v="10"/>
    <n v="185000"/>
    <s v="Naija Mart Ikeja"/>
    <n v="333000"/>
    <s v="Electronics"/>
    <x v="0"/>
  </r>
  <r>
    <s v="T00065"/>
    <d v="2025-09-12T00:00:00"/>
    <s v="BR002"/>
    <s v="P025"/>
    <s v="C0123"/>
    <n v="1"/>
    <n v="10"/>
    <n v="175000"/>
    <s v="Naija Mart Wuse"/>
    <n v="157500"/>
    <s v="Generators &amp; Power"/>
    <x v="2"/>
  </r>
  <r>
    <s v="T00140"/>
    <d v="2025-09-20T00:00:00"/>
    <s v="BR002"/>
    <s v="P017"/>
    <s v="C0146"/>
    <n v="1"/>
    <n v="5"/>
    <n v="24000"/>
    <s v="Naija Mart Wuse"/>
    <n v="22800"/>
    <s v="Home Appliances"/>
    <x v="2"/>
  </r>
  <r>
    <s v="T01131"/>
    <d v="2025-08-11T00:00:00"/>
    <s v="BR004"/>
    <s v="P007"/>
    <s v="C0130"/>
    <n v="2"/>
    <n v="5"/>
    <n v="145000"/>
    <s v="Naija Mart Sabon Gari"/>
    <n v="275500"/>
    <s v="Electronics"/>
    <x v="6"/>
  </r>
  <r>
    <s v="T01234"/>
    <d v="2025-12-01T00:00:00"/>
    <s v="BR003"/>
    <s v="P017"/>
    <s v="C0112"/>
    <n v="2"/>
    <n v="0"/>
    <n v="24000"/>
    <s v="Naija Mart GRA"/>
    <n v="48000"/>
    <s v="Home Appliances"/>
    <x v="4"/>
  </r>
  <r>
    <s v="T00492"/>
    <d v="2025-09-17T00:00:00"/>
    <s v="BR004"/>
    <s v="P009"/>
    <s v="C0068"/>
    <n v="1"/>
    <n v="0"/>
    <n v="265000"/>
    <s v="Naija Mart Sabon Gari"/>
    <n v="265000"/>
    <s v="Home Appliances"/>
    <x v="2"/>
  </r>
  <r>
    <s v="T01382"/>
    <d v="2025-09-17T00:00:00"/>
    <s v="BR001"/>
    <s v="P009"/>
    <s v="C0008"/>
    <n v="2"/>
    <n v="0"/>
    <n v="265000"/>
    <s v="Naija Mart Ikeja"/>
    <n v="530000"/>
    <s v="Home Appliances"/>
    <x v="2"/>
  </r>
  <r>
    <s v="T00986"/>
    <d v="2025-11-18T00:00:00"/>
    <s v="BR001"/>
    <s v="P010"/>
    <s v="C0044"/>
    <n v="1"/>
    <n v="15"/>
    <n v="62000"/>
    <s v="Naija Mart Ikeja"/>
    <n v="52700"/>
    <s v="Home Appliances"/>
    <x v="0"/>
  </r>
  <r>
    <s v="T00533"/>
    <d v="2025-10-18T00:00:00"/>
    <s v="BR002"/>
    <s v="P024"/>
    <s v="C0122"/>
    <n v="2"/>
    <n v="0"/>
    <n v="245000"/>
    <s v="Naija Mart Wuse"/>
    <n v="490000"/>
    <s v="Generators &amp; Power"/>
    <x v="8"/>
  </r>
  <r>
    <s v="T00066"/>
    <d v="2025-07-19T00:00:00"/>
    <s v="BR001"/>
    <s v="P024"/>
    <s v="C0008"/>
    <n v="1"/>
    <n v="5"/>
    <n v="245000"/>
    <s v="Naija Mart Ikeja"/>
    <n v="232750"/>
    <s v="Generators &amp; Power"/>
    <x v="10"/>
  </r>
  <r>
    <s v="T01183"/>
    <d v="2025-05-12T00:00:00"/>
    <s v="BR003"/>
    <s v="P004"/>
    <s v="C0066"/>
    <n v="1"/>
    <n v="10"/>
    <n v="38000"/>
    <s v="Naija Mart GRA"/>
    <n v="34200"/>
    <s v="Electronics"/>
    <x v="3"/>
  </r>
  <r>
    <s v="T00792"/>
    <d v="2025-07-20T00:00:00"/>
    <s v="BR001"/>
    <s v="P005"/>
    <s v="C0203"/>
    <n v="1"/>
    <n v="15"/>
    <n v="95000"/>
    <s v="Naija Mart Ikeja"/>
    <n v="80750"/>
    <s v="Electronics"/>
    <x v="10"/>
  </r>
  <r>
    <s v="T01178"/>
    <d v="2025-09-04T00:00:00"/>
    <s v="BR002"/>
    <s v="P021"/>
    <s v="C0034"/>
    <n v="1"/>
    <n v="5"/>
    <n v="6500"/>
    <s v="Naija Mart Wuse"/>
    <n v="6175"/>
    <s v="Small Gadgets"/>
    <x v="2"/>
  </r>
  <r>
    <s v="T00297"/>
    <d v="2025-10-12T00:00:00"/>
    <s v="BR002"/>
    <s v="P008"/>
    <s v="C0082"/>
    <n v="3"/>
    <n v="10"/>
    <n v="410000"/>
    <s v="Naija Mart Wuse"/>
    <n v="1107000"/>
    <s v="Home Appliances"/>
    <x v="8"/>
  </r>
  <r>
    <s v="T00592"/>
    <d v="2025-12-19T00:00:00"/>
    <s v="BR003"/>
    <s v="P023"/>
    <s v="C0118"/>
    <n v="2"/>
    <n v="20"/>
    <n v="195000"/>
    <s v="Naija Mart GRA"/>
    <n v="312000"/>
    <s v="Generators &amp; Power"/>
    <x v="4"/>
  </r>
  <r>
    <s v="T00420"/>
    <d v="2025-09-20T00:00:00"/>
    <s v="BR004"/>
    <s v="P023"/>
    <s v="C0077"/>
    <n v="1"/>
    <n v="5"/>
    <n v="195000"/>
    <s v="Naija Mart Sabon Gari"/>
    <n v="185250"/>
    <s v="Generators &amp; Power"/>
    <x v="2"/>
  </r>
  <r>
    <s v="T00439"/>
    <d v="2025-05-28T00:00:00"/>
    <s v="BR004"/>
    <s v="P019"/>
    <s v="C0212"/>
    <n v="2"/>
    <n v="20"/>
    <n v="21000"/>
    <s v="Naija Mart Sabon Gari"/>
    <n v="33600"/>
    <s v="Small Gadgets"/>
    <x v="3"/>
  </r>
  <r>
    <s v="T00262"/>
    <d v="2025-10-10T00:00:00"/>
    <s v="BR004"/>
    <s v="P022"/>
    <s v="C0215"/>
    <n v="1"/>
    <n v="0"/>
    <n v="5200"/>
    <s v="Naija Mart Sabon Gari"/>
    <n v="5200"/>
    <s v="Small Gadgets"/>
    <x v="8"/>
  </r>
  <r>
    <s v="T00725"/>
    <d v="2025-10-01T00:00:00"/>
    <s v="BR003"/>
    <s v="P021"/>
    <s v="C0017"/>
    <n v="2"/>
    <n v="0"/>
    <n v="6500"/>
    <s v="Naija Mart GRA"/>
    <n v="13000"/>
    <s v="Small Gadgets"/>
    <x v="8"/>
  </r>
  <r>
    <s v="T00978"/>
    <d v="2025-09-21T00:00:00"/>
    <s v="BR001"/>
    <s v="P016"/>
    <s v="C0042"/>
    <n v="1"/>
    <n v="20"/>
    <n v="19500"/>
    <s v="Naija Mart Ikeja"/>
    <n v="15600"/>
    <s v="Home Appliances"/>
    <x v="2"/>
  </r>
  <r>
    <s v="T00282"/>
    <d v="2025-06-19T00:00:00"/>
    <s v="BR002"/>
    <s v="P008"/>
    <s v="C0178"/>
    <n v="2"/>
    <n v="0"/>
    <n v="410000"/>
    <s v="Naija Mart Wuse"/>
    <n v="820000"/>
    <s v="Home Appliances"/>
    <x v="9"/>
  </r>
  <r>
    <s v="T00627"/>
    <d v="2025-11-03T00:00:00"/>
    <s v="BR003"/>
    <s v="P008"/>
    <s v="C0026"/>
    <n v="1"/>
    <n v="5"/>
    <n v="410000"/>
    <s v="Naija Mart GRA"/>
    <n v="389500"/>
    <s v="Home Appliances"/>
    <x v="0"/>
  </r>
  <r>
    <s v="T00887"/>
    <d v="2025-04-27T00:00:00"/>
    <s v="BR001"/>
    <s v="P001"/>
    <s v="C0104"/>
    <n v="1"/>
    <n v="0"/>
    <n v="185000"/>
    <s v="Naija Mart Ikeja"/>
    <n v="185000"/>
    <s v="Electronics"/>
    <x v="5"/>
  </r>
  <r>
    <s v="T00946"/>
    <d v="2025-03-17T00:00:00"/>
    <s v="BR001"/>
    <s v="P003"/>
    <s v="C0105"/>
    <n v="1"/>
    <n v="0"/>
    <n v="45000"/>
    <s v="Naija Mart Ikeja"/>
    <n v="45000"/>
    <s v="Electronics"/>
    <x v="7"/>
  </r>
  <r>
    <s v="T01362"/>
    <d v="2025-11-21T00:00:00"/>
    <s v="BR004"/>
    <s v="P009"/>
    <s v="C0194"/>
    <n v="1"/>
    <n v="10"/>
    <n v="265000"/>
    <s v="Naija Mart Sabon Gari"/>
    <n v="238500"/>
    <s v="Home Appliances"/>
    <x v="0"/>
  </r>
  <r>
    <s v="T00189"/>
    <d v="2025-12-28T00:00:00"/>
    <s v="BR001"/>
    <s v="P016"/>
    <s v="C0049"/>
    <n v="1"/>
    <n v="0"/>
    <n v="19500"/>
    <s v="Naija Mart Ikeja"/>
    <n v="19500"/>
    <s v="Home Appliances"/>
    <x v="4"/>
  </r>
  <r>
    <s v="T01129"/>
    <d v="2025-05-26T00:00:00"/>
    <s v="BR004"/>
    <s v="P018"/>
    <s v="C0189"/>
    <n v="1"/>
    <n v="0"/>
    <n v="18000"/>
    <s v="Naija Mart Sabon Gari"/>
    <n v="18000"/>
    <s v="Small Gadgets"/>
    <x v="3"/>
  </r>
  <r>
    <s v="T00252"/>
    <d v="2025-12-19T00:00:00"/>
    <s v="BR001"/>
    <s v="P009"/>
    <s v="C0068"/>
    <n v="2"/>
    <n v="10"/>
    <n v="265000"/>
    <s v="Naija Mart Ikeja"/>
    <n v="477000"/>
    <s v="Home Appliances"/>
    <x v="4"/>
  </r>
  <r>
    <s v="T00584"/>
    <d v="2025-12-13T00:00:00"/>
    <s v="BR002"/>
    <s v="P017"/>
    <s v="C0034"/>
    <n v="3"/>
    <n v="30"/>
    <n v="24000"/>
    <s v="Naija Mart Wuse"/>
    <n v="50400"/>
    <s v="Home Appliances"/>
    <x v="4"/>
  </r>
  <r>
    <s v="T00987"/>
    <d v="2025-11-27T00:00:00"/>
    <s v="BR002"/>
    <s v="P002"/>
    <s v="C0138"/>
    <n v="1"/>
    <n v="10"/>
    <n v="320000"/>
    <s v="Naija Mart Wuse"/>
    <n v="288000"/>
    <s v="Electronics"/>
    <x v="0"/>
  </r>
  <r>
    <s v="T00979"/>
    <d v="2025-04-04T00:00:00"/>
    <s v="BR002"/>
    <s v="P005"/>
    <s v="C0211"/>
    <n v="2"/>
    <n v="0"/>
    <n v="95000"/>
    <s v="Naija Mart Wuse"/>
    <n v="190000"/>
    <s v="Electronics"/>
    <x v="5"/>
  </r>
  <r>
    <s v="T01074"/>
    <d v="2025-09-15T00:00:00"/>
    <s v="BR004"/>
    <s v="P003"/>
    <s v="C0137"/>
    <n v="5"/>
    <n v="0"/>
    <n v="45000"/>
    <s v="Naija Mart Sabon Gari"/>
    <n v="225000"/>
    <s v="Electronics"/>
    <x v="2"/>
  </r>
  <r>
    <s v="T00515"/>
    <d v="2025-06-14T00:00:00"/>
    <s v="BR003"/>
    <s v="P020"/>
    <s v="C0099"/>
    <n v="1"/>
    <n v="0"/>
    <n v="8500"/>
    <s v="Naija Mart GRA"/>
    <n v="8500"/>
    <s v="Small Gadgets"/>
    <x v="9"/>
  </r>
  <r>
    <s v="T00830"/>
    <d v="2025-09-20T00:00:00"/>
    <s v="BR003"/>
    <s v="P018"/>
    <s v="C0205"/>
    <n v="2"/>
    <n v="0"/>
    <n v="18000"/>
    <s v="Naija Mart GRA"/>
    <n v="36000"/>
    <s v="Small Gadgets"/>
    <x v="2"/>
  </r>
  <r>
    <s v="T00707"/>
    <d v="2025-04-19T00:00:00"/>
    <s v="BR004"/>
    <s v="P020"/>
    <s v="C0207"/>
    <n v="1"/>
    <n v="10"/>
    <n v="8500"/>
    <s v="Naija Mart Sabon Gari"/>
    <n v="7650"/>
    <s v="Small Gadgets"/>
    <x v="5"/>
  </r>
  <r>
    <s v="T00488"/>
    <d v="2025-09-23T00:00:00"/>
    <s v="BR002"/>
    <s v="P018"/>
    <s v="C0170"/>
    <n v="1"/>
    <n v="0"/>
    <n v="18000"/>
    <s v="Naija Mart Wuse"/>
    <n v="18000"/>
    <s v="Small Gadgets"/>
    <x v="2"/>
  </r>
  <r>
    <s v="T00664"/>
    <d v="2025-12-23T00:00:00"/>
    <s v="BR001"/>
    <s v="P020"/>
    <s v="C0027"/>
    <n v="1"/>
    <n v="15"/>
    <n v="8500"/>
    <s v="Naija Mart Ikeja"/>
    <n v="7225"/>
    <s v="Small Gadgets"/>
    <x v="4"/>
  </r>
  <r>
    <s v="T00274"/>
    <d v="2025-09-28T00:00:00"/>
    <s v="BR002"/>
    <s v="P010"/>
    <s v="C0066"/>
    <n v="2"/>
    <n v="0"/>
    <n v="62000"/>
    <s v="Naija Mart Wuse"/>
    <n v="124000"/>
    <s v="Home Appliances"/>
    <x v="2"/>
  </r>
  <r>
    <s v="T00686"/>
    <d v="2025-02-27T00:00:00"/>
    <s v="BR002"/>
    <s v="P021"/>
    <s v="C0184"/>
    <n v="5"/>
    <n v="0"/>
    <n v="6500"/>
    <s v="Naija Mart Wuse"/>
    <n v="32500"/>
    <s v="Small Gadgets"/>
    <x v="1"/>
  </r>
  <r>
    <s v="T01167"/>
    <d v="2025-10-28T00:00:00"/>
    <s v="BR001"/>
    <s v="P020"/>
    <s v="C0078"/>
    <n v="1"/>
    <n v="0"/>
    <n v="8500"/>
    <s v="Naija Mart Ikeja"/>
    <n v="8500"/>
    <s v="Small Gadgets"/>
    <x v="8"/>
  </r>
  <r>
    <s v="T01266"/>
    <d v="2025-03-11T00:00:00"/>
    <s v="BR002"/>
    <s v="P008"/>
    <s v="C0148"/>
    <n v="1"/>
    <n v="5"/>
    <n v="410000"/>
    <s v="Naija Mart Wuse"/>
    <n v="389500"/>
    <s v="Home Appliances"/>
    <x v="7"/>
  </r>
  <r>
    <s v="T00449"/>
    <d v="2025-01-03T00:00:00"/>
    <s v="BR002"/>
    <s v="P002"/>
    <s v="C0186"/>
    <n v="1"/>
    <n v="10"/>
    <n v="320000"/>
    <s v="Naija Mart Wuse"/>
    <n v="288000"/>
    <s v="Electronics"/>
    <x v="11"/>
  </r>
  <r>
    <s v="T00412"/>
    <d v="2025-06-21T00:00:00"/>
    <s v="BR002"/>
    <s v="P002"/>
    <s v="C0118"/>
    <n v="5"/>
    <n v="5"/>
    <n v="320000"/>
    <s v="Naija Mart Wuse"/>
    <n v="1520000"/>
    <s v="Electronics"/>
    <x v="9"/>
  </r>
  <r>
    <s v="T00459"/>
    <d v="2025-03-12T00:00:00"/>
    <s v="BR003"/>
    <s v="P025"/>
    <s v="C0004"/>
    <n v="1"/>
    <n v="5"/>
    <n v="175000"/>
    <s v="Naija Mart GRA"/>
    <n v="166250"/>
    <s v="Generators &amp; Power"/>
    <x v="7"/>
  </r>
  <r>
    <s v="T01012"/>
    <d v="2025-09-28T00:00:00"/>
    <s v="BR001"/>
    <s v="P001"/>
    <s v="C0114"/>
    <n v="5"/>
    <n v="15"/>
    <n v="185000"/>
    <s v="Naija Mart Ikeja"/>
    <n v="786250"/>
    <s v="Electronics"/>
    <x v="2"/>
  </r>
  <r>
    <s v="T01226"/>
    <d v="2025-03-15T00:00:00"/>
    <s v="BR003"/>
    <s v="P015"/>
    <s v="C0155"/>
    <n v="1"/>
    <n v="15"/>
    <n v="15000"/>
    <s v="Naija Mart GRA"/>
    <n v="12750"/>
    <s v="Home Appliances"/>
    <x v="7"/>
  </r>
  <r>
    <s v="T00668"/>
    <d v="2025-11-19T00:00:00"/>
    <s v="BR004"/>
    <s v="P021"/>
    <s v="C0206"/>
    <n v="1"/>
    <n v="0"/>
    <n v="6500"/>
    <s v="Naija Mart Sabon Gari"/>
    <n v="6500"/>
    <s v="Small Gadgets"/>
    <x v="0"/>
  </r>
  <r>
    <s v="T01163"/>
    <d v="2025-06-25T00:00:00"/>
    <s v="BR001"/>
    <s v="P012"/>
    <s v="C0085"/>
    <n v="1"/>
    <n v="0"/>
    <n v="28000"/>
    <s v="Naija Mart Ikeja"/>
    <n v="28000"/>
    <s v="Home Appliances"/>
    <x v="9"/>
  </r>
  <r>
    <s v="T00150"/>
    <d v="2025-07-14T00:00:00"/>
    <s v="BR002"/>
    <s v="P025"/>
    <s v="C0217"/>
    <n v="1"/>
    <n v="5"/>
    <n v="175000"/>
    <s v="Naija Mart Wuse"/>
    <n v="166250"/>
    <s v="Generators &amp; Power"/>
    <x v="10"/>
  </r>
  <r>
    <s v="T01359"/>
    <d v="2025-03-16T00:00:00"/>
    <s v="BR002"/>
    <s v="P009"/>
    <s v="C0149"/>
    <n v="1"/>
    <n v="0"/>
    <n v="265000"/>
    <s v="Naija Mart Wuse"/>
    <n v="265000"/>
    <s v="Home Appliances"/>
    <x v="7"/>
  </r>
  <r>
    <s v="T01147"/>
    <d v="2025-10-14T00:00:00"/>
    <s v="BR001"/>
    <s v="P024"/>
    <s v="C0112"/>
    <n v="2"/>
    <n v="0"/>
    <n v="245000"/>
    <s v="Naija Mart Ikeja"/>
    <n v="490000"/>
    <s v="Generators &amp; Power"/>
    <x v="8"/>
  </r>
  <r>
    <s v="T00734"/>
    <d v="2025-08-17T00:00:00"/>
    <s v="BR004"/>
    <s v="P012"/>
    <s v="C0124"/>
    <n v="1"/>
    <n v="0"/>
    <n v="28000"/>
    <s v="Naija Mart Sabon Gari"/>
    <n v="28000"/>
    <s v="Home Appliances"/>
    <x v="6"/>
  </r>
  <r>
    <s v="T00219"/>
    <d v="2025-08-04T00:00:00"/>
    <s v="BR003"/>
    <s v="P024"/>
    <s v="C0197"/>
    <n v="1"/>
    <n v="0"/>
    <n v="245000"/>
    <s v="Naija Mart GRA"/>
    <n v="245000"/>
    <s v="Generators &amp; Power"/>
    <x v="6"/>
  </r>
  <r>
    <s v="T00240"/>
    <d v="2025-07-17T00:00:00"/>
    <s v="BR001"/>
    <s v="P011"/>
    <s v="C0069"/>
    <n v="1"/>
    <n v="0"/>
    <n v="74000"/>
    <s v="Naija Mart Ikeja"/>
    <n v="74000"/>
    <s v="Home Appliances"/>
    <x v="10"/>
  </r>
  <r>
    <s v="T01096"/>
    <d v="2025-09-07T00:00:00"/>
    <s v="BR001"/>
    <s v="P010"/>
    <s v="C0033"/>
    <n v="1"/>
    <n v="15"/>
    <n v="62000"/>
    <s v="Naija Mart Ikeja"/>
    <n v="52700"/>
    <s v="Home Appliances"/>
    <x v="2"/>
  </r>
  <r>
    <s v="T00726"/>
    <d v="2025-12-15T00:00:00"/>
    <s v="BR001"/>
    <s v="P017"/>
    <s v="C0075"/>
    <n v="1"/>
    <n v="5"/>
    <n v="24000"/>
    <s v="Naija Mart Ikeja"/>
    <n v="22800"/>
    <s v="Home Appliances"/>
    <x v="4"/>
  </r>
  <r>
    <s v="T00193"/>
    <d v="2025-01-15T00:00:00"/>
    <s v="BR004"/>
    <s v="P009"/>
    <s v="C0109"/>
    <n v="1"/>
    <n v="0"/>
    <n v="265000"/>
    <s v="Naija Mart Sabon Gari"/>
    <n v="265000"/>
    <s v="Home Appliances"/>
    <x v="11"/>
  </r>
  <r>
    <s v="T00962"/>
    <d v="2025-11-17T00:00:00"/>
    <s v="BR004"/>
    <s v="P008"/>
    <s v="C0053"/>
    <n v="1"/>
    <n v="0"/>
    <n v="410000"/>
    <s v="Naija Mart Sabon Gari"/>
    <n v="410000"/>
    <s v="Home Appliances"/>
    <x v="0"/>
  </r>
  <r>
    <s v="T00192"/>
    <d v="2025-06-17T00:00:00"/>
    <s v="BR004"/>
    <s v="P019"/>
    <s v="C0153"/>
    <n v="1"/>
    <n v="0"/>
    <n v="21000"/>
    <s v="Naija Mart Sabon Gari"/>
    <n v="21000"/>
    <s v="Small Gadgets"/>
    <x v="9"/>
  </r>
  <r>
    <s v="T00817"/>
    <d v="2025-08-12T00:00:00"/>
    <s v="BR001"/>
    <s v="P004"/>
    <s v="C0131"/>
    <n v="1"/>
    <n v="0"/>
    <n v="38000"/>
    <s v="Naija Mart Ikeja"/>
    <n v="38000"/>
    <s v="Electronics"/>
    <x v="6"/>
  </r>
  <r>
    <s v="T00838"/>
    <d v="2025-02-01T00:00:00"/>
    <s v="BR003"/>
    <s v="P022"/>
    <s v="C0121"/>
    <n v="1"/>
    <n v="5"/>
    <n v="5200"/>
    <s v="Naija Mart GRA"/>
    <n v="4940"/>
    <s v="Small Gadgets"/>
    <x v="1"/>
  </r>
  <r>
    <s v="T00842"/>
    <d v="2025-02-24T00:00:00"/>
    <s v="BR001"/>
    <s v="P024"/>
    <s v="C0172"/>
    <n v="1"/>
    <n v="0"/>
    <n v="245000"/>
    <s v="Naija Mart Ikeja"/>
    <n v="245000"/>
    <s v="Generators &amp; Power"/>
    <x v="1"/>
  </r>
  <r>
    <s v="T00645"/>
    <d v="2025-12-14T00:00:00"/>
    <s v="BR004"/>
    <s v="P003"/>
    <s v="C0083"/>
    <n v="1"/>
    <n v="15"/>
    <n v="45000"/>
    <s v="Naija Mart Sabon Gari"/>
    <n v="38250"/>
    <s v="Electronics"/>
    <x v="4"/>
  </r>
  <r>
    <s v="T00996"/>
    <d v="2025-11-15T00:00:00"/>
    <s v="BR001"/>
    <s v="P008"/>
    <s v="C0157"/>
    <n v="1"/>
    <n v="0"/>
    <n v="410000"/>
    <s v="Naija Mart Ikeja"/>
    <n v="410000"/>
    <s v="Home Appliances"/>
    <x v="0"/>
  </r>
  <r>
    <s v="T01073"/>
    <d v="2025-02-22T00:00:00"/>
    <s v="BR001"/>
    <s v="P007"/>
    <s v="C0024"/>
    <n v="1"/>
    <n v="15"/>
    <n v="145000"/>
    <s v="Naija Mart Ikeja"/>
    <n v="123250"/>
    <s v="Electronics"/>
    <x v="1"/>
  </r>
  <r>
    <s v="T01364"/>
    <d v="2025-07-25T00:00:00"/>
    <s v="BR002"/>
    <s v="P023"/>
    <s v="C0015"/>
    <n v="1"/>
    <n v="0"/>
    <n v="195000"/>
    <s v="Naija Mart Wuse"/>
    <n v="195000"/>
    <s v="Generators &amp; Power"/>
    <x v="10"/>
  </r>
  <r>
    <s v="T00017"/>
    <d v="2025-04-22T00:00:00"/>
    <s v="BR004"/>
    <s v="P008"/>
    <s v="C0213"/>
    <n v="5"/>
    <n v="0"/>
    <n v="410000"/>
    <s v="Naija Mart Sabon Gari"/>
    <n v="2050000"/>
    <s v="Home Appliances"/>
    <x v="5"/>
  </r>
  <r>
    <s v="T01000"/>
    <d v="2025-02-07T00:00:00"/>
    <s v="BR003"/>
    <s v="P002"/>
    <s v="C0215"/>
    <n v="1"/>
    <n v="0"/>
    <n v="320000"/>
    <s v="Naija Mart GRA"/>
    <n v="320000"/>
    <s v="Electronics"/>
    <x v="1"/>
  </r>
  <r>
    <s v="T01132"/>
    <d v="2025-01-07T00:00:00"/>
    <s v="BR001"/>
    <s v="P021"/>
    <s v="C0066"/>
    <n v="1"/>
    <n v="0"/>
    <n v="6500"/>
    <s v="Naija Mart Ikeja"/>
    <n v="6500"/>
    <s v="Small Gadgets"/>
    <x v="11"/>
  </r>
  <r>
    <s v="T00583"/>
    <d v="2025-07-04T00:00:00"/>
    <s v="BR004"/>
    <s v="P023"/>
    <s v="C0182"/>
    <n v="1"/>
    <n v="0"/>
    <n v="195000"/>
    <s v="Naija Mart Sabon Gari"/>
    <n v="195000"/>
    <s v="Generators &amp; Power"/>
    <x v="10"/>
  </r>
  <r>
    <s v="T01335"/>
    <d v="2025-11-17T00:00:00"/>
    <s v="BR001"/>
    <s v="P014"/>
    <s v="C0080"/>
    <n v="1"/>
    <n v="10"/>
    <n v="285000"/>
    <s v="Naija Mart Ikeja"/>
    <n v="256500"/>
    <s v="Home Appliances"/>
    <x v="0"/>
  </r>
  <r>
    <s v="T01217"/>
    <d v="2025-08-26T00:00:00"/>
    <s v="BR001"/>
    <s v="P011"/>
    <s v="C0140"/>
    <n v="1"/>
    <n v="0"/>
    <n v="74000"/>
    <s v="Naija Mart Ikeja"/>
    <n v="74000"/>
    <s v="Home Appliances"/>
    <x v="6"/>
  </r>
  <r>
    <s v="T00628"/>
    <d v="2025-04-10T00:00:00"/>
    <s v="BR004"/>
    <s v="P017"/>
    <s v="C0119"/>
    <n v="2"/>
    <n v="0"/>
    <n v="24000"/>
    <s v="Naija Mart Sabon Gari"/>
    <n v="48000"/>
    <s v="Home Appliances"/>
    <x v="5"/>
  </r>
  <r>
    <s v="T01305"/>
    <d v="2025-08-20T00:00:00"/>
    <s v="BR001"/>
    <s v="P008"/>
    <s v="C0181"/>
    <n v="3"/>
    <n v="0"/>
    <n v="410000"/>
    <s v="Naija Mart Ikeja"/>
    <n v="1230000"/>
    <s v="Home Appliances"/>
    <x v="6"/>
  </r>
  <r>
    <s v="T00324"/>
    <d v="2025-05-05T00:00:00"/>
    <s v="BR002"/>
    <s v="P021"/>
    <s v="C0209"/>
    <n v="2"/>
    <n v="10"/>
    <n v="6500"/>
    <s v="Naija Mart Wuse"/>
    <n v="11700"/>
    <s v="Small Gadgets"/>
    <x v="3"/>
  </r>
  <r>
    <s v="T00825"/>
    <d v="2025-02-05T00:00:00"/>
    <s v="BR002"/>
    <s v="P001"/>
    <s v="C0174"/>
    <n v="5"/>
    <n v="0"/>
    <n v="185000"/>
    <s v="Naija Mart Wuse"/>
    <n v="925000"/>
    <s v="Electronics"/>
    <x v="1"/>
  </r>
  <r>
    <s v="T01345"/>
    <d v="2025-04-11T00:00:00"/>
    <s v="BR001"/>
    <s v="P021"/>
    <s v="C0204"/>
    <n v="1"/>
    <n v="5"/>
    <n v="6500"/>
    <s v="Naija Mart Ikeja"/>
    <n v="6175"/>
    <s v="Small Gadgets"/>
    <x v="5"/>
  </r>
  <r>
    <s v="T00632"/>
    <d v="2025-10-14T00:00:00"/>
    <s v="BR003"/>
    <s v="P006"/>
    <s v="C0006"/>
    <n v="2"/>
    <n v="0"/>
    <n v="78000"/>
    <s v="Naija Mart GRA"/>
    <n v="156000"/>
    <s v="Electronics"/>
    <x v="8"/>
  </r>
  <r>
    <s v="T01105"/>
    <d v="2025-04-02T00:00:00"/>
    <s v="BR002"/>
    <s v="P001"/>
    <s v="C0104"/>
    <n v="1"/>
    <n v="0"/>
    <n v="185000"/>
    <s v="Naija Mart Wuse"/>
    <n v="185000"/>
    <s v="Electronics"/>
    <x v="5"/>
  </r>
  <r>
    <s v="T00779"/>
    <d v="2025-05-22T00:00:00"/>
    <s v="BR002"/>
    <s v="P010"/>
    <s v="C0200"/>
    <n v="1"/>
    <n v="0"/>
    <n v="62000"/>
    <s v="Naija Mart Wuse"/>
    <n v="62000"/>
    <s v="Home Appliances"/>
    <x v="3"/>
  </r>
  <r>
    <s v="T01256"/>
    <d v="2025-02-19T00:00:00"/>
    <s v="BR004"/>
    <s v="P012"/>
    <s v="C0118"/>
    <n v="1"/>
    <n v="20"/>
    <n v="28000"/>
    <s v="Naija Mart Sabon Gari"/>
    <n v="22400"/>
    <s v="Home Appliances"/>
    <x v="1"/>
  </r>
  <r>
    <s v="T00438"/>
    <d v="2025-09-04T00:00:00"/>
    <s v="BR001"/>
    <s v="P023"/>
    <s v="C0174"/>
    <n v="1"/>
    <n v="0"/>
    <n v="195000"/>
    <s v="Naija Mart Ikeja"/>
    <n v="195000"/>
    <s v="Generators &amp; Power"/>
    <x v="2"/>
  </r>
  <r>
    <s v="T00120"/>
    <d v="2025-08-14T00:00:00"/>
    <s v="BR002"/>
    <s v="P007"/>
    <s v="C0089"/>
    <n v="1"/>
    <n v="0"/>
    <n v="145000"/>
    <s v="Naija Mart Wuse"/>
    <n v="145000"/>
    <s v="Electronics"/>
    <x v="6"/>
  </r>
  <r>
    <s v="T01094"/>
    <d v="2025-09-05T00:00:00"/>
    <s v="BR002"/>
    <s v="P017"/>
    <s v="C0158"/>
    <n v="1"/>
    <n v="0"/>
    <n v="24000"/>
    <s v="Naija Mart Wuse"/>
    <n v="24000"/>
    <s v="Home Appliances"/>
    <x v="2"/>
  </r>
  <r>
    <s v="T00791"/>
    <d v="2025-11-13T00:00:00"/>
    <s v="BR003"/>
    <s v="P016"/>
    <s v="C0106"/>
    <n v="1"/>
    <n v="5"/>
    <n v="19500"/>
    <s v="Naija Mart GRA"/>
    <n v="18525"/>
    <s v="Home Appliances"/>
    <x v="0"/>
  </r>
  <r>
    <s v="T00342"/>
    <d v="2025-12-25T00:00:00"/>
    <s v="BR003"/>
    <s v="P011"/>
    <s v="C0055"/>
    <n v="1"/>
    <n v="15"/>
    <n v="74000"/>
    <s v="Naija Mart GRA"/>
    <n v="62900"/>
    <s v="Home Appliances"/>
    <x v="4"/>
  </r>
  <r>
    <s v="T00816"/>
    <d v="2025-07-01T00:00:00"/>
    <s v="BR001"/>
    <s v="P004"/>
    <s v="C0134"/>
    <n v="2"/>
    <n v="15"/>
    <n v="38000"/>
    <s v="Naija Mart Ikeja"/>
    <n v="64600"/>
    <s v="Electronics"/>
    <x v="10"/>
  </r>
  <r>
    <s v="T00003"/>
    <d v="2025-10-12T00:00:00"/>
    <s v="BR004"/>
    <s v="P018"/>
    <s v="C0217"/>
    <n v="2"/>
    <n v="0"/>
    <n v="18000"/>
    <s v="Naija Mart Sabon Gari"/>
    <n v="36000"/>
    <s v="Small Gadgets"/>
    <x v="8"/>
  </r>
  <r>
    <s v="T00230"/>
    <d v="2025-06-07T00:00:00"/>
    <s v="BR002"/>
    <s v="P019"/>
    <s v="C0176"/>
    <n v="1"/>
    <n v="0"/>
    <n v="21000"/>
    <s v="Naija Mart Wuse"/>
    <n v="21000"/>
    <s v="Small Gadgets"/>
    <x v="9"/>
  </r>
  <r>
    <s v="T00981"/>
    <d v="2025-12-19T00:00:00"/>
    <s v="BR001"/>
    <s v="P004"/>
    <s v="C0137"/>
    <n v="1"/>
    <n v="10"/>
    <n v="38000"/>
    <s v="Naija Mart Ikeja"/>
    <n v="34200"/>
    <s v="Electronics"/>
    <x v="4"/>
  </r>
  <r>
    <s v="T01355"/>
    <d v="2025-02-19T00:00:00"/>
    <s v="BR002"/>
    <s v="P004"/>
    <s v="C0204"/>
    <n v="1"/>
    <n v="0"/>
    <n v="38000"/>
    <s v="Naija Mart Wuse"/>
    <n v="38000"/>
    <s v="Electronics"/>
    <x v="1"/>
  </r>
  <r>
    <s v="T00077"/>
    <d v="2025-06-09T00:00:00"/>
    <s v="BR004"/>
    <s v="P020"/>
    <s v="C0047"/>
    <n v="1"/>
    <n v="0"/>
    <n v="8500"/>
    <s v="Naija Mart Sabon Gari"/>
    <n v="8500"/>
    <s v="Small Gadgets"/>
    <x v="9"/>
  </r>
  <r>
    <s v="T01299"/>
    <d v="2025-03-25T00:00:00"/>
    <s v="BR001"/>
    <s v="P012"/>
    <s v="C0015"/>
    <n v="1"/>
    <n v="0"/>
    <n v="28000"/>
    <s v="Naija Mart Ikeja"/>
    <n v="28000"/>
    <s v="Home Appliances"/>
    <x v="7"/>
  </r>
  <r>
    <s v="T01134"/>
    <d v="2025-05-18T00:00:00"/>
    <s v="BR001"/>
    <s v="P017"/>
    <s v="C0191"/>
    <n v="1"/>
    <n v="5"/>
    <n v="24000"/>
    <s v="Naija Mart Ikeja"/>
    <n v="22800"/>
    <s v="Home Appliances"/>
    <x v="3"/>
  </r>
  <r>
    <s v="T00372"/>
    <d v="2025-04-27T00:00:00"/>
    <s v="BR002"/>
    <s v="P006"/>
    <s v="C0211"/>
    <n v="2"/>
    <n v="0"/>
    <n v="78000"/>
    <s v="Naija Mart Wuse"/>
    <n v="156000"/>
    <s v="Electronics"/>
    <x v="5"/>
  </r>
  <r>
    <s v="T00181"/>
    <d v="2025-01-26T00:00:00"/>
    <s v="BR001"/>
    <s v="P024"/>
    <s v="C0001"/>
    <n v="1"/>
    <n v="0"/>
    <n v="245000"/>
    <s v="Naija Mart Ikeja"/>
    <n v="245000"/>
    <s v="Generators &amp; Power"/>
    <x v="11"/>
  </r>
  <r>
    <s v="T00237"/>
    <d v="2025-12-01T00:00:00"/>
    <s v="BR003"/>
    <s v="P002"/>
    <s v="C0148"/>
    <n v="1"/>
    <n v="0"/>
    <n v="320000"/>
    <s v="Naija Mart GRA"/>
    <n v="320000"/>
    <s v="Electronics"/>
    <x v="4"/>
  </r>
  <r>
    <s v="T00578"/>
    <d v="2025-03-11T00:00:00"/>
    <s v="BR001"/>
    <s v="P024"/>
    <s v="C0191"/>
    <n v="1"/>
    <n v="15"/>
    <n v="245000"/>
    <s v="Naija Mart Ikeja"/>
    <n v="208250"/>
    <s v="Generators &amp; Power"/>
    <x v="7"/>
  </r>
  <r>
    <s v="T00949"/>
    <d v="2025-05-08T00:00:00"/>
    <s v="BR002"/>
    <s v="P019"/>
    <s v="C0083"/>
    <n v="1"/>
    <n v="0"/>
    <n v="21000"/>
    <s v="Naija Mart Wuse"/>
    <n v="21000"/>
    <s v="Small Gadgets"/>
    <x v="3"/>
  </r>
  <r>
    <s v="T01387"/>
    <d v="2025-02-04T00:00:00"/>
    <s v="BR001"/>
    <s v="P008"/>
    <s v="C0143"/>
    <n v="2"/>
    <n v="15"/>
    <n v="410000"/>
    <s v="Naija Mart Ikeja"/>
    <n v="697000"/>
    <s v="Home Appliances"/>
    <x v="1"/>
  </r>
  <r>
    <s v="T01046"/>
    <d v="2025-02-02T00:00:00"/>
    <s v="BR001"/>
    <s v="P025"/>
    <s v="C0046"/>
    <n v="1"/>
    <n v="0"/>
    <n v="175000"/>
    <s v="Naija Mart Ikeja"/>
    <n v="175000"/>
    <s v="Generators &amp; Power"/>
    <x v="1"/>
  </r>
  <r>
    <s v="T01209"/>
    <d v="2025-07-21T00:00:00"/>
    <s v="BR003"/>
    <s v="P018"/>
    <s v="C0123"/>
    <n v="1"/>
    <n v="0"/>
    <n v="18000"/>
    <s v="Naija Mart GRA"/>
    <n v="18000"/>
    <s v="Small Gadgets"/>
    <x v="10"/>
  </r>
  <r>
    <s v="T01200"/>
    <d v="2025-12-28T00:00:00"/>
    <s v="BR002"/>
    <s v="P012"/>
    <s v="C0008"/>
    <n v="1"/>
    <n v="5"/>
    <n v="28000"/>
    <s v="Naija Mart Wuse"/>
    <n v="26600"/>
    <s v="Home Appliances"/>
    <x v="4"/>
  </r>
  <r>
    <s v="T00906"/>
    <d v="2025-11-04T00:00:00"/>
    <s v="BR002"/>
    <s v="P004"/>
    <s v="C0173"/>
    <n v="1"/>
    <n v="0"/>
    <n v="38000"/>
    <s v="Naija Mart Wuse"/>
    <n v="38000"/>
    <s v="Electronics"/>
    <x v="0"/>
  </r>
  <r>
    <s v="T00590"/>
    <d v="2025-11-24T00:00:00"/>
    <s v="BR003"/>
    <s v="P005"/>
    <s v="C0136"/>
    <n v="2"/>
    <n v="10"/>
    <n v="95000"/>
    <s v="Naija Mart GRA"/>
    <n v="171000"/>
    <s v="Electronics"/>
    <x v="0"/>
  </r>
  <r>
    <s v="T01054"/>
    <d v="2025-12-06T00:00:00"/>
    <s v="BR002"/>
    <s v="P022"/>
    <s v="C0050"/>
    <n v="2"/>
    <n v="0"/>
    <n v="5200"/>
    <s v="Naija Mart Wuse"/>
    <n v="10400"/>
    <s v="Small Gadgets"/>
    <x v="4"/>
  </r>
  <r>
    <s v="T00786"/>
    <d v="2025-12-08T00:00:00"/>
    <s v="BR002"/>
    <s v="P004"/>
    <s v="C0061"/>
    <n v="1"/>
    <n v="0"/>
    <n v="38000"/>
    <s v="Naija Mart Wuse"/>
    <n v="38000"/>
    <s v="Electronics"/>
    <x v="4"/>
  </r>
  <r>
    <s v="T01078"/>
    <d v="2025-07-25T00:00:00"/>
    <s v="BR002"/>
    <s v="P010"/>
    <s v="C0045"/>
    <n v="1"/>
    <n v="0"/>
    <n v="62000"/>
    <s v="Naija Mart Wuse"/>
    <n v="62000"/>
    <s v="Home Appliances"/>
    <x v="10"/>
  </r>
  <r>
    <s v="T00312"/>
    <d v="2025-02-10T00:00:00"/>
    <s v="BR002"/>
    <s v="P018"/>
    <s v="C0062"/>
    <n v="2"/>
    <n v="5"/>
    <n v="18000"/>
    <s v="Naija Mart Wuse"/>
    <n v="34200"/>
    <s v="Small Gadgets"/>
    <x v="1"/>
  </r>
  <r>
    <s v="T01126"/>
    <d v="2025-10-17T00:00:00"/>
    <s v="BR003"/>
    <s v="P009"/>
    <s v="C0064"/>
    <n v="5"/>
    <n v="5"/>
    <n v="265000"/>
    <s v="Naija Mart GRA"/>
    <n v="1258750"/>
    <s v="Home Appliances"/>
    <x v="8"/>
  </r>
  <r>
    <s v="T00302"/>
    <d v="2025-09-21T00:00:00"/>
    <s v="BR003"/>
    <s v="P003"/>
    <s v="C0026"/>
    <n v="1"/>
    <n v="0"/>
    <n v="45000"/>
    <s v="Naija Mart GRA"/>
    <n v="45000"/>
    <s v="Electronics"/>
    <x v="2"/>
  </r>
  <r>
    <s v="T00723"/>
    <d v="2025-02-12T00:00:00"/>
    <s v="BR001"/>
    <s v="P016"/>
    <s v="C0166"/>
    <n v="1"/>
    <n v="5"/>
    <n v="19500"/>
    <s v="Naija Mart Ikeja"/>
    <n v="18525"/>
    <s v="Home Appliances"/>
    <x v="1"/>
  </r>
  <r>
    <s v="T00690"/>
    <d v="2025-09-06T00:00:00"/>
    <s v="BR004"/>
    <s v="P013"/>
    <s v="C0147"/>
    <n v="1"/>
    <n v="15"/>
    <n v="22000"/>
    <s v="Naija Mart Sabon Gari"/>
    <n v="18700"/>
    <s v="Home Appliances"/>
    <x v="2"/>
  </r>
  <r>
    <s v="T00813"/>
    <d v="2025-07-11T00:00:00"/>
    <s v="BR003"/>
    <s v="P012"/>
    <s v="C0190"/>
    <n v="1"/>
    <n v="5"/>
    <n v="28000"/>
    <s v="Naija Mart GRA"/>
    <n v="26600"/>
    <s v="Home Appliances"/>
    <x v="10"/>
  </r>
  <r>
    <s v="T00038"/>
    <d v="2025-09-06T00:00:00"/>
    <s v="BR003"/>
    <s v="P009"/>
    <s v="C0044"/>
    <n v="1"/>
    <n v="20"/>
    <n v="265000"/>
    <s v="Naija Mart GRA"/>
    <n v="212000"/>
    <s v="Home Appliances"/>
    <x v="2"/>
  </r>
  <r>
    <s v="T00354"/>
    <d v="2025-12-18T00:00:00"/>
    <s v="BR003"/>
    <s v="P014"/>
    <s v="C0149"/>
    <n v="1"/>
    <n v="0"/>
    <n v="285000"/>
    <s v="Naija Mart GRA"/>
    <n v="285000"/>
    <s v="Home Appliances"/>
    <x v="4"/>
  </r>
  <r>
    <s v="T01291"/>
    <d v="2025-02-07T00:00:00"/>
    <s v="BR001"/>
    <s v="P012"/>
    <s v="C0040"/>
    <n v="1"/>
    <n v="0"/>
    <n v="28000"/>
    <s v="Naija Mart Ikeja"/>
    <n v="28000"/>
    <s v="Home Appliances"/>
    <x v="1"/>
  </r>
  <r>
    <s v="T00715"/>
    <d v="2025-08-15T00:00:00"/>
    <s v="BR002"/>
    <s v="P010"/>
    <s v="C0167"/>
    <n v="1"/>
    <n v="0"/>
    <n v="62000"/>
    <s v="Naija Mart Wuse"/>
    <n v="62000"/>
    <s v="Home Appliances"/>
    <x v="6"/>
  </r>
  <r>
    <s v="T00237"/>
    <d v="2025-12-01T00:00:00"/>
    <s v="BR003"/>
    <s v="P002"/>
    <s v="C0148"/>
    <n v="1"/>
    <n v="0"/>
    <n v="320000"/>
    <s v="Naija Mart GRA"/>
    <n v="320000"/>
    <s v="Electronics"/>
    <x v="4"/>
  </r>
  <r>
    <s v="T01172"/>
    <d v="2025-11-11T00:00:00"/>
    <s v="BR001"/>
    <s v="P018"/>
    <s v="C0047"/>
    <n v="2"/>
    <n v="25"/>
    <n v="18000"/>
    <s v="Naija Mart Ikeja"/>
    <n v="27000"/>
    <s v="Small Gadgets"/>
    <x v="0"/>
  </r>
  <r>
    <s v="T00730"/>
    <d v="2025-03-02T00:00:00"/>
    <s v="BR002"/>
    <s v="P018"/>
    <s v="C0035"/>
    <n v="2"/>
    <n v="0"/>
    <n v="18000"/>
    <s v="Naija Mart Wuse"/>
    <n v="36000"/>
    <s v="Small Gadgets"/>
    <x v="7"/>
  </r>
  <r>
    <s v="T01158"/>
    <d v="2025-05-27T00:00:00"/>
    <s v="BR001"/>
    <s v="P017"/>
    <s v="C0141"/>
    <n v="2"/>
    <n v="0"/>
    <n v="24000"/>
    <s v="Naija Mart Ikeja"/>
    <n v="48000"/>
    <s v="Home Appliances"/>
    <x v="3"/>
  </r>
  <r>
    <s v="T00878"/>
    <d v="2025-02-17T00:00:00"/>
    <s v="BR001"/>
    <s v="P015"/>
    <s v="C0037"/>
    <n v="5"/>
    <n v="0"/>
    <n v="15000"/>
    <s v="Naija Mart Ikeja"/>
    <n v="75000"/>
    <s v="Home Appliances"/>
    <x v="1"/>
  </r>
  <r>
    <s v="T00500"/>
    <d v="2025-04-28T00:00:00"/>
    <s v="BR001"/>
    <s v="P019"/>
    <s v="C0094"/>
    <n v="2"/>
    <n v="0"/>
    <n v="21000"/>
    <s v="Naija Mart Ikeja"/>
    <n v="42000"/>
    <s v="Small Gadgets"/>
    <x v="5"/>
  </r>
  <r>
    <s v="T01160"/>
    <d v="2025-11-18T00:00:00"/>
    <s v="BR001"/>
    <s v="P011"/>
    <s v="C0071"/>
    <n v="1"/>
    <n v="10"/>
    <n v="74000"/>
    <s v="Naija Mart Ikeja"/>
    <n v="66600"/>
    <s v="Home Appliances"/>
    <x v="0"/>
  </r>
  <r>
    <s v="T00554"/>
    <d v="2025-04-06T00:00:00"/>
    <s v="BR002"/>
    <s v="P015"/>
    <s v="C0082"/>
    <n v="1"/>
    <n v="5"/>
    <n v="15000"/>
    <s v="Naija Mart Wuse"/>
    <n v="14250"/>
    <s v="Home Appliances"/>
    <x v="5"/>
  </r>
  <r>
    <s v="T00056"/>
    <d v="2025-12-22T00:00:00"/>
    <s v="BR001"/>
    <s v="P009"/>
    <s v="C0108"/>
    <n v="1"/>
    <n v="5"/>
    <n v="265000"/>
    <s v="Naija Mart Ikeja"/>
    <n v="251750"/>
    <s v="Home Appliances"/>
    <x v="4"/>
  </r>
  <r>
    <s v="T00303"/>
    <d v="2025-07-02T00:00:00"/>
    <s v="BR002"/>
    <s v="P022"/>
    <s v="C0130"/>
    <n v="1"/>
    <n v="10"/>
    <n v="5200"/>
    <s v="Naija Mart Wuse"/>
    <n v="4680"/>
    <s v="Small Gadgets"/>
    <x v="10"/>
  </r>
  <r>
    <s v="T00795"/>
    <d v="2025-11-18T00:00:00"/>
    <s v="BR003"/>
    <s v="P020"/>
    <s v="C0113"/>
    <n v="1"/>
    <n v="5"/>
    <n v="8500"/>
    <s v="Naija Mart GRA"/>
    <n v="8075"/>
    <s v="Small Gadgets"/>
    <x v="0"/>
  </r>
  <r>
    <s v="T00287"/>
    <d v="2025-03-13T00:00:00"/>
    <s v="BR003"/>
    <s v="P015"/>
    <s v="C0067"/>
    <n v="5"/>
    <n v="15"/>
    <n v="15000"/>
    <s v="Naija Mart GRA"/>
    <n v="63750"/>
    <s v="Home Appliances"/>
    <x v="7"/>
  </r>
  <r>
    <s v="T01072"/>
    <d v="2025-05-03T00:00:00"/>
    <s v="BR004"/>
    <s v="P001"/>
    <s v="C0215"/>
    <n v="1"/>
    <n v="5"/>
    <n v="185000"/>
    <s v="Naija Mart Sabon Gari"/>
    <n v="175750"/>
    <s v="Electronics"/>
    <x v="3"/>
  </r>
  <r>
    <s v="T00220"/>
    <d v="2025-11-21T00:00:00"/>
    <s v="BR004"/>
    <s v="P012"/>
    <s v="C0070"/>
    <n v="1"/>
    <n v="10"/>
    <n v="28000"/>
    <s v="Naija Mart Sabon Gari"/>
    <n v="25200"/>
    <s v="Home Appliances"/>
    <x v="0"/>
  </r>
  <r>
    <s v="T00893"/>
    <d v="2025-01-03T00:00:00"/>
    <s v="BR001"/>
    <s v="P019"/>
    <s v="C0190"/>
    <n v="1"/>
    <n v="10"/>
    <n v="21000"/>
    <s v="Naija Mart Ikeja"/>
    <n v="18900"/>
    <s v="Small Gadgets"/>
    <x v="11"/>
  </r>
  <r>
    <s v="T00388"/>
    <d v="2025-04-13T00:00:00"/>
    <s v="BR003"/>
    <s v="P002"/>
    <s v="C0177"/>
    <n v="1"/>
    <n v="20"/>
    <n v="320000"/>
    <s v="Naija Mart GRA"/>
    <n v="256000"/>
    <s v="Electronics"/>
    <x v="5"/>
  </r>
  <r>
    <s v="T00305"/>
    <d v="2025-09-09T00:00:00"/>
    <s v="BR002"/>
    <s v="P009"/>
    <s v="C0065"/>
    <n v="1"/>
    <n v="0"/>
    <n v="265000"/>
    <s v="Naija Mart Wuse"/>
    <n v="265000"/>
    <s v="Home Appliances"/>
    <x v="2"/>
  </r>
  <r>
    <s v="T00391"/>
    <d v="2025-12-24T00:00:00"/>
    <s v="BR001"/>
    <s v="P015"/>
    <s v="C0084"/>
    <n v="2"/>
    <n v="15"/>
    <n v="15000"/>
    <s v="Naija Mart Ikeja"/>
    <n v="25500"/>
    <s v="Home Appliances"/>
    <x v="4"/>
  </r>
  <r>
    <s v="T00907"/>
    <d v="2025-03-26T00:00:00"/>
    <s v="BR002"/>
    <s v="P018"/>
    <s v="C0002"/>
    <n v="1"/>
    <n v="0"/>
    <n v="18000"/>
    <s v="Naija Mart Wuse"/>
    <n v="18000"/>
    <s v="Small Gadgets"/>
    <x v="7"/>
  </r>
  <r>
    <s v="T00353"/>
    <d v="2025-01-12T00:00:00"/>
    <s v="BR001"/>
    <s v="P018"/>
    <s v="C0217"/>
    <n v="2"/>
    <n v="5"/>
    <n v="18000"/>
    <s v="Naija Mart Ikeja"/>
    <n v="34200"/>
    <s v="Small Gadgets"/>
    <x v="11"/>
  </r>
  <r>
    <s v="T00194"/>
    <d v="2025-01-02T00:00:00"/>
    <s v="BR001"/>
    <s v="P022"/>
    <s v="C0150"/>
    <n v="1"/>
    <n v="0"/>
    <n v="5200"/>
    <s v="Naija Mart Ikeja"/>
    <n v="5200"/>
    <s v="Small Gadgets"/>
    <x v="11"/>
  </r>
  <r>
    <s v="T00236"/>
    <d v="2025-12-05T00:00:00"/>
    <s v="BR001"/>
    <s v="P005"/>
    <s v="C0019"/>
    <n v="1"/>
    <n v="0"/>
    <n v="95000"/>
    <s v="Naija Mart Ikeja"/>
    <n v="95000"/>
    <s v="Electronics"/>
    <x v="4"/>
  </r>
  <r>
    <s v="T01193"/>
    <d v="2025-12-20T00:00:00"/>
    <s v="BR003"/>
    <s v="P005"/>
    <s v="C0109"/>
    <n v="1"/>
    <n v="10"/>
    <n v="95000"/>
    <s v="Naija Mart GRA"/>
    <n v="85500"/>
    <s v="Electronics"/>
    <x v="4"/>
  </r>
  <r>
    <s v="T00695"/>
    <d v="2025-03-25T00:00:00"/>
    <s v="BR002"/>
    <s v="P022"/>
    <s v="C0211"/>
    <n v="1"/>
    <n v="0"/>
    <n v="5200"/>
    <s v="Naija Mart Wuse"/>
    <n v="5200"/>
    <s v="Small Gadgets"/>
    <x v="7"/>
  </r>
  <r>
    <s v="T00481"/>
    <d v="2025-03-08T00:00:00"/>
    <s v="BR001"/>
    <s v="P018"/>
    <s v="C0209"/>
    <n v="1"/>
    <n v="0"/>
    <n v="18000"/>
    <s v="Naija Mart Ikeja"/>
    <n v="18000"/>
    <s v="Small Gadgets"/>
    <x v="7"/>
  </r>
  <r>
    <s v="T00568"/>
    <d v="2025-09-07T00:00:00"/>
    <s v="BR003"/>
    <s v="P005"/>
    <s v="C0105"/>
    <n v="2"/>
    <n v="20"/>
    <n v="95000"/>
    <s v="Naija Mart GRA"/>
    <n v="152000"/>
    <s v="Electronics"/>
    <x v="2"/>
  </r>
  <r>
    <s v="T00117"/>
    <d v="2025-10-08T00:00:00"/>
    <s v="BR002"/>
    <s v="P022"/>
    <s v="C0015"/>
    <n v="2"/>
    <n v="0"/>
    <n v="5200"/>
    <s v="Naija Mart Wuse"/>
    <n v="10400"/>
    <s v="Small Gadgets"/>
    <x v="8"/>
  </r>
  <r>
    <s v="T01116"/>
    <d v="2025-11-22T00:00:00"/>
    <s v="BR001"/>
    <s v="P020"/>
    <s v="C0130"/>
    <n v="2"/>
    <n v="5"/>
    <n v="8500"/>
    <s v="Naija Mart Ikeja"/>
    <n v="16150"/>
    <s v="Small Gadgets"/>
    <x v="0"/>
  </r>
  <r>
    <s v="T00654"/>
    <d v="2025-12-23T00:00:00"/>
    <s v="BR004"/>
    <s v="P016"/>
    <s v="C0157"/>
    <n v="1"/>
    <n v="10"/>
    <n v="19500"/>
    <s v="Naija Mart Sabon Gari"/>
    <n v="17550"/>
    <s v="Home Appliances"/>
    <x v="4"/>
  </r>
  <r>
    <s v="T01384"/>
    <d v="2025-03-20T00:00:00"/>
    <s v="BR002"/>
    <s v="P025"/>
    <s v="C0157"/>
    <n v="1"/>
    <n v="0"/>
    <n v="175000"/>
    <s v="Naija Mart Wuse"/>
    <n v="175000"/>
    <s v="Generators &amp; Power"/>
    <x v="7"/>
  </r>
  <r>
    <s v="T01303"/>
    <d v="2025-08-20T00:00:00"/>
    <s v="BR002"/>
    <s v="P001"/>
    <s v="C0220"/>
    <n v="3"/>
    <n v="0"/>
    <n v="185000"/>
    <s v="Naija Mart Wuse"/>
    <n v="555000"/>
    <s v="Electronics"/>
    <x v="6"/>
  </r>
  <r>
    <s v="T00758"/>
    <d v="2025-06-15T00:00:00"/>
    <s v="BR002"/>
    <s v="P001"/>
    <s v="C0212"/>
    <n v="1"/>
    <n v="10"/>
    <n v="185000"/>
    <s v="Naija Mart Wuse"/>
    <n v="166500"/>
    <s v="Electronics"/>
    <x v="9"/>
  </r>
  <r>
    <s v="T00445"/>
    <d v="2025-04-02T00:00:00"/>
    <s v="BR002"/>
    <s v="P003"/>
    <s v="C0104"/>
    <n v="2"/>
    <n v="15"/>
    <n v="45000"/>
    <s v="Naija Mart Wuse"/>
    <n v="76500"/>
    <s v="Electronics"/>
    <x v="5"/>
  </r>
  <r>
    <s v="T01370"/>
    <d v="2025-08-06T00:00:00"/>
    <s v="BR001"/>
    <s v="P015"/>
    <s v="C0133"/>
    <n v="2"/>
    <n v="10"/>
    <n v="15000"/>
    <s v="Naija Mart Ikeja"/>
    <n v="27000"/>
    <s v="Home Appliances"/>
    <x v="6"/>
  </r>
  <r>
    <s v="T00121"/>
    <d v="2025-03-12T00:00:00"/>
    <s v="BR001"/>
    <s v="P007"/>
    <s v="C0161"/>
    <n v="1"/>
    <n v="15"/>
    <n v="145000"/>
    <s v="Naija Mart Ikeja"/>
    <n v="123250"/>
    <s v="Electronics"/>
    <x v="7"/>
  </r>
  <r>
    <s v="T01080"/>
    <d v="2025-04-19T00:00:00"/>
    <s v="BR003"/>
    <s v="P008"/>
    <s v="C0115"/>
    <n v="1"/>
    <n v="20"/>
    <n v="410000"/>
    <s v="Naija Mart GRA"/>
    <n v="328000"/>
    <s v="Home Appliances"/>
    <x v="5"/>
  </r>
  <r>
    <s v="T01206"/>
    <d v="2025-07-12T00:00:00"/>
    <s v="BR001"/>
    <s v="P019"/>
    <s v="C0106"/>
    <n v="1"/>
    <n v="15"/>
    <n v="21000"/>
    <s v="Naija Mart Ikeja"/>
    <n v="17850"/>
    <s v="Small Gadgets"/>
    <x v="10"/>
  </r>
  <r>
    <s v="T01056"/>
    <d v="2025-02-22T00:00:00"/>
    <s v="BR003"/>
    <s v="P004"/>
    <s v="C0133"/>
    <n v="2"/>
    <n v="0"/>
    <n v="38000"/>
    <s v="Naija Mart GRA"/>
    <n v="76000"/>
    <s v="Electronics"/>
    <x v="1"/>
  </r>
  <r>
    <s v="T00063"/>
    <d v="2025-01-21T00:00:00"/>
    <s v="BR004"/>
    <s v="P004"/>
    <s v="C0093"/>
    <n v="1"/>
    <n v="20"/>
    <n v="38000"/>
    <s v="Naija Mart Sabon Gari"/>
    <n v="30400"/>
    <s v="Electronics"/>
    <x v="11"/>
  </r>
  <r>
    <s v="T00744"/>
    <d v="2025-12-20T00:00:00"/>
    <s v="BR001"/>
    <s v="P018"/>
    <s v="C0051"/>
    <n v="1"/>
    <n v="20"/>
    <n v="18000"/>
    <s v="Naija Mart Ikeja"/>
    <n v="14400"/>
    <s v="Small Gadgets"/>
    <x v="4"/>
  </r>
  <r>
    <s v="T00931"/>
    <d v="2025-04-01T00:00:00"/>
    <s v="BR004"/>
    <s v="P022"/>
    <s v="C0121"/>
    <n v="1"/>
    <n v="5"/>
    <n v="5200"/>
    <s v="Naija Mart Sabon Gari"/>
    <n v="4940"/>
    <s v="Small Gadgets"/>
    <x v="5"/>
  </r>
  <r>
    <s v="T00454"/>
    <d v="2025-02-09T00:00:00"/>
    <s v="BR002"/>
    <s v="P021"/>
    <s v="C0211"/>
    <n v="1"/>
    <n v="20"/>
    <n v="6500"/>
    <s v="Naija Mart Wuse"/>
    <n v="5200"/>
    <s v="Small Gadgets"/>
    <x v="1"/>
  </r>
  <r>
    <s v="T00516"/>
    <d v="2025-11-03T00:00:00"/>
    <s v="BR001"/>
    <s v="P016"/>
    <s v="C0019"/>
    <n v="1"/>
    <n v="0"/>
    <n v="19500"/>
    <s v="Naija Mart Ikeja"/>
    <n v="19500"/>
    <s v="Home Appliances"/>
    <x v="0"/>
  </r>
  <r>
    <s v="T00571"/>
    <d v="2025-12-23T00:00:00"/>
    <s v="BR001"/>
    <s v="P004"/>
    <s v="C0069"/>
    <n v="1"/>
    <n v="20"/>
    <n v="38000"/>
    <s v="Naija Mart Ikeja"/>
    <n v="30400"/>
    <s v="Electronics"/>
    <x v="4"/>
  </r>
  <r>
    <s v="T00224"/>
    <d v="2025-04-05T00:00:00"/>
    <s v="BR002"/>
    <s v="P016"/>
    <s v="C0038"/>
    <n v="1"/>
    <n v="0"/>
    <n v="19500"/>
    <s v="Naija Mart Wuse"/>
    <n v="19500"/>
    <s v="Home Appliances"/>
    <x v="5"/>
  </r>
  <r>
    <s v="T01047"/>
    <d v="2025-12-24T00:00:00"/>
    <s v="BR001"/>
    <s v="P010"/>
    <s v="C0080"/>
    <n v="1"/>
    <n v="5"/>
    <n v="62000"/>
    <s v="Naija Mart Ikeja"/>
    <n v="58900"/>
    <s v="Home Appliances"/>
    <x v="4"/>
  </r>
  <r>
    <s v="T00614"/>
    <d v="2025-12-16T00:00:00"/>
    <s v="BR003"/>
    <s v="P011"/>
    <s v="C0089"/>
    <n v="1"/>
    <n v="10"/>
    <n v="74000"/>
    <s v="Naija Mart GRA"/>
    <n v="66600"/>
    <s v="Home Appliances"/>
    <x v="4"/>
  </r>
  <r>
    <s v="T00844"/>
    <d v="2025-08-15T00:00:00"/>
    <s v="BR002"/>
    <s v="P015"/>
    <s v="C0066"/>
    <n v="2"/>
    <n v="0"/>
    <n v="15000"/>
    <s v="Naija Mart Wuse"/>
    <n v="30000"/>
    <s v="Home Appliances"/>
    <x v="6"/>
  </r>
  <r>
    <s v="T00222"/>
    <d v="2025-11-24T00:00:00"/>
    <s v="BR001"/>
    <s v="P014"/>
    <s v="C0064"/>
    <n v="1"/>
    <n v="0"/>
    <n v="285000"/>
    <s v="Naija Mart Ikeja"/>
    <n v="285000"/>
    <s v="Home Appliances"/>
    <x v="0"/>
  </r>
  <r>
    <s v="T00942"/>
    <d v="2025-08-16T00:00:00"/>
    <s v="BR001"/>
    <s v="P023"/>
    <s v="C0132"/>
    <n v="1"/>
    <n v="5"/>
    <n v="195000"/>
    <s v="Naija Mart Ikeja"/>
    <n v="185250"/>
    <s v="Generators &amp; Power"/>
    <x v="6"/>
  </r>
  <r>
    <s v="T00517"/>
    <d v="2025-02-22T00:00:00"/>
    <s v="BR001"/>
    <s v="P015"/>
    <s v="C0115"/>
    <n v="1"/>
    <n v="15"/>
    <n v="15000"/>
    <s v="Naija Mart Ikeja"/>
    <n v="12750"/>
    <s v="Home Appliances"/>
    <x v="1"/>
  </r>
  <r>
    <s v="T00466"/>
    <d v="2025-02-11T00:00:00"/>
    <s v="BR002"/>
    <s v="P014"/>
    <s v="C0165"/>
    <n v="1"/>
    <n v="10"/>
    <n v="285000"/>
    <s v="Naija Mart Wuse"/>
    <n v="256500"/>
    <s v="Home Appliances"/>
    <x v="1"/>
  </r>
  <r>
    <s v="T00053"/>
    <d v="2025-07-19T00:00:00"/>
    <s v="BR002"/>
    <s v="P022"/>
    <s v="C0064"/>
    <n v="1"/>
    <n v="15"/>
    <n v="5200"/>
    <s v="Naija Mart Wuse"/>
    <n v="4420"/>
    <s v="Small Gadgets"/>
    <x v="10"/>
  </r>
  <r>
    <s v="T01288"/>
    <d v="2025-12-13T00:00:00"/>
    <s v="BR002"/>
    <s v="P007"/>
    <s v="C0154"/>
    <n v="2"/>
    <n v="5"/>
    <n v="145000"/>
    <s v="Naija Mart Wuse"/>
    <n v="275500"/>
    <s v="Electronics"/>
    <x v="4"/>
  </r>
  <r>
    <s v="T00486"/>
    <d v="2025-12-20T00:00:00"/>
    <s v="BR003"/>
    <s v="P006"/>
    <s v="C0128"/>
    <n v="1"/>
    <n v="30"/>
    <n v="78000"/>
    <s v="Naija Mart GRA"/>
    <n v="54600"/>
    <s v="Electronics"/>
    <x v="4"/>
  </r>
  <r>
    <s v="T00876"/>
    <d v="2025-06-23T00:00:00"/>
    <s v="BR004"/>
    <s v="P023"/>
    <s v="C0108"/>
    <n v="1"/>
    <n v="0"/>
    <n v="195000"/>
    <s v="Naija Mart Sabon Gari"/>
    <n v="195000"/>
    <s v="Generators &amp; Power"/>
    <x v="9"/>
  </r>
  <r>
    <s v="T01339"/>
    <d v="2025-01-19T00:00:00"/>
    <s v="BR003"/>
    <s v="P001"/>
    <s v="C0070"/>
    <n v="5"/>
    <n v="5"/>
    <n v="185000"/>
    <s v="Naija Mart GRA"/>
    <n v="878750"/>
    <s v="Electronics"/>
    <x v="11"/>
  </r>
  <r>
    <s v="T00819"/>
    <d v="2025-03-12T00:00:00"/>
    <s v="BR001"/>
    <s v="P011"/>
    <s v="C0216"/>
    <n v="1"/>
    <n v="5"/>
    <n v="74000"/>
    <s v="Naija Mart Ikeja"/>
    <n v="70300"/>
    <s v="Home Appliances"/>
    <x v="7"/>
  </r>
  <r>
    <s v="T00387"/>
    <d v="2025-05-07T00:00:00"/>
    <s v="BR002"/>
    <s v="P005"/>
    <s v="C0180"/>
    <n v="1"/>
    <n v="0"/>
    <n v="95000"/>
    <s v="Naija Mart Wuse"/>
    <n v="95000"/>
    <s v="Electronics"/>
    <x v="3"/>
  </r>
  <r>
    <s v="T00156"/>
    <d v="2025-10-12T00:00:00"/>
    <s v="BR001"/>
    <s v="P010"/>
    <s v="C0192"/>
    <n v="2"/>
    <n v="15"/>
    <n v="62000"/>
    <s v="Naija Mart Ikeja"/>
    <n v="105400"/>
    <s v="Home Appliances"/>
    <x v="8"/>
  </r>
  <r>
    <s v="T01145"/>
    <d v="2025-12-17T00:00:00"/>
    <s v="BR001"/>
    <s v="P009"/>
    <s v="C0074"/>
    <n v="2"/>
    <n v="15"/>
    <n v="265000"/>
    <s v="Naija Mart Ikeja"/>
    <n v="450500"/>
    <s v="Home Appliances"/>
    <x v="4"/>
  </r>
  <r>
    <s v="T00601"/>
    <d v="2025-09-16T00:00:00"/>
    <s v="BR001"/>
    <s v="P020"/>
    <s v="C0194"/>
    <n v="1"/>
    <n v="0"/>
    <n v="8500"/>
    <s v="Naija Mart Ikeja"/>
    <n v="8500"/>
    <s v="Small Gadgets"/>
    <x v="2"/>
  </r>
  <r>
    <s v="T01121"/>
    <d v="2025-10-23T00:00:00"/>
    <s v="BR001"/>
    <s v="P011"/>
    <s v="C0122"/>
    <n v="2"/>
    <n v="0"/>
    <n v="74000"/>
    <s v="Naija Mart Ikeja"/>
    <n v="148000"/>
    <s v="Home Appliances"/>
    <x v="8"/>
  </r>
  <r>
    <s v="T00249"/>
    <d v="2025-10-22T00:00:00"/>
    <s v="BR003"/>
    <s v="P005"/>
    <s v="C0023"/>
    <n v="1"/>
    <n v="5"/>
    <n v="95000"/>
    <s v="Naija Mart GRA"/>
    <n v="90250"/>
    <s v="Electronics"/>
    <x v="8"/>
  </r>
  <r>
    <s v="T00762"/>
    <d v="2025-06-09T00:00:00"/>
    <s v="BR002"/>
    <s v="P021"/>
    <s v="C0070"/>
    <n v="2"/>
    <n v="10"/>
    <n v="6500"/>
    <s v="Naija Mart Wuse"/>
    <n v="11700"/>
    <s v="Small Gadgets"/>
    <x v="9"/>
  </r>
  <r>
    <s v="T00871"/>
    <d v="2025-02-08T00:00:00"/>
    <s v="BR003"/>
    <s v="P011"/>
    <s v="C0122"/>
    <n v="1"/>
    <n v="5"/>
    <n v="74000"/>
    <s v="Naija Mart GRA"/>
    <n v="70300"/>
    <s v="Home Appliances"/>
    <x v="1"/>
  </r>
  <r>
    <s v="T00856"/>
    <d v="2025-03-22T00:00:00"/>
    <s v="BR004"/>
    <s v="P023"/>
    <s v="C0116"/>
    <n v="1"/>
    <n v="10"/>
    <n v="195000"/>
    <s v="Naija Mart Sabon Gari"/>
    <n v="175500"/>
    <s v="Generators &amp; Power"/>
    <x v="7"/>
  </r>
  <r>
    <s v="T00442"/>
    <d v="2025-06-18T00:00:00"/>
    <s v="BR004"/>
    <s v="P005"/>
    <s v="C0191"/>
    <n v="1"/>
    <n v="0"/>
    <n v="95000"/>
    <s v="Naija Mart Sabon Gari"/>
    <n v="95000"/>
    <s v="Electronics"/>
    <x v="9"/>
  </r>
  <r>
    <s v="T01278"/>
    <d v="2025-05-21T00:00:00"/>
    <s v="BR001"/>
    <s v="P018"/>
    <s v="C0149"/>
    <n v="1"/>
    <n v="0"/>
    <n v="18000"/>
    <s v="Naija Mart Ikeja"/>
    <n v="18000"/>
    <s v="Small Gadgets"/>
    <x v="3"/>
  </r>
  <r>
    <s v="T01292"/>
    <d v="2025-11-19T00:00:00"/>
    <s v="BR001"/>
    <s v="P021"/>
    <s v="C0048"/>
    <n v="1"/>
    <n v="10"/>
    <n v="6500"/>
    <s v="Naija Mart Ikeja"/>
    <n v="5850"/>
    <s v="Small Gadgets"/>
    <x v="0"/>
  </r>
  <r>
    <s v="T00543"/>
    <d v="2025-02-20T00:00:00"/>
    <s v="BR002"/>
    <s v="P024"/>
    <s v="C0220"/>
    <n v="1"/>
    <n v="5"/>
    <n v="245000"/>
    <s v="Naija Mart Wuse"/>
    <n v="232750"/>
    <s v="Generators &amp; Power"/>
    <x v="1"/>
  </r>
  <r>
    <s v="T01019"/>
    <d v="2025-11-15T00:00:00"/>
    <s v="BR002"/>
    <s v="P004"/>
    <s v="C0083"/>
    <n v="1"/>
    <n v="10"/>
    <n v="38000"/>
    <s v="Naija Mart Wuse"/>
    <n v="34200"/>
    <s v="Electronics"/>
    <x v="0"/>
  </r>
  <r>
    <s v="T00702"/>
    <d v="2025-02-19T00:00:00"/>
    <s v="BR002"/>
    <s v="P003"/>
    <s v="C0079"/>
    <n v="1"/>
    <n v="10"/>
    <n v="45000"/>
    <s v="Naija Mart Wuse"/>
    <n v="40500"/>
    <s v="Electronics"/>
    <x v="1"/>
  </r>
  <r>
    <s v="T00118"/>
    <d v="2025-05-18T00:00:00"/>
    <s v="BR001"/>
    <s v="P012"/>
    <s v="C0151"/>
    <n v="1"/>
    <n v="0"/>
    <n v="28000"/>
    <s v="Naija Mart Ikeja"/>
    <n v="28000"/>
    <s v="Home Appliances"/>
    <x v="3"/>
  </r>
  <r>
    <s v="T01021"/>
    <d v="2025-06-07T00:00:00"/>
    <s v="BR002"/>
    <s v="P008"/>
    <s v="C0137"/>
    <n v="1"/>
    <n v="0"/>
    <n v="410000"/>
    <s v="Naija Mart Wuse"/>
    <n v="410000"/>
    <s v="Home Appliances"/>
    <x v="9"/>
  </r>
  <r>
    <s v="T00629"/>
    <d v="2025-01-08T00:00:00"/>
    <s v="BR002"/>
    <s v="P005"/>
    <s v="C0111"/>
    <n v="1"/>
    <n v="0"/>
    <n v="95000"/>
    <s v="Naija Mart Wuse"/>
    <n v="95000"/>
    <s v="Electronics"/>
    <x v="11"/>
  </r>
  <r>
    <s v="T01006"/>
    <d v="2025-09-03T00:00:00"/>
    <s v="BR001"/>
    <s v="P005"/>
    <s v="C0145"/>
    <n v="1"/>
    <n v="15"/>
    <n v="95000"/>
    <s v="Naija Mart Ikeja"/>
    <n v="80750"/>
    <s v="Electronics"/>
    <x v="2"/>
  </r>
  <r>
    <s v="T00207"/>
    <d v="2025-11-12T00:00:00"/>
    <s v="BR001"/>
    <s v="P018"/>
    <s v="C0140"/>
    <n v="1"/>
    <n v="25"/>
    <n v="18000"/>
    <s v="Naija Mart Ikeja"/>
    <n v="13500"/>
    <s v="Small Gadgets"/>
    <x v="0"/>
  </r>
  <r>
    <s v="T00292"/>
    <d v="2025-02-08T00:00:00"/>
    <s v="BR003"/>
    <s v="P016"/>
    <s v="C0196"/>
    <n v="3"/>
    <n v="0"/>
    <n v="19500"/>
    <s v="Naija Mart GRA"/>
    <n v="58500"/>
    <s v="Home Appliances"/>
    <x v="1"/>
  </r>
  <r>
    <s v="T01230"/>
    <d v="2025-05-11T00:00:00"/>
    <s v="BR002"/>
    <s v="P021"/>
    <s v="C0170"/>
    <n v="1"/>
    <n v="20"/>
    <n v="6500"/>
    <s v="Naija Mart Wuse"/>
    <n v="5200"/>
    <s v="Small Gadgets"/>
    <x v="3"/>
  </r>
  <r>
    <s v="T00382"/>
    <d v="2025-01-16T00:00:00"/>
    <s v="BR001"/>
    <s v="P002"/>
    <s v="C0175"/>
    <n v="1"/>
    <n v="0"/>
    <n v="320000"/>
    <s v="Naija Mart Ikeja"/>
    <n v="320000"/>
    <s v="Electronics"/>
    <x v="11"/>
  </r>
  <r>
    <s v="T00820"/>
    <d v="2025-11-28T00:00:00"/>
    <s v="BR002"/>
    <s v="P004"/>
    <s v="C0081"/>
    <n v="1"/>
    <n v="10"/>
    <n v="38000"/>
    <s v="Naija Mart Wuse"/>
    <n v="34200"/>
    <s v="Electronics"/>
    <x v="0"/>
  </r>
  <r>
    <s v="T00984"/>
    <d v="2025-02-10T00:00:00"/>
    <s v="BR003"/>
    <s v="P005"/>
    <s v="C0058"/>
    <n v="1"/>
    <n v="0"/>
    <n v="95000"/>
    <s v="Naija Mart GRA"/>
    <n v="95000"/>
    <s v="Electronics"/>
    <x v="1"/>
  </r>
  <r>
    <s v="T01077"/>
    <d v="2025-06-15T00:00:00"/>
    <s v="BR001"/>
    <s v="P021"/>
    <s v="C0089"/>
    <n v="1"/>
    <n v="20"/>
    <n v="6500"/>
    <s v="Naija Mart Ikeja"/>
    <n v="5200"/>
    <s v="Small Gadgets"/>
    <x v="9"/>
  </r>
  <r>
    <s v="T00201"/>
    <d v="2025-08-20T00:00:00"/>
    <s v="BR003"/>
    <s v="P017"/>
    <s v="C0099"/>
    <n v="2"/>
    <n v="10"/>
    <n v="24000"/>
    <s v="Naija Mart GRA"/>
    <n v="43200"/>
    <s v="Home Appliances"/>
    <x v="6"/>
  </r>
  <r>
    <s v="T00597"/>
    <d v="2025-01-22T00:00:00"/>
    <s v="BR002"/>
    <s v="P011"/>
    <s v="C0125"/>
    <n v="2"/>
    <n v="0"/>
    <n v="74000"/>
    <s v="Naija Mart Wuse"/>
    <n v="148000"/>
    <s v="Home Appliances"/>
    <x v="11"/>
  </r>
  <r>
    <s v="T00898"/>
    <d v="2025-12-04T00:00:00"/>
    <s v="BR001"/>
    <s v="P021"/>
    <s v="C0056"/>
    <n v="1"/>
    <n v="0"/>
    <n v="6500"/>
    <s v="Naija Mart Ikeja"/>
    <n v="6500"/>
    <s v="Small Gadgets"/>
    <x v="4"/>
  </r>
  <r>
    <s v="T01235"/>
    <d v="2025-07-13T00:00:00"/>
    <s v="BR002"/>
    <s v="P007"/>
    <s v="C0121"/>
    <n v="1"/>
    <n v="0"/>
    <n v="145000"/>
    <s v="Naija Mart Wuse"/>
    <n v="145000"/>
    <s v="Electronics"/>
    <x v="10"/>
  </r>
  <r>
    <s v="T00855"/>
    <d v="2025-12-01T00:00:00"/>
    <s v="BR001"/>
    <s v="P001"/>
    <s v="C0077"/>
    <n v="1"/>
    <n v="10"/>
    <n v="185000"/>
    <s v="Naija Mart Ikeja"/>
    <n v="166500"/>
    <s v="Electronics"/>
    <x v="4"/>
  </r>
  <r>
    <s v="T01336"/>
    <d v="2025-05-18T00:00:00"/>
    <s v="BR002"/>
    <s v="P019"/>
    <s v="C0005"/>
    <n v="1"/>
    <n v="0"/>
    <n v="21000"/>
    <s v="Naija Mart Wuse"/>
    <n v="21000"/>
    <s v="Small Gadgets"/>
    <x v="3"/>
  </r>
  <r>
    <s v="T01397"/>
    <d v="2025-07-18T00:00:00"/>
    <s v="BR001"/>
    <s v="P014"/>
    <s v="C0040"/>
    <n v="2"/>
    <n v="5"/>
    <n v="285000"/>
    <s v="Naija Mart Ikeja"/>
    <n v="541500"/>
    <s v="Home Appliances"/>
    <x v="10"/>
  </r>
  <r>
    <s v="T00805"/>
    <d v="2025-03-01T00:00:00"/>
    <s v="BR001"/>
    <s v="P003"/>
    <s v="C0154"/>
    <n v="1"/>
    <n v="5"/>
    <n v="45000"/>
    <s v="Naija Mart Ikeja"/>
    <n v="42750"/>
    <s v="Electronics"/>
    <x v="7"/>
  </r>
  <r>
    <s v="T01371"/>
    <d v="2025-02-10T00:00:00"/>
    <s v="BR002"/>
    <s v="P019"/>
    <s v="C0174"/>
    <n v="1"/>
    <n v="5"/>
    <n v="21000"/>
    <s v="Naija Mart Wuse"/>
    <n v="19950"/>
    <s v="Small Gadgets"/>
    <x v="1"/>
  </r>
  <r>
    <s v="T00976"/>
    <d v="2025-08-04T00:00:00"/>
    <s v="BR003"/>
    <s v="P007"/>
    <s v="C0142"/>
    <n v="1"/>
    <n v="15"/>
    <n v="145000"/>
    <s v="Naija Mart GRA"/>
    <n v="123250"/>
    <s v="Electronics"/>
    <x v="6"/>
  </r>
  <r>
    <s v="T00793"/>
    <d v="2025-01-23T00:00:00"/>
    <s v="BR003"/>
    <s v="P005"/>
    <s v="C0055"/>
    <n v="1"/>
    <n v="0"/>
    <n v="95000"/>
    <s v="Naija Mart GRA"/>
    <n v="95000"/>
    <s v="Electronics"/>
    <x v="11"/>
  </r>
  <r>
    <s v="T00770"/>
    <d v="2025-11-01T00:00:00"/>
    <s v="BR003"/>
    <s v="P023"/>
    <s v="C0160"/>
    <n v="1"/>
    <n v="0"/>
    <n v="195000"/>
    <s v="Naija Mart GRA"/>
    <n v="195000"/>
    <s v="Generators &amp; Power"/>
    <x v="0"/>
  </r>
  <r>
    <s v="T00961"/>
    <d v="2025-02-26T00:00:00"/>
    <s v="BR002"/>
    <s v="P013"/>
    <s v="C0091"/>
    <n v="1"/>
    <n v="15"/>
    <n v="22000"/>
    <s v="Naija Mart Wuse"/>
    <n v="18700"/>
    <s v="Home Appliances"/>
    <x v="1"/>
  </r>
  <r>
    <s v="T01182"/>
    <d v="2025-09-04T00:00:00"/>
    <s v="BR001"/>
    <s v="P020"/>
    <s v="C0031"/>
    <n v="2"/>
    <n v="0"/>
    <n v="8500"/>
    <s v="Naija Mart Ikeja"/>
    <n v="17000"/>
    <s v="Small Gadgets"/>
    <x v="2"/>
  </r>
  <r>
    <s v="T00814"/>
    <d v="2025-07-25T00:00:00"/>
    <s v="BR004"/>
    <s v="P010"/>
    <s v="C0060"/>
    <n v="1"/>
    <n v="5"/>
    <n v="62000"/>
    <s v="Naija Mart Sabon Gari"/>
    <n v="58900"/>
    <s v="Home Appliances"/>
    <x v="10"/>
  </r>
  <r>
    <s v="T01123"/>
    <d v="2025-12-21T00:00:00"/>
    <s v="BR001"/>
    <s v="P014"/>
    <s v="C0198"/>
    <n v="1"/>
    <n v="0"/>
    <n v="285000"/>
    <s v="Naija Mart Ikeja"/>
    <n v="285000"/>
    <s v="Home Appliances"/>
    <x v="4"/>
  </r>
  <r>
    <s v="T00506"/>
    <d v="2025-11-14T00:00:00"/>
    <s v="BR001"/>
    <s v="P007"/>
    <s v="C0006"/>
    <n v="1"/>
    <n v="5"/>
    <n v="145000"/>
    <s v="Naija Mart Ikeja"/>
    <n v="137750"/>
    <s v="Electronics"/>
    <x v="0"/>
  </r>
  <r>
    <s v="T00892"/>
    <d v="2025-12-05T00:00:00"/>
    <s v="BR004"/>
    <s v="P011"/>
    <s v="C0139"/>
    <n v="1"/>
    <n v="10"/>
    <n v="74000"/>
    <s v="Naija Mart Sabon Gari"/>
    <n v="66600"/>
    <s v="Home Appliances"/>
    <x v="4"/>
  </r>
  <r>
    <s v="T00349"/>
    <d v="2025-12-06T00:00:00"/>
    <s v="BR001"/>
    <s v="P020"/>
    <s v="C0017"/>
    <n v="2"/>
    <n v="10"/>
    <n v="8500"/>
    <s v="Naija Mart Ikeja"/>
    <n v="15300"/>
    <s v="Small Gadgets"/>
    <x v="4"/>
  </r>
  <r>
    <s v="T01045"/>
    <d v="2025-08-15T00:00:00"/>
    <s v="BR001"/>
    <s v="P009"/>
    <s v="C0009"/>
    <n v="2"/>
    <n v="0"/>
    <n v="265000"/>
    <s v="Naija Mart Ikeja"/>
    <n v="530000"/>
    <s v="Home Appliances"/>
    <x v="6"/>
  </r>
  <r>
    <s v="T01149"/>
    <d v="2025-02-19T00:00:00"/>
    <s v="BR001"/>
    <s v="P020"/>
    <s v="C0176"/>
    <n v="1"/>
    <n v="15"/>
    <n v="8500"/>
    <s v="Naija Mart Ikeja"/>
    <n v="7225"/>
    <s v="Small Gadgets"/>
    <x v="1"/>
  </r>
  <r>
    <s v="T01400"/>
    <d v="2025-12-12T00:00:00"/>
    <s v="BR001"/>
    <s v="P008"/>
    <s v="C0126"/>
    <n v="1"/>
    <n v="10"/>
    <n v="410000"/>
    <s v="Naija Mart Ikeja"/>
    <n v="369000"/>
    <s v="Home Appliances"/>
    <x v="4"/>
  </r>
  <r>
    <s v="T00341"/>
    <d v="2025-05-01T00:00:00"/>
    <s v="BR001"/>
    <s v="P010"/>
    <s v="C0105"/>
    <n v="1"/>
    <n v="0"/>
    <n v="62000"/>
    <s v="Naija Mart Ikeja"/>
    <n v="62000"/>
    <s v="Home Appliances"/>
    <x v="3"/>
  </r>
  <r>
    <s v="T00787"/>
    <d v="2025-10-10T00:00:00"/>
    <s v="BR003"/>
    <s v="P023"/>
    <s v="C0152"/>
    <n v="1"/>
    <n v="0"/>
    <n v="195000"/>
    <s v="Naija Mart GRA"/>
    <n v="195000"/>
    <s v="Generators &amp; Power"/>
    <x v="8"/>
  </r>
  <r>
    <s v="T00616"/>
    <d v="2025-02-05T00:00:00"/>
    <s v="BR001"/>
    <s v="P021"/>
    <s v="C0123"/>
    <n v="1"/>
    <n v="0"/>
    <n v="6500"/>
    <s v="Naija Mart Ikeja"/>
    <n v="6500"/>
    <s v="Small Gadgets"/>
    <x v="1"/>
  </r>
  <r>
    <s v="T00155"/>
    <d v="2025-10-12T00:00:00"/>
    <s v="BR002"/>
    <s v="P004"/>
    <s v="C0072"/>
    <n v="1"/>
    <n v="15"/>
    <n v="38000"/>
    <s v="Naija Mart Wuse"/>
    <n v="32300"/>
    <s v="Electronics"/>
    <x v="8"/>
  </r>
  <r>
    <s v="T01300"/>
    <d v="2025-10-18T00:00:00"/>
    <s v="BR002"/>
    <s v="P009"/>
    <s v="C0096"/>
    <n v="2"/>
    <n v="0"/>
    <n v="265000"/>
    <s v="Naija Mart Wuse"/>
    <n v="530000"/>
    <s v="Home Appliances"/>
    <x v="8"/>
  </r>
  <r>
    <s v="T01271"/>
    <d v="2025-09-19T00:00:00"/>
    <s v="BR001"/>
    <s v="P003"/>
    <s v="C0043"/>
    <n v="2"/>
    <n v="5"/>
    <n v="45000"/>
    <s v="Naija Mart Ikeja"/>
    <n v="85500"/>
    <s v="Electronics"/>
    <x v="2"/>
  </r>
  <r>
    <s v="T00078"/>
    <d v="2025-11-06T00:00:00"/>
    <s v="BR003"/>
    <s v="P019"/>
    <s v="C0166"/>
    <n v="1"/>
    <n v="0"/>
    <n v="21000"/>
    <s v="Naija Mart GRA"/>
    <n v="21000"/>
    <s v="Small Gadgets"/>
    <x v="0"/>
  </r>
  <r>
    <s v="T01395"/>
    <d v="2025-11-11T00:00:00"/>
    <s v="BR004"/>
    <s v="P015"/>
    <s v="C0178"/>
    <n v="3"/>
    <n v="0"/>
    <n v="15000"/>
    <s v="Naija Mart Sabon Gari"/>
    <n v="45000"/>
    <s v="Home Appliances"/>
    <x v="0"/>
  </r>
  <r>
    <s v="T00288"/>
    <d v="2025-09-04T00:00:00"/>
    <s v="BR004"/>
    <s v="P005"/>
    <s v="C0101"/>
    <n v="1"/>
    <n v="5"/>
    <n v="95000"/>
    <s v="Naija Mart Sabon Gari"/>
    <n v="90250"/>
    <s v="Electronics"/>
    <x v="2"/>
  </r>
  <r>
    <s v="T00323"/>
    <d v="2025-07-02T00:00:00"/>
    <s v="BR001"/>
    <s v="P007"/>
    <s v="C0183"/>
    <n v="1"/>
    <n v="0"/>
    <n v="145000"/>
    <s v="Naija Mart Ikeja"/>
    <n v="145000"/>
    <s v="Electronics"/>
    <x v="10"/>
  </r>
  <r>
    <s v="T00687"/>
    <d v="2025-05-09T00:00:00"/>
    <s v="BR004"/>
    <s v="P018"/>
    <s v="C0198"/>
    <n v="1"/>
    <n v="10"/>
    <n v="18000"/>
    <s v="Naija Mart Sabon Gari"/>
    <n v="16200"/>
    <s v="Small Gadgets"/>
    <x v="3"/>
  </r>
  <r>
    <s v="T01084"/>
    <d v="2025-11-06T00:00:00"/>
    <s v="BR004"/>
    <s v="P012"/>
    <s v="C0156"/>
    <n v="1"/>
    <n v="5"/>
    <n v="28000"/>
    <s v="Naija Mart Sabon Gari"/>
    <n v="26600"/>
    <s v="Home Appliances"/>
    <x v="0"/>
  </r>
  <r>
    <s v="T01356"/>
    <d v="2025-08-12T00:00:00"/>
    <s v="BR004"/>
    <s v="P009"/>
    <s v="C0175"/>
    <n v="1"/>
    <n v="10"/>
    <n v="265000"/>
    <s v="Naija Mart Sabon Gari"/>
    <n v="238500"/>
    <s v="Home Appliances"/>
    <x v="6"/>
  </r>
  <r>
    <s v="T00914"/>
    <d v="2025-04-23T00:00:00"/>
    <s v="BR002"/>
    <s v="P003"/>
    <s v="C0050"/>
    <n v="2"/>
    <n v="0"/>
    <n v="45000"/>
    <s v="Naija Mart Wuse"/>
    <n v="90000"/>
    <s v="Electronics"/>
    <x v="5"/>
  </r>
  <r>
    <s v="T01275"/>
    <d v="2025-10-08T00:00:00"/>
    <s v="BR001"/>
    <s v="P023"/>
    <s v="C0153"/>
    <n v="1"/>
    <n v="0"/>
    <n v="195000"/>
    <s v="Naija Mart Ikeja"/>
    <n v="195000"/>
    <s v="Generators &amp; Power"/>
    <x v="8"/>
  </r>
  <r>
    <s v="T01109"/>
    <d v="2025-11-15T00:00:00"/>
    <s v="BR004"/>
    <s v="P001"/>
    <s v="C0160"/>
    <n v="1"/>
    <n v="5"/>
    <n v="185000"/>
    <s v="Naija Mart Sabon Gari"/>
    <n v="175750"/>
    <s v="Electronics"/>
    <x v="0"/>
  </r>
  <r>
    <s v="T00083"/>
    <d v="2025-12-22T00:00:00"/>
    <s v="BR001"/>
    <s v="P014"/>
    <s v="C0021"/>
    <n v="1"/>
    <n v="20"/>
    <n v="285000"/>
    <s v="Naija Mart Ikeja"/>
    <n v="228000"/>
    <s v="Home Appliances"/>
    <x v="4"/>
  </r>
  <r>
    <s v="T00513"/>
    <d v="2025-11-24T00:00:00"/>
    <s v="BR001"/>
    <s v="P023"/>
    <s v="C0215"/>
    <n v="1"/>
    <n v="15"/>
    <n v="195000"/>
    <s v="Naija Mart Ikeja"/>
    <n v="165750"/>
    <s v="Generators &amp; Power"/>
    <x v="0"/>
  </r>
  <r>
    <s v="T01284"/>
    <d v="2025-11-14T00:00:00"/>
    <s v="BR001"/>
    <s v="P001"/>
    <s v="C0161"/>
    <n v="2"/>
    <n v="10"/>
    <n v="185000"/>
    <s v="Naija Mart Ikeja"/>
    <n v="333000"/>
    <s v="Electronics"/>
    <x v="0"/>
  </r>
  <r>
    <s v="T00965"/>
    <d v="2025-08-28T00:00:00"/>
    <s v="BR001"/>
    <s v="P021"/>
    <s v="C0158"/>
    <n v="1"/>
    <n v="20"/>
    <n v="6500"/>
    <s v="Naija Mart Ikeja"/>
    <n v="5200"/>
    <s v="Small Gadgets"/>
    <x v="6"/>
  </r>
  <r>
    <s v="T00465"/>
    <d v="2025-08-12T00:00:00"/>
    <s v="BR001"/>
    <s v="P003"/>
    <s v="C0052"/>
    <n v="1"/>
    <n v="25"/>
    <n v="45000"/>
    <s v="Naija Mart Ikeja"/>
    <n v="33750"/>
    <s v="Electronics"/>
    <x v="6"/>
  </r>
  <r>
    <s v="T01068"/>
    <d v="2025-12-21T00:00:00"/>
    <s v="BR002"/>
    <s v="P002"/>
    <s v="C0008"/>
    <n v="1"/>
    <n v="5"/>
    <n v="320000"/>
    <s v="Naija Mart Wuse"/>
    <n v="304000"/>
    <s v="Electronics"/>
    <x v="4"/>
  </r>
  <r>
    <s v="T00360"/>
    <d v="2025-09-09T00:00:00"/>
    <s v="BR003"/>
    <s v="P021"/>
    <s v="C0087"/>
    <n v="1"/>
    <n v="0"/>
    <n v="6500"/>
    <s v="Naija Mart GRA"/>
    <n v="6500"/>
    <s v="Small Gadgets"/>
    <x v="2"/>
  </r>
  <r>
    <s v="T01375"/>
    <d v="2025-01-11T00:00:00"/>
    <s v="BR001"/>
    <s v="P016"/>
    <s v="C0191"/>
    <n v="1"/>
    <n v="5"/>
    <n v="19500"/>
    <s v="Naija Mart Ikeja"/>
    <n v="18525"/>
    <s v="Home Appliances"/>
    <x v="11"/>
  </r>
  <r>
    <s v="T00930"/>
    <d v="2025-06-14T00:00:00"/>
    <s v="BR001"/>
    <s v="P010"/>
    <s v="C0152"/>
    <n v="2"/>
    <n v="0"/>
    <n v="62000"/>
    <s v="Naija Mart Ikeja"/>
    <n v="124000"/>
    <s v="Home Appliances"/>
    <x v="9"/>
  </r>
  <r>
    <s v="T01143"/>
    <d v="2025-03-23T00:00:00"/>
    <s v="BR003"/>
    <s v="P019"/>
    <s v="C0029"/>
    <n v="1"/>
    <n v="0"/>
    <n v="21000"/>
    <s v="Naija Mart GRA"/>
    <n v="21000"/>
    <s v="Small Gadgets"/>
    <x v="7"/>
  </r>
  <r>
    <s v="T00334"/>
    <d v="2025-05-26T00:00:00"/>
    <s v="BR003"/>
    <s v="P018"/>
    <s v="C0140"/>
    <n v="1"/>
    <n v="0"/>
    <n v="18000"/>
    <s v="Naija Mart GRA"/>
    <n v="18000"/>
    <s v="Small Gadgets"/>
    <x v="3"/>
  </r>
  <r>
    <s v="T00011"/>
    <d v="2025-12-22T00:00:00"/>
    <s v="BR002"/>
    <s v="P002"/>
    <s v="C0072"/>
    <n v="1"/>
    <n v="0"/>
    <n v="320000"/>
    <s v="Naija Mart Wuse"/>
    <n v="320000"/>
    <s v="Electronics"/>
    <x v="4"/>
  </r>
  <r>
    <s v="T00739"/>
    <d v="2025-02-12T00:00:00"/>
    <s v="BR003"/>
    <s v="P011"/>
    <s v="C0033"/>
    <n v="1"/>
    <n v="5"/>
    <n v="74000"/>
    <s v="Naija Mart GRA"/>
    <n v="70300"/>
    <s v="Home Appliances"/>
    <x v="1"/>
  </r>
  <r>
    <s v="T00471"/>
    <d v="2025-10-12T00:00:00"/>
    <s v="BR001"/>
    <s v="P021"/>
    <s v="C0002"/>
    <n v="1"/>
    <n v="20"/>
    <n v="6500"/>
    <s v="Naija Mart Ikeja"/>
    <n v="5200"/>
    <s v="Small Gadgets"/>
    <x v="8"/>
  </r>
  <r>
    <s v="T00832"/>
    <d v="2025-06-05T00:00:00"/>
    <s v="BR003"/>
    <s v="P003"/>
    <s v="C0138"/>
    <n v="1"/>
    <n v="10"/>
    <n v="45000"/>
    <s v="Naija Mart GRA"/>
    <n v="40500"/>
    <s v="Electronics"/>
    <x v="9"/>
  </r>
  <r>
    <s v="T00033"/>
    <d v="2025-04-11T00:00:00"/>
    <s v="BR001"/>
    <s v="P005"/>
    <s v="C0090"/>
    <n v="2"/>
    <n v="10"/>
    <n v="95000"/>
    <s v="Naija Mart Ikeja"/>
    <n v="171000"/>
    <s v="Electronics"/>
    <x v="5"/>
  </r>
  <r>
    <s v="T00151"/>
    <d v="2025-11-10T00:00:00"/>
    <s v="BR001"/>
    <s v="P001"/>
    <s v="C0157"/>
    <n v="5"/>
    <n v="0"/>
    <n v="185000"/>
    <s v="Naija Mart Ikeja"/>
    <n v="925000"/>
    <s v="Electronics"/>
    <x v="0"/>
  </r>
  <r>
    <s v="T00414"/>
    <d v="2025-03-13T00:00:00"/>
    <s v="BR001"/>
    <s v="P005"/>
    <s v="C0121"/>
    <n v="1"/>
    <n v="0"/>
    <n v="95000"/>
    <s v="Naija Mart Ikeja"/>
    <n v="95000"/>
    <s v="Electronics"/>
    <x v="7"/>
  </r>
  <r>
    <s v="T00581"/>
    <d v="2025-03-06T00:00:00"/>
    <s v="BR002"/>
    <s v="P020"/>
    <s v="C0146"/>
    <n v="2"/>
    <n v="10"/>
    <n v="8500"/>
    <s v="Naija Mart Wuse"/>
    <n v="15300"/>
    <s v="Small Gadgets"/>
    <x v="7"/>
  </r>
  <r>
    <s v="T00383"/>
    <d v="2025-04-02T00:00:00"/>
    <s v="BR002"/>
    <s v="P015"/>
    <s v="C0110"/>
    <n v="1"/>
    <n v="0"/>
    <n v="15000"/>
    <s v="Naija Mart Wuse"/>
    <n v="15000"/>
    <s v="Home Appliances"/>
    <x v="5"/>
  </r>
  <r>
    <s v="T00794"/>
    <d v="2025-03-12T00:00:00"/>
    <s v="BR003"/>
    <s v="P010"/>
    <s v="C0202"/>
    <n v="5"/>
    <n v="5"/>
    <n v="62000"/>
    <s v="Naija Mart GRA"/>
    <n v="294500"/>
    <s v="Home Appliances"/>
    <x v="7"/>
  </r>
  <r>
    <s v="T01085"/>
    <d v="2025-11-21T00:00:00"/>
    <s v="BR002"/>
    <s v="P005"/>
    <s v="C0123"/>
    <n v="1"/>
    <n v="10"/>
    <n v="95000"/>
    <s v="Naija Mart Wuse"/>
    <n v="85500"/>
    <s v="Electronics"/>
    <x v="0"/>
  </r>
  <r>
    <s v="T00377"/>
    <d v="2025-04-04T00:00:00"/>
    <s v="BR003"/>
    <s v="P017"/>
    <s v="C0212"/>
    <n v="2"/>
    <n v="0"/>
    <n v="24000"/>
    <s v="Naija Mart GRA"/>
    <n v="48000"/>
    <s v="Home Appliances"/>
    <x v="5"/>
  </r>
  <r>
    <s v="T01332"/>
    <d v="2025-01-27T00:00:00"/>
    <s v="BR002"/>
    <s v="P003"/>
    <s v="C0030"/>
    <n v="1"/>
    <n v="0"/>
    <n v="45000"/>
    <s v="Naija Mart Wuse"/>
    <n v="45000"/>
    <s v="Electronics"/>
    <x v="11"/>
  </r>
  <r>
    <s v="T00615"/>
    <d v="2025-12-22T00:00:00"/>
    <s v="BR003"/>
    <s v="P002"/>
    <s v="C0010"/>
    <n v="1"/>
    <n v="5"/>
    <n v="320000"/>
    <s v="Naija Mart GRA"/>
    <n v="304000"/>
    <s v="Electronics"/>
    <x v="4"/>
  </r>
  <r>
    <s v="T01338"/>
    <d v="2025-04-23T00:00:00"/>
    <s v="BR001"/>
    <s v="P016"/>
    <s v="C0178"/>
    <n v="1"/>
    <n v="5"/>
    <n v="19500"/>
    <s v="Naija Mart Ikeja"/>
    <n v="18525"/>
    <s v="Home Appliances"/>
    <x v="5"/>
  </r>
  <r>
    <s v="T00379"/>
    <d v="2025-02-10T00:00:00"/>
    <s v="BR004"/>
    <s v="P020"/>
    <s v="C0214"/>
    <n v="1"/>
    <n v="0"/>
    <n v="8500"/>
    <s v="Naija Mart Sabon Gari"/>
    <n v="8500"/>
    <s v="Small Gadgets"/>
    <x v="1"/>
  </r>
  <r>
    <s v="T01015"/>
    <d v="2025-09-10T00:00:00"/>
    <s v="BR002"/>
    <s v="P009"/>
    <s v="C0064"/>
    <n v="1"/>
    <n v="0"/>
    <n v="265000"/>
    <s v="Naija Mart Wuse"/>
    <n v="265000"/>
    <s v="Home Appliances"/>
    <x v="2"/>
  </r>
  <r>
    <s v="T00090"/>
    <d v="2025-04-12T00:00:00"/>
    <s v="BR001"/>
    <s v="P013"/>
    <s v="C0076"/>
    <n v="1"/>
    <n v="15"/>
    <n v="22000"/>
    <s v="Naija Mart Ikeja"/>
    <n v="18700"/>
    <s v="Home Appliances"/>
    <x v="5"/>
  </r>
  <r>
    <s v="T01188"/>
    <d v="2025-06-21T00:00:00"/>
    <s v="BR002"/>
    <s v="P020"/>
    <s v="C0003"/>
    <n v="5"/>
    <n v="5"/>
    <n v="8500"/>
    <s v="Naija Mart Wuse"/>
    <n v="40375"/>
    <s v="Small Gadgets"/>
    <x v="9"/>
  </r>
  <r>
    <s v="T00693"/>
    <d v="2025-05-08T00:00:00"/>
    <s v="BR001"/>
    <s v="P008"/>
    <s v="C0127"/>
    <n v="1"/>
    <n v="0"/>
    <n v="410000"/>
    <s v="Naija Mart Ikeja"/>
    <n v="410000"/>
    <s v="Home Appliances"/>
    <x v="3"/>
  </r>
  <r>
    <s v="T00602"/>
    <d v="2025-10-20T00:00:00"/>
    <s v="BR001"/>
    <s v="P013"/>
    <s v="C0175"/>
    <n v="1"/>
    <n v="0"/>
    <n v="22000"/>
    <s v="Naija Mart Ikeja"/>
    <n v="22000"/>
    <s v="Home Appliances"/>
    <x v="8"/>
  </r>
  <r>
    <s v="T00214"/>
    <d v="2025-03-16T00:00:00"/>
    <s v="BR001"/>
    <s v="P003"/>
    <s v="C0180"/>
    <n v="5"/>
    <n v="10"/>
    <n v="45000"/>
    <s v="Naija Mart Ikeja"/>
    <n v="202500"/>
    <s v="Electronics"/>
    <x v="7"/>
  </r>
  <r>
    <s v="T00834"/>
    <d v="2025-11-25T00:00:00"/>
    <s v="BR001"/>
    <s v="P022"/>
    <s v="C0129"/>
    <n v="1"/>
    <n v="15"/>
    <n v="5200"/>
    <s v="Naija Mart Ikeja"/>
    <n v="4420"/>
    <s v="Small Gadgets"/>
    <x v="0"/>
  </r>
  <r>
    <s v="T00333"/>
    <d v="2025-11-27T00:00:00"/>
    <s v="BR001"/>
    <s v="P013"/>
    <s v="C0050"/>
    <n v="1"/>
    <n v="5"/>
    <n v="22000"/>
    <s v="Naija Mart Ikeja"/>
    <n v="20900"/>
    <s v="Home Appliances"/>
    <x v="0"/>
  </r>
  <r>
    <s v="T00134"/>
    <d v="2025-12-16T00:00:00"/>
    <s v="BR001"/>
    <s v="P022"/>
    <s v="C0014"/>
    <n v="2"/>
    <n v="20"/>
    <n v="5200"/>
    <s v="Naija Mart Ikeja"/>
    <n v="8320"/>
    <s v="Small Gadgets"/>
    <x v="4"/>
  </r>
  <r>
    <s v="T00556"/>
    <d v="2025-09-08T00:00:00"/>
    <s v="BR002"/>
    <s v="P004"/>
    <s v="C0196"/>
    <n v="1"/>
    <n v="10"/>
    <n v="38000"/>
    <s v="Naija Mart Wuse"/>
    <n v="34200"/>
    <s v="Electronics"/>
    <x v="2"/>
  </r>
  <r>
    <s v="T00321"/>
    <d v="2025-09-14T00:00:00"/>
    <s v="BR002"/>
    <s v="P025"/>
    <s v="C0005"/>
    <n v="2"/>
    <n v="0"/>
    <n v="175000"/>
    <s v="Naija Mart Wuse"/>
    <n v="350000"/>
    <s v="Generators &amp; Power"/>
    <x v="2"/>
  </r>
  <r>
    <s v="T01233"/>
    <d v="2025-04-28T00:00:00"/>
    <s v="BR003"/>
    <s v="P021"/>
    <s v="C0135"/>
    <n v="2"/>
    <n v="0"/>
    <n v="6500"/>
    <s v="Naija Mart GRA"/>
    <n v="13000"/>
    <s v="Small Gadgets"/>
    <x v="5"/>
  </r>
  <r>
    <s v="T01379"/>
    <d v="2025-02-14T00:00:00"/>
    <s v="BR001"/>
    <s v="P016"/>
    <s v="C0095"/>
    <n v="2"/>
    <n v="0"/>
    <n v="19500"/>
    <s v="Naija Mart Ikeja"/>
    <n v="39000"/>
    <s v="Home Appliances"/>
    <x v="1"/>
  </r>
  <r>
    <s v="T00635"/>
    <d v="2025-11-18T00:00:00"/>
    <s v="BR001"/>
    <s v="P012"/>
    <s v="C0054"/>
    <n v="5"/>
    <n v="10"/>
    <n v="28000"/>
    <s v="Naija Mart Ikeja"/>
    <n v="126000"/>
    <s v="Home Appliances"/>
    <x v="0"/>
  </r>
  <r>
    <s v="T00553"/>
    <d v="2025-12-07T00:00:00"/>
    <s v="BR002"/>
    <s v="P016"/>
    <s v="C0017"/>
    <n v="1"/>
    <n v="0"/>
    <n v="19500"/>
    <s v="Naija Mart Wuse"/>
    <n v="19500"/>
    <s v="Home Appliances"/>
    <x v="4"/>
  </r>
  <r>
    <s v="T01091"/>
    <d v="2025-02-13T00:00:00"/>
    <s v="BR002"/>
    <s v="P024"/>
    <s v="C0155"/>
    <n v="1"/>
    <n v="20"/>
    <n v="245000"/>
    <s v="Naija Mart Wuse"/>
    <n v="196000"/>
    <s v="Generators &amp; Power"/>
    <x v="1"/>
  </r>
  <r>
    <s v="T00797"/>
    <d v="2025-05-26T00:00:00"/>
    <s v="BR002"/>
    <s v="P013"/>
    <s v="C0069"/>
    <n v="1"/>
    <n v="5"/>
    <n v="22000"/>
    <s v="Naija Mart Wuse"/>
    <n v="20900"/>
    <s v="Home Appliances"/>
    <x v="3"/>
  </r>
  <r>
    <s v="T01165"/>
    <d v="2025-08-14T00:00:00"/>
    <s v="BR004"/>
    <s v="P022"/>
    <s v="C0155"/>
    <n v="1"/>
    <n v="5"/>
    <n v="5200"/>
    <s v="Naija Mart Sabon Gari"/>
    <n v="4940"/>
    <s v="Small Gadgets"/>
    <x v="6"/>
  </r>
  <r>
    <s v="T00175"/>
    <d v="2025-11-05T00:00:00"/>
    <s v="BR004"/>
    <s v="P012"/>
    <s v="C0137"/>
    <n v="1"/>
    <n v="5"/>
    <n v="28000"/>
    <s v="Naija Mart Sabon Gari"/>
    <n v="26600"/>
    <s v="Home Appliances"/>
    <x v="0"/>
  </r>
  <r>
    <s v="T00767"/>
    <d v="2025-11-22T00:00:00"/>
    <s v="BR002"/>
    <s v="P011"/>
    <s v="C0086"/>
    <n v="1"/>
    <n v="10"/>
    <n v="74000"/>
    <s v="Naija Mart Wuse"/>
    <n v="66600"/>
    <s v="Home Appliances"/>
    <x v="0"/>
  </r>
  <r>
    <s v="T00246"/>
    <d v="2025-04-20T00:00:00"/>
    <s v="BR001"/>
    <s v="P018"/>
    <s v="C0032"/>
    <n v="2"/>
    <n v="0"/>
    <n v="18000"/>
    <s v="Naija Mart Ikeja"/>
    <n v="36000"/>
    <s v="Small Gadgets"/>
    <x v="5"/>
  </r>
  <r>
    <s v="T01213"/>
    <d v="2025-10-02T00:00:00"/>
    <s v="BR004"/>
    <s v="P005"/>
    <s v="C0029"/>
    <n v="1"/>
    <n v="5"/>
    <n v="95000"/>
    <s v="Naija Mart Sabon Gari"/>
    <n v="90250"/>
    <s v="Electronics"/>
    <x v="8"/>
  </r>
  <r>
    <s v="T00146"/>
    <d v="2025-09-09T00:00:00"/>
    <s v="BR001"/>
    <s v="P004"/>
    <s v="C0188"/>
    <n v="3"/>
    <n v="0"/>
    <n v="38000"/>
    <s v="Naija Mart Ikeja"/>
    <n v="114000"/>
    <s v="Electronics"/>
    <x v="2"/>
  </r>
  <r>
    <s v="T00091"/>
    <d v="2025-03-28T00:00:00"/>
    <s v="BR001"/>
    <s v="P011"/>
    <s v="C0073"/>
    <n v="3"/>
    <n v="5"/>
    <n v="74000"/>
    <s v="Naija Mart Ikeja"/>
    <n v="210900"/>
    <s v="Home Appliances"/>
    <x v="7"/>
  </r>
  <r>
    <s v="T00683"/>
    <d v="2025-02-24T00:00:00"/>
    <s v="BR003"/>
    <s v="P003"/>
    <s v="C0201"/>
    <n v="2"/>
    <n v="0"/>
    <n v="45000"/>
    <s v="Naija Mart GRA"/>
    <n v="90000"/>
    <s v="Electronics"/>
    <x v="1"/>
  </r>
  <r>
    <s v="T00311"/>
    <d v="2025-07-21T00:00:00"/>
    <s v="BR001"/>
    <s v="P012"/>
    <s v="C0089"/>
    <n v="1"/>
    <n v="0"/>
    <n v="28000"/>
    <s v="Naija Mart Ikeja"/>
    <n v="28000"/>
    <s v="Home Appliances"/>
    <x v="10"/>
  </r>
  <r>
    <s v="T00094"/>
    <d v="2025-01-10T00:00:00"/>
    <s v="BR002"/>
    <s v="P024"/>
    <s v="C0009"/>
    <n v="1"/>
    <n v="15"/>
    <n v="245000"/>
    <s v="Naija Mart Wuse"/>
    <n v="208250"/>
    <s v="Generators &amp; Power"/>
    <x v="11"/>
  </r>
  <r>
    <s v="T01390"/>
    <d v="2025-12-17T00:00:00"/>
    <s v="BR001"/>
    <s v="P019"/>
    <s v="C0169"/>
    <n v="2"/>
    <n v="0"/>
    <n v="21000"/>
    <s v="Naija Mart Ikeja"/>
    <n v="42000"/>
    <s v="Small Gadgets"/>
    <x v="4"/>
  </r>
  <r>
    <s v="T00925"/>
    <d v="2025-07-07T00:00:00"/>
    <s v="BR001"/>
    <s v="P005"/>
    <s v="C0163"/>
    <n v="1"/>
    <n v="20"/>
    <n v="95000"/>
    <s v="Naija Mart Ikeja"/>
    <n v="76000"/>
    <s v="Electronics"/>
    <x v="10"/>
  </r>
  <r>
    <s v="T01181"/>
    <d v="2025-10-18T00:00:00"/>
    <s v="BR001"/>
    <s v="P006"/>
    <s v="C0036"/>
    <n v="1"/>
    <n v="0"/>
    <n v="78000"/>
    <s v="Naija Mart Ikeja"/>
    <n v="78000"/>
    <s v="Electronics"/>
    <x v="8"/>
  </r>
  <r>
    <s v="T01036"/>
    <d v="2025-03-08T00:00:00"/>
    <s v="BR001"/>
    <s v="P024"/>
    <s v="C0186"/>
    <n v="2"/>
    <n v="5"/>
    <n v="245000"/>
    <s v="Naija Mart Ikeja"/>
    <n v="465500"/>
    <s v="Generators &amp; Power"/>
    <x v="7"/>
  </r>
  <r>
    <s v="T00244"/>
    <d v="2025-06-02T00:00:00"/>
    <s v="BR004"/>
    <s v="P023"/>
    <s v="C0086"/>
    <n v="1"/>
    <n v="15"/>
    <n v="195000"/>
    <s v="Naija Mart Sabon Gari"/>
    <n v="165750"/>
    <s v="Generators &amp; Power"/>
    <x v="9"/>
  </r>
  <r>
    <s v="T00215"/>
    <d v="2025-08-28T00:00:00"/>
    <s v="BR003"/>
    <s v="P009"/>
    <s v="C0174"/>
    <n v="1"/>
    <n v="10"/>
    <n v="265000"/>
    <s v="Naija Mart GRA"/>
    <n v="238500"/>
    <s v="Home Appliances"/>
    <x v="6"/>
  </r>
  <r>
    <s v="T00999"/>
    <d v="2025-02-12T00:00:00"/>
    <s v="BR002"/>
    <s v="P025"/>
    <s v="C0080"/>
    <n v="3"/>
    <n v="0"/>
    <n v="175000"/>
    <s v="Naija Mart Wuse"/>
    <n v="525000"/>
    <s v="Generators &amp; Power"/>
    <x v="1"/>
  </r>
  <r>
    <s v="T00854"/>
    <d v="2025-12-27T00:00:00"/>
    <s v="BR002"/>
    <s v="P017"/>
    <s v="C0186"/>
    <n v="2"/>
    <n v="5"/>
    <n v="24000"/>
    <s v="Naija Mart Wuse"/>
    <n v="45600"/>
    <s v="Home Appliances"/>
    <x v="4"/>
  </r>
  <r>
    <s v="T00426"/>
    <d v="2025-03-04T00:00:00"/>
    <s v="BR002"/>
    <s v="P024"/>
    <s v="C0176"/>
    <n v="1"/>
    <n v="0"/>
    <n v="245000"/>
    <s v="Naija Mart Wuse"/>
    <n v="245000"/>
    <s v="Generators &amp; Power"/>
    <x v="7"/>
  </r>
  <r>
    <s v="T01229"/>
    <d v="2025-05-20T00:00:00"/>
    <s v="BR002"/>
    <s v="P001"/>
    <s v="C0067"/>
    <n v="1"/>
    <n v="0"/>
    <n v="185000"/>
    <s v="Naija Mart Wuse"/>
    <n v="185000"/>
    <s v="Electronics"/>
    <x v="3"/>
  </r>
  <r>
    <s v="T00227"/>
    <d v="2025-09-28T00:00:00"/>
    <s v="BR003"/>
    <s v="P025"/>
    <s v="C0061"/>
    <n v="3"/>
    <n v="5"/>
    <n v="175000"/>
    <s v="Naija Mart GRA"/>
    <n v="498750"/>
    <s v="Generators &amp; Power"/>
    <x v="2"/>
  </r>
  <r>
    <s v="T01141"/>
    <d v="2025-03-12T00:00:00"/>
    <s v="BR002"/>
    <s v="P011"/>
    <s v="C0154"/>
    <n v="1"/>
    <n v="20"/>
    <n v="74000"/>
    <s v="Naija Mart Wuse"/>
    <n v="59200"/>
    <s v="Home Appliances"/>
    <x v="7"/>
  </r>
  <r>
    <s v="T00001"/>
    <d v="2025-05-20T00:00:00"/>
    <s v="BR001"/>
    <s v="P021"/>
    <s v="C0074"/>
    <n v="5"/>
    <n v="0"/>
    <n v="6500"/>
    <s v="Naija Mart Ikeja"/>
    <n v="32500"/>
    <s v="Small Gadgets"/>
    <x v="3"/>
  </r>
  <r>
    <s v="T00402"/>
    <d v="2025-09-12T00:00:00"/>
    <s v="BR003"/>
    <s v="P002"/>
    <s v="C0180"/>
    <n v="1"/>
    <n v="10"/>
    <n v="320000"/>
    <s v="Naija Mart GRA"/>
    <n v="288000"/>
    <s v="Electronics"/>
    <x v="2"/>
  </r>
  <r>
    <s v="T00085"/>
    <d v="2025-02-08T00:00:00"/>
    <s v="BR002"/>
    <s v="P018"/>
    <s v="C0037"/>
    <n v="1"/>
    <n v="0"/>
    <n v="18000"/>
    <s v="Naija Mart Wuse"/>
    <n v="18000"/>
    <s v="Small Gadgets"/>
    <x v="1"/>
  </r>
  <r>
    <s v="T00163"/>
    <d v="2025-11-10T00:00:00"/>
    <s v="BR003"/>
    <s v="P008"/>
    <s v="C0151"/>
    <n v="3"/>
    <n v="0"/>
    <n v="410000"/>
    <s v="Naija Mart GRA"/>
    <n v="1230000"/>
    <s v="Home Appliances"/>
    <x v="0"/>
  </r>
  <r>
    <s v="T00115"/>
    <d v="2025-06-23T00:00:00"/>
    <s v="BR001"/>
    <s v="P001"/>
    <s v="C0106"/>
    <n v="1"/>
    <n v="0"/>
    <n v="185000"/>
    <s v="Naija Mart Ikeja"/>
    <n v="185000"/>
    <s v="Electronics"/>
    <x v="9"/>
  </r>
  <r>
    <s v="T00671"/>
    <d v="2025-08-28T00:00:00"/>
    <s v="BR003"/>
    <s v="P014"/>
    <s v="C0097"/>
    <n v="1"/>
    <n v="0"/>
    <n v="285000"/>
    <s v="Naija Mart GRA"/>
    <n v="285000"/>
    <s v="Home Appliances"/>
    <x v="6"/>
  </r>
  <r>
    <s v="T01070"/>
    <d v="2025-12-13T00:00:00"/>
    <s v="BR002"/>
    <s v="P010"/>
    <s v="C0076"/>
    <n v="1"/>
    <n v="25"/>
    <n v="62000"/>
    <s v="Naija Mart Wuse"/>
    <n v="46500"/>
    <s v="Home Appliances"/>
    <x v="4"/>
  </r>
  <r>
    <s v="T00890"/>
    <d v="2025-08-02T00:00:00"/>
    <s v="BR002"/>
    <s v="P014"/>
    <s v="C0090"/>
    <n v="2"/>
    <n v="10"/>
    <n v="285000"/>
    <s v="Naija Mart Wuse"/>
    <n v="513000"/>
    <s v="Home Appliances"/>
    <x v="6"/>
  </r>
  <r>
    <s v="T00626"/>
    <d v="2025-10-09T00:00:00"/>
    <s v="BR001"/>
    <s v="P020"/>
    <s v="C0176"/>
    <n v="1"/>
    <n v="0"/>
    <n v="8500"/>
    <s v="Naija Mart Ikeja"/>
    <n v="8500"/>
    <s v="Small Gadgets"/>
    <x v="8"/>
  </r>
  <r>
    <s v="T00953"/>
    <d v="2025-08-11T00:00:00"/>
    <s v="BR004"/>
    <s v="P023"/>
    <s v="C0014"/>
    <n v="1"/>
    <n v="10"/>
    <n v="195000"/>
    <s v="Naija Mart Sabon Gari"/>
    <n v="175500"/>
    <s v="Generators &amp; Power"/>
    <x v="6"/>
  </r>
  <r>
    <s v="T00808"/>
    <d v="2025-12-14T00:00:00"/>
    <s v="BR004"/>
    <s v="P002"/>
    <s v="C0168"/>
    <n v="1"/>
    <n v="15"/>
    <n v="320000"/>
    <s v="Naija Mart Sabon Gari"/>
    <n v="272000"/>
    <s v="Electronics"/>
    <x v="4"/>
  </r>
  <r>
    <s v="T00259"/>
    <d v="2025-01-06T00:00:00"/>
    <s v="BR003"/>
    <s v="P015"/>
    <s v="C0065"/>
    <n v="1"/>
    <n v="15"/>
    <n v="15000"/>
    <s v="Naija Mart GRA"/>
    <n v="12750"/>
    <s v="Home Appliances"/>
    <x v="11"/>
  </r>
  <r>
    <s v="T00625"/>
    <d v="2025-12-05T00:00:00"/>
    <s v="BR001"/>
    <s v="P016"/>
    <s v="C0007"/>
    <n v="1"/>
    <n v="10"/>
    <n v="19500"/>
    <s v="Naija Mart Ikeja"/>
    <n v="17550"/>
    <s v="Home Appliances"/>
    <x v="4"/>
  </r>
  <r>
    <s v="T00827"/>
    <d v="2025-11-09T00:00:00"/>
    <s v="BR003"/>
    <s v="P004"/>
    <s v="C0017"/>
    <n v="1"/>
    <n v="0"/>
    <n v="38000"/>
    <s v="Naija Mart GRA"/>
    <n v="38000"/>
    <s v="Electronics"/>
    <x v="0"/>
  </r>
  <r>
    <s v="T00235"/>
    <d v="2025-10-05T00:00:00"/>
    <s v="BR003"/>
    <s v="P024"/>
    <s v="C0169"/>
    <n v="1"/>
    <n v="15"/>
    <n v="245000"/>
    <s v="Naija Mart GRA"/>
    <n v="208250"/>
    <s v="Generators &amp; Power"/>
    <x v="8"/>
  </r>
  <r>
    <s v="T00136"/>
    <d v="2025-05-18T00:00:00"/>
    <s v="BR001"/>
    <s v="P015"/>
    <s v="C0149"/>
    <n v="2"/>
    <n v="0"/>
    <n v="15000"/>
    <s v="Naija Mart Ikeja"/>
    <n v="30000"/>
    <s v="Home Appliances"/>
    <x v="3"/>
  </r>
  <r>
    <s v="T00617"/>
    <d v="2025-08-12T00:00:00"/>
    <s v="BR001"/>
    <s v="P004"/>
    <s v="C0016"/>
    <n v="1"/>
    <n v="20"/>
    <n v="38000"/>
    <s v="Naija Mart Ikeja"/>
    <n v="30400"/>
    <s v="Electronics"/>
    <x v="6"/>
  </r>
  <r>
    <s v="T00837"/>
    <d v="2025-08-15T00:00:00"/>
    <s v="BR002"/>
    <s v="P018"/>
    <s v="C0185"/>
    <n v="3"/>
    <n v="15"/>
    <n v="18000"/>
    <s v="Naija Mart Wuse"/>
    <n v="45900"/>
    <s v="Small Gadgets"/>
    <x v="6"/>
  </r>
  <r>
    <s v="T00843"/>
    <d v="2025-08-09T00:00:00"/>
    <s v="BR001"/>
    <s v="P021"/>
    <s v="C0133"/>
    <n v="1"/>
    <n v="5"/>
    <n v="6500"/>
    <s v="Naija Mart Ikeja"/>
    <n v="6175"/>
    <s v="Small Gadgets"/>
    <x v="6"/>
  </r>
  <r>
    <s v="T00960"/>
    <d v="2025-11-18T00:00:00"/>
    <s v="BR004"/>
    <s v="P009"/>
    <s v="C0049"/>
    <n v="1"/>
    <n v="20"/>
    <n v="265000"/>
    <s v="Naija Mart Sabon Gari"/>
    <n v="212000"/>
    <s v="Home Appliances"/>
    <x v="0"/>
  </r>
  <r>
    <s v="T00593"/>
    <d v="2025-03-10T00:00:00"/>
    <s v="BR003"/>
    <s v="P024"/>
    <s v="C0180"/>
    <n v="1"/>
    <n v="0"/>
    <n v="245000"/>
    <s v="Naija Mart GRA"/>
    <n v="245000"/>
    <s v="Generators &amp; Power"/>
    <x v="7"/>
  </r>
  <r>
    <s v="T00344"/>
    <d v="2025-06-24T00:00:00"/>
    <s v="BR001"/>
    <s v="P025"/>
    <s v="C0138"/>
    <n v="1"/>
    <n v="10"/>
    <n v="175000"/>
    <s v="Naija Mart Ikeja"/>
    <n v="157500"/>
    <s v="Generators &amp; Power"/>
    <x v="9"/>
  </r>
  <r>
    <s v="T01154"/>
    <d v="2025-12-15T00:00:00"/>
    <s v="BR001"/>
    <s v="P021"/>
    <s v="C0099"/>
    <n v="1"/>
    <n v="5"/>
    <n v="6500"/>
    <s v="Naija Mart Ikeja"/>
    <n v="6175"/>
    <s v="Small Gadgets"/>
    <x v="4"/>
  </r>
  <r>
    <s v="T00294"/>
    <d v="2025-05-24T00:00:00"/>
    <s v="BR004"/>
    <s v="P007"/>
    <s v="C0212"/>
    <n v="1"/>
    <n v="10"/>
    <n v="145000"/>
    <s v="Naija Mart Sabon Gari"/>
    <n v="130500"/>
    <s v="Electronics"/>
    <x v="3"/>
  </r>
  <r>
    <s v="T00365"/>
    <d v="2025-08-11T00:00:00"/>
    <s v="BR002"/>
    <s v="P009"/>
    <s v="C0075"/>
    <n v="1"/>
    <n v="25"/>
    <n v="265000"/>
    <s v="Naija Mart Wuse"/>
    <n v="198750"/>
    <s v="Home Appliances"/>
    <x v="6"/>
  </r>
  <r>
    <s v="T00179"/>
    <d v="2025-02-13T00:00:00"/>
    <s v="BR001"/>
    <s v="P017"/>
    <s v="C0112"/>
    <n v="1"/>
    <n v="0"/>
    <n v="24000"/>
    <s v="Naija Mart Ikeja"/>
    <n v="24000"/>
    <s v="Home Appliances"/>
    <x v="1"/>
  </r>
  <r>
    <s v="T00660"/>
    <d v="2025-06-08T00:00:00"/>
    <s v="BR004"/>
    <s v="P012"/>
    <s v="C0071"/>
    <n v="1"/>
    <n v="0"/>
    <n v="28000"/>
    <s v="Naija Mart Sabon Gari"/>
    <n v="28000"/>
    <s v="Home Appliances"/>
    <x v="9"/>
  </r>
  <r>
    <s v="T00997"/>
    <d v="2025-10-03T00:00:00"/>
    <s v="BR001"/>
    <s v="P018"/>
    <s v="C0037"/>
    <n v="1"/>
    <n v="0"/>
    <n v="18000"/>
    <s v="Naija Mart Ikeja"/>
    <n v="18000"/>
    <s v="Small Gadgets"/>
    <x v="8"/>
  </r>
  <r>
    <s v="T00015"/>
    <d v="2025-08-21T00:00:00"/>
    <s v="BR002"/>
    <s v="P021"/>
    <s v="C0153"/>
    <n v="1"/>
    <n v="0"/>
    <n v="6500"/>
    <s v="Naija Mart Wuse"/>
    <n v="6500"/>
    <s v="Small Gadgets"/>
    <x v="6"/>
  </r>
  <r>
    <s v="T00166"/>
    <d v="2025-11-11T00:00:00"/>
    <s v="BR002"/>
    <s v="P006"/>
    <s v="C0047"/>
    <n v="2"/>
    <n v="0"/>
    <n v="78000"/>
    <s v="Naija Mart Wuse"/>
    <n v="156000"/>
    <s v="Electronics"/>
    <x v="0"/>
  </r>
  <r>
    <s v="T00060"/>
    <d v="2025-01-25T00:00:00"/>
    <s v="BR004"/>
    <s v="P019"/>
    <s v="C0189"/>
    <n v="3"/>
    <n v="0"/>
    <n v="21000"/>
    <s v="Naija Mart Sabon Gari"/>
    <n v="63000"/>
    <s v="Small Gadgets"/>
    <x v="11"/>
  </r>
  <r>
    <s v="T00710"/>
    <d v="2025-03-20T00:00:00"/>
    <s v="BR003"/>
    <s v="P006"/>
    <s v="C0208"/>
    <n v="1"/>
    <n v="0"/>
    <n v="78000"/>
    <s v="Naija Mart GRA"/>
    <n v="78000"/>
    <s v="Electronics"/>
    <x v="7"/>
  </r>
  <r>
    <s v="T00677"/>
    <d v="2025-03-12T00:00:00"/>
    <s v="BR001"/>
    <s v="P024"/>
    <s v="C0196"/>
    <n v="1"/>
    <n v="20"/>
    <n v="245000"/>
    <s v="Naija Mart Ikeja"/>
    <n v="196000"/>
    <s v="Generators &amp; Power"/>
    <x v="7"/>
  </r>
  <r>
    <s v="T00781"/>
    <d v="2025-10-28T00:00:00"/>
    <s v="BR002"/>
    <s v="P008"/>
    <s v="C0118"/>
    <n v="1"/>
    <n v="0"/>
    <n v="410000"/>
    <s v="Naija Mart Wuse"/>
    <n v="410000"/>
    <s v="Home Appliances"/>
    <x v="8"/>
  </r>
  <r>
    <s v="T00425"/>
    <d v="2025-07-01T00:00:00"/>
    <s v="BR002"/>
    <s v="P008"/>
    <s v="C0019"/>
    <n v="1"/>
    <n v="15"/>
    <n v="410000"/>
    <s v="Naija Mart Wuse"/>
    <n v="348500"/>
    <s v="Home Appliances"/>
    <x v="10"/>
  </r>
  <r>
    <s v="T00293"/>
    <d v="2025-02-20T00:00:00"/>
    <s v="BR003"/>
    <s v="P021"/>
    <s v="C0021"/>
    <n v="1"/>
    <n v="15"/>
    <n v="6500"/>
    <s v="Naija Mart GRA"/>
    <n v="5525"/>
    <s v="Small Gadgets"/>
    <x v="1"/>
  </r>
  <r>
    <s v="T01066"/>
    <d v="2025-08-06T00:00:00"/>
    <s v="BR002"/>
    <s v="P018"/>
    <s v="C0143"/>
    <n v="1"/>
    <n v="15"/>
    <n v="18000"/>
    <s v="Naija Mart Wuse"/>
    <n v="15300"/>
    <s v="Small Gadgets"/>
    <x v="6"/>
  </r>
  <r>
    <s v="T01250"/>
    <d v="2025-05-13T00:00:00"/>
    <s v="BR001"/>
    <s v="P006"/>
    <s v="C0140"/>
    <n v="1"/>
    <n v="5"/>
    <n v="78000"/>
    <s v="Naija Mart Ikeja"/>
    <n v="74100"/>
    <s v="Electronics"/>
    <x v="3"/>
  </r>
  <r>
    <s v="T00330"/>
    <d v="2025-09-02T00:00:00"/>
    <s v="BR001"/>
    <s v="P019"/>
    <s v="C0083"/>
    <n v="1"/>
    <n v="0"/>
    <n v="21000"/>
    <s v="Naija Mart Ikeja"/>
    <n v="21000"/>
    <s v="Small Gadgets"/>
    <x v="2"/>
  </r>
  <r>
    <s v="T00430"/>
    <d v="2025-07-06T00:00:00"/>
    <s v="BR001"/>
    <s v="P018"/>
    <s v="C0180"/>
    <n v="1"/>
    <n v="0"/>
    <n v="18000"/>
    <s v="Naija Mart Ikeja"/>
    <n v="18000"/>
    <s v="Small Gadgets"/>
    <x v="10"/>
  </r>
  <r>
    <s v="T01013"/>
    <d v="2025-02-21T00:00:00"/>
    <s v="BR001"/>
    <s v="P019"/>
    <s v="C0173"/>
    <n v="1"/>
    <n v="0"/>
    <n v="21000"/>
    <s v="Naija Mart Ikeja"/>
    <n v="21000"/>
    <s v="Small Gadgets"/>
    <x v="1"/>
  </r>
  <r>
    <s v="T00080"/>
    <d v="2025-01-23T00:00:00"/>
    <s v="BR001"/>
    <s v="P007"/>
    <s v="C0039"/>
    <n v="1"/>
    <n v="10"/>
    <n v="145000"/>
    <s v="Naija Mart Ikeja"/>
    <n v="130500"/>
    <s v="Electronics"/>
    <x v="11"/>
  </r>
  <r>
    <s v="T01053"/>
    <d v="2025-02-13T00:00:00"/>
    <s v="BR003"/>
    <s v="P023"/>
    <s v="C0099"/>
    <n v="1"/>
    <n v="5"/>
    <n v="195000"/>
    <s v="Naija Mart GRA"/>
    <n v="185250"/>
    <s v="Generators &amp; Power"/>
    <x v="1"/>
  </r>
  <r>
    <s v="T00938"/>
    <d v="2025-12-21T00:00:00"/>
    <s v="BR001"/>
    <s v="P016"/>
    <s v="C0214"/>
    <n v="2"/>
    <n v="10"/>
    <n v="19500"/>
    <s v="Naija Mart Ikeja"/>
    <n v="35100"/>
    <s v="Home Appliances"/>
    <x v="4"/>
  </r>
  <r>
    <s v="T00835"/>
    <d v="2025-04-26T00:00:00"/>
    <s v="BR001"/>
    <s v="P017"/>
    <s v="C0005"/>
    <n v="1"/>
    <n v="0"/>
    <n v="24000"/>
    <s v="Naija Mart Ikeja"/>
    <n v="24000"/>
    <s v="Home Appliances"/>
    <x v="5"/>
  </r>
  <r>
    <s v="T00750"/>
    <d v="2025-07-23T00:00:00"/>
    <s v="BR004"/>
    <s v="P025"/>
    <s v="C0073"/>
    <n v="1"/>
    <n v="0"/>
    <n v="175000"/>
    <s v="Naija Mart Sabon Gari"/>
    <n v="175000"/>
    <s v="Generators &amp; Power"/>
    <x v="10"/>
  </r>
  <r>
    <s v="T00891"/>
    <d v="2025-11-27T00:00:00"/>
    <s v="BR002"/>
    <s v="P012"/>
    <s v="C0029"/>
    <n v="1"/>
    <n v="5"/>
    <n v="28000"/>
    <s v="Naija Mart Wuse"/>
    <n v="26600"/>
    <s v="Home Appliances"/>
    <x v="0"/>
  </r>
  <r>
    <s v="T00255"/>
    <d v="2025-11-21T00:00:00"/>
    <s v="BR002"/>
    <s v="P008"/>
    <s v="C0199"/>
    <n v="1"/>
    <n v="5"/>
    <n v="410000"/>
    <s v="Naija Mart Wuse"/>
    <n v="389500"/>
    <s v="Home Appliances"/>
    <x v="0"/>
  </r>
  <r>
    <s v="T01369"/>
    <d v="2025-04-22T00:00:00"/>
    <s v="BR004"/>
    <s v="P022"/>
    <s v="C0085"/>
    <n v="1"/>
    <n v="5"/>
    <n v="5200"/>
    <s v="Naija Mart Sabon Gari"/>
    <n v="4940"/>
    <s v="Small Gadgets"/>
    <x v="5"/>
  </r>
  <r>
    <s v="T00137"/>
    <d v="2025-05-06T00:00:00"/>
    <s v="BR001"/>
    <s v="P014"/>
    <s v="C0119"/>
    <n v="2"/>
    <n v="0"/>
    <n v="285000"/>
    <s v="Naija Mart Ikeja"/>
    <n v="570000"/>
    <s v="Home Appliances"/>
    <x v="3"/>
  </r>
  <r>
    <s v="T00853"/>
    <d v="2025-10-12T00:00:00"/>
    <s v="BR002"/>
    <s v="P001"/>
    <s v="C0171"/>
    <n v="2"/>
    <n v="20"/>
    <n v="185000"/>
    <s v="Naija Mart Wuse"/>
    <n v="296000"/>
    <s v="Electronics"/>
    <x v="8"/>
  </r>
  <r>
    <s v="T00724"/>
    <d v="2025-11-17T00:00:00"/>
    <s v="BR004"/>
    <s v="P022"/>
    <s v="C0165"/>
    <n v="2"/>
    <n v="5"/>
    <n v="5200"/>
    <s v="Naija Mart Sabon Gari"/>
    <n v="9880"/>
    <s v="Small Gadgets"/>
    <x v="0"/>
  </r>
  <r>
    <s v="T00860"/>
    <d v="2025-10-06T00:00:00"/>
    <s v="BR002"/>
    <s v="P013"/>
    <s v="C0202"/>
    <n v="1"/>
    <n v="25"/>
    <n v="22000"/>
    <s v="Naija Mart Wuse"/>
    <n v="16500"/>
    <s v="Home Appliances"/>
    <x v="8"/>
  </r>
  <r>
    <s v="T00970"/>
    <d v="2025-09-10T00:00:00"/>
    <s v="BR001"/>
    <s v="P021"/>
    <s v="C0053"/>
    <n v="3"/>
    <n v="0"/>
    <n v="6500"/>
    <s v="Naija Mart Ikeja"/>
    <n v="19500"/>
    <s v="Small Gadgets"/>
    <x v="2"/>
  </r>
  <r>
    <s v="T00497"/>
    <d v="2025-04-01T00:00:00"/>
    <s v="BR001"/>
    <s v="P020"/>
    <s v="C0016"/>
    <n v="1"/>
    <n v="0"/>
    <n v="8500"/>
    <s v="Naija Mart Ikeja"/>
    <n v="8500"/>
    <s v="Small Gadgets"/>
    <x v="5"/>
  </r>
  <r>
    <s v="T00951"/>
    <d v="2025-11-14T00:00:00"/>
    <s v="BR003"/>
    <s v="P012"/>
    <s v="C0140"/>
    <n v="1"/>
    <n v="10"/>
    <n v="28000"/>
    <s v="Naija Mart GRA"/>
    <n v="25200"/>
    <s v="Home Appliances"/>
    <x v="0"/>
  </r>
  <r>
    <s v="T00806"/>
    <d v="2025-09-21T00:00:00"/>
    <s v="BR003"/>
    <s v="P006"/>
    <s v="C0218"/>
    <n v="2"/>
    <n v="0"/>
    <n v="78000"/>
    <s v="Naija Mart GRA"/>
    <n v="156000"/>
    <s v="Electronics"/>
    <x v="2"/>
  </r>
  <r>
    <s v="T00130"/>
    <d v="2025-03-17T00:00:00"/>
    <s v="BR003"/>
    <s v="P021"/>
    <s v="C0198"/>
    <n v="1"/>
    <n v="10"/>
    <n v="6500"/>
    <s v="Naija Mart GRA"/>
    <n v="5850"/>
    <s v="Small Gadgets"/>
    <x v="7"/>
  </r>
  <r>
    <s v="T00338"/>
    <d v="2025-11-03T00:00:00"/>
    <s v="BR001"/>
    <s v="P003"/>
    <s v="C0219"/>
    <n v="1"/>
    <n v="20"/>
    <n v="45000"/>
    <s v="Naija Mart Ikeja"/>
    <n v="36000"/>
    <s v="Electronics"/>
    <x v="0"/>
  </r>
  <r>
    <s v="T01396"/>
    <d v="2025-07-15T00:00:00"/>
    <s v="BR001"/>
    <s v="P016"/>
    <s v="C0194"/>
    <n v="3"/>
    <n v="10"/>
    <n v="19500"/>
    <s v="Naija Mart Ikeja"/>
    <n v="52650"/>
    <s v="Home Appliances"/>
    <x v="10"/>
  </r>
  <r>
    <s v="T00609"/>
    <d v="2025-12-12T00:00:00"/>
    <s v="BR001"/>
    <s v="P002"/>
    <s v="C0212"/>
    <n v="1"/>
    <n v="5"/>
    <n v="320000"/>
    <s v="Naija Mart Ikeja"/>
    <n v="304000"/>
    <s v="Electronics"/>
    <x v="4"/>
  </r>
  <r>
    <s v="T00196"/>
    <d v="2025-03-14T00:00:00"/>
    <s v="BR001"/>
    <s v="P016"/>
    <s v="C0049"/>
    <n v="1"/>
    <n v="0"/>
    <n v="19500"/>
    <s v="Naija Mart Ikeja"/>
    <n v="19500"/>
    <s v="Home Appliances"/>
    <x v="7"/>
  </r>
  <r>
    <s v="T00910"/>
    <d v="2025-02-05T00:00:00"/>
    <s v="BR004"/>
    <s v="P015"/>
    <s v="C0085"/>
    <n v="1"/>
    <n v="20"/>
    <n v="15000"/>
    <s v="Naija Mart Sabon Gari"/>
    <n v="12000"/>
    <s v="Home Appliances"/>
    <x v="1"/>
  </r>
  <r>
    <s v="T00585"/>
    <d v="2025-05-15T00:00:00"/>
    <s v="BR002"/>
    <s v="P016"/>
    <s v="C0190"/>
    <n v="1"/>
    <n v="25"/>
    <n v="19500"/>
    <s v="Naija Mart Wuse"/>
    <n v="14625"/>
    <s v="Home Appliances"/>
    <x v="3"/>
  </r>
  <r>
    <s v="T00104"/>
    <d v="2025-02-10T00:00:00"/>
    <s v="BR001"/>
    <s v="P012"/>
    <s v="C0074"/>
    <n v="3"/>
    <n v="0"/>
    <n v="28000"/>
    <s v="Naija Mart Ikeja"/>
    <n v="84000"/>
    <s v="Home Appliances"/>
    <x v="1"/>
  </r>
  <r>
    <s v="T01293"/>
    <d v="2025-07-03T00:00:00"/>
    <s v="BR001"/>
    <s v="P017"/>
    <s v="C0057"/>
    <n v="1"/>
    <n v="5"/>
    <n v="24000"/>
    <s v="Naija Mart Ikeja"/>
    <n v="22800"/>
    <s v="Home Appliances"/>
    <x v="10"/>
  </r>
  <r>
    <s v="T01307"/>
    <d v="2025-05-02T00:00:00"/>
    <s v="BR004"/>
    <s v="P011"/>
    <s v="C0212"/>
    <n v="1"/>
    <n v="0"/>
    <n v="74000"/>
    <s v="Naija Mart Sabon Gari"/>
    <n v="74000"/>
    <s v="Home Appliances"/>
    <x v="3"/>
  </r>
  <r>
    <s v="T00720"/>
    <d v="2025-08-26T00:00:00"/>
    <s v="BR001"/>
    <s v="P001"/>
    <s v="C0016"/>
    <n v="1"/>
    <n v="0"/>
    <n v="185000"/>
    <s v="Naija Mart Ikeja"/>
    <n v="185000"/>
    <s v="Electronics"/>
    <x v="6"/>
  </r>
  <r>
    <s v="T00885"/>
    <d v="2025-03-15T00:00:00"/>
    <s v="BR001"/>
    <s v="P018"/>
    <s v="C0116"/>
    <n v="1"/>
    <n v="20"/>
    <n v="18000"/>
    <s v="Naija Mart Ikeja"/>
    <n v="14400"/>
    <s v="Small Gadgets"/>
    <x v="7"/>
  </r>
  <r>
    <s v="T00777"/>
    <d v="2025-01-24T00:00:00"/>
    <s v="BR001"/>
    <s v="P021"/>
    <s v="C0141"/>
    <n v="1"/>
    <n v="0"/>
    <n v="6500"/>
    <s v="Naija Mart Ikeja"/>
    <n v="6500"/>
    <s v="Small Gadgets"/>
    <x v="11"/>
  </r>
  <r>
    <s v="T00850"/>
    <d v="2025-04-15T00:00:00"/>
    <s v="BR003"/>
    <s v="P011"/>
    <s v="C0124"/>
    <n v="1"/>
    <n v="0"/>
    <n v="74000"/>
    <s v="Naija Mart GRA"/>
    <n v="74000"/>
    <s v="Home Appliances"/>
    <x v="5"/>
  </r>
  <r>
    <s v="T00895"/>
    <d v="2025-02-01T00:00:00"/>
    <s v="BR002"/>
    <s v="P017"/>
    <s v="C0086"/>
    <n v="1"/>
    <n v="0"/>
    <n v="24000"/>
    <s v="Naija Mart Wuse"/>
    <n v="24000"/>
    <s v="Home Appliances"/>
    <x v="1"/>
  </r>
  <r>
    <s v="T00228"/>
    <d v="2025-04-05T00:00:00"/>
    <s v="BR001"/>
    <s v="P006"/>
    <s v="C0130"/>
    <n v="1"/>
    <n v="10"/>
    <n v="78000"/>
    <s v="Naija Mart Ikeja"/>
    <n v="70200"/>
    <s v="Electronics"/>
    <x v="5"/>
  </r>
  <r>
    <s v="T01317"/>
    <d v="2025-02-09T00:00:00"/>
    <s v="BR001"/>
    <s v="P007"/>
    <s v="C0165"/>
    <n v="2"/>
    <n v="5"/>
    <n v="145000"/>
    <s v="Naija Mart Ikeja"/>
    <n v="275500"/>
    <s v="Electronics"/>
    <x v="1"/>
  </r>
  <r>
    <s v="T00127"/>
    <d v="2025-05-05T00:00:00"/>
    <s v="BR002"/>
    <s v="P003"/>
    <s v="C0100"/>
    <n v="2"/>
    <n v="10"/>
    <n v="45000"/>
    <s v="Naija Mart Wuse"/>
    <n v="81000"/>
    <s v="Electronics"/>
    <x v="3"/>
  </r>
  <r>
    <s v="T00406"/>
    <d v="2025-03-15T00:00:00"/>
    <s v="BR002"/>
    <s v="P005"/>
    <s v="C0003"/>
    <n v="1"/>
    <n v="0"/>
    <n v="95000"/>
    <s v="Naija Mart Wuse"/>
    <n v="95000"/>
    <s v="Electronics"/>
    <x v="7"/>
  </r>
  <r>
    <s v="T00776"/>
    <d v="2025-10-12T00:00:00"/>
    <s v="BR001"/>
    <s v="P015"/>
    <s v="C0082"/>
    <n v="1"/>
    <n v="10"/>
    <n v="15000"/>
    <s v="Naija Mart Ikeja"/>
    <n v="13500"/>
    <s v="Home Appliances"/>
    <x v="8"/>
  </r>
  <r>
    <s v="T00822"/>
    <d v="2025-04-25T00:00:00"/>
    <s v="BR001"/>
    <s v="P015"/>
    <s v="C0101"/>
    <n v="1"/>
    <n v="20"/>
    <n v="15000"/>
    <s v="Naija Mart Ikeja"/>
    <n v="12000"/>
    <s v="Home Appliances"/>
    <x v="5"/>
  </r>
  <r>
    <s v="T00712"/>
    <d v="2025-12-28T00:00:00"/>
    <s v="BR004"/>
    <s v="P019"/>
    <s v="C0092"/>
    <n v="1"/>
    <n v="10"/>
    <n v="21000"/>
    <s v="Naija Mart Sabon Gari"/>
    <n v="18900"/>
    <s v="Small Gadgets"/>
    <x v="4"/>
  </r>
  <r>
    <s v="T01321"/>
    <d v="2025-11-17T00:00:00"/>
    <s v="BR001"/>
    <s v="P009"/>
    <s v="C0179"/>
    <n v="1"/>
    <n v="5"/>
    <n v="265000"/>
    <s v="Naija Mart Ikeja"/>
    <n v="251750"/>
    <s v="Home Appliances"/>
    <x v="0"/>
  </r>
  <r>
    <s v="T01061"/>
    <d v="2025-08-26T00:00:00"/>
    <s v="BR001"/>
    <s v="P013"/>
    <s v="C0034"/>
    <n v="1"/>
    <n v="10"/>
    <n v="22000"/>
    <s v="Naija Mart Ikeja"/>
    <n v="19800"/>
    <s v="Home Appliances"/>
    <x v="6"/>
  </r>
  <r>
    <s v="T00304"/>
    <d v="2025-02-20T00:00:00"/>
    <s v="BR001"/>
    <s v="P010"/>
    <s v="C0135"/>
    <n v="1"/>
    <n v="0"/>
    <n v="62000"/>
    <s v="Naija Mart Ikeja"/>
    <n v="62000"/>
    <s v="Home Appliances"/>
    <x v="1"/>
  </r>
  <r>
    <s v="T00268"/>
    <d v="2025-04-19T00:00:00"/>
    <s v="BR002"/>
    <s v="P006"/>
    <s v="C0096"/>
    <n v="1"/>
    <n v="0"/>
    <n v="78000"/>
    <s v="Naija Mart Wuse"/>
    <n v="78000"/>
    <s v="Electronics"/>
    <x v="5"/>
  </r>
  <r>
    <s v="T00546"/>
    <d v="2025-04-11T00:00:00"/>
    <s v="BR001"/>
    <s v="P024"/>
    <s v="C0206"/>
    <n v="1"/>
    <n v="10"/>
    <n v="245000"/>
    <s v="Naija Mart Ikeja"/>
    <n v="220500"/>
    <s v="Generators &amp; Power"/>
    <x v="5"/>
  </r>
  <r>
    <s v="T00213"/>
    <d v="2025-09-25T00:00:00"/>
    <s v="BR003"/>
    <s v="P016"/>
    <s v="C0088"/>
    <n v="2"/>
    <n v="20"/>
    <n v="19500"/>
    <s v="Naija Mart GRA"/>
    <n v="31200"/>
    <s v="Home Appliances"/>
    <x v="2"/>
  </r>
  <r>
    <s v="T00897"/>
    <d v="2025-01-17T00:00:00"/>
    <s v="BR001"/>
    <s v="P017"/>
    <s v="C0120"/>
    <n v="1"/>
    <n v="10"/>
    <n v="24000"/>
    <s v="Naija Mart Ikeja"/>
    <n v="21600"/>
    <s v="Home Appliances"/>
    <x v="11"/>
  </r>
  <r>
    <s v="T00917"/>
    <d v="2025-05-25T00:00:00"/>
    <s v="BR002"/>
    <s v="P020"/>
    <s v="C0173"/>
    <n v="2"/>
    <n v="0"/>
    <n v="8500"/>
    <s v="Naija Mart Wuse"/>
    <n v="17000"/>
    <s v="Small Gadgets"/>
    <x v="3"/>
  </r>
  <r>
    <s v="T00676"/>
    <d v="2025-11-11T00:00:00"/>
    <s v="BR002"/>
    <s v="P018"/>
    <s v="C0139"/>
    <n v="1"/>
    <n v="0"/>
    <n v="18000"/>
    <s v="Naija Mart Wuse"/>
    <n v="18000"/>
    <s v="Small Gadgets"/>
    <x v="0"/>
  </r>
  <r>
    <s v="T00815"/>
    <d v="2025-09-16T00:00:00"/>
    <s v="BR002"/>
    <s v="P018"/>
    <s v="C0097"/>
    <n v="5"/>
    <n v="0"/>
    <n v="18000"/>
    <s v="Naija Mart Wuse"/>
    <n v="90000"/>
    <s v="Small Gadgets"/>
    <x v="2"/>
  </r>
  <r>
    <s v="T00343"/>
    <d v="2025-12-28T00:00:00"/>
    <s v="BR002"/>
    <s v="P007"/>
    <s v="C0085"/>
    <n v="1"/>
    <n v="10"/>
    <n v="145000"/>
    <s v="Naija Mart Wuse"/>
    <n v="130500"/>
    <s v="Electronics"/>
    <x v="4"/>
  </r>
  <r>
    <s v="T00550"/>
    <d v="2025-11-16T00:00:00"/>
    <s v="BR003"/>
    <s v="P005"/>
    <s v="C0080"/>
    <n v="1"/>
    <n v="0"/>
    <n v="95000"/>
    <s v="Naija Mart GRA"/>
    <n v="95000"/>
    <s v="Electronics"/>
    <x v="0"/>
  </r>
  <r>
    <s v="T00967"/>
    <d v="2025-02-12T00:00:00"/>
    <s v="BR003"/>
    <s v="P001"/>
    <s v="C0146"/>
    <n v="3"/>
    <n v="10"/>
    <n v="185000"/>
    <s v="Naija Mart GRA"/>
    <n v="499500"/>
    <s v="Electronics"/>
    <x v="1"/>
  </r>
  <r>
    <s v="T00296"/>
    <d v="2025-06-27T00:00:00"/>
    <s v="BR002"/>
    <s v="P018"/>
    <s v="C0038"/>
    <n v="1"/>
    <n v="10"/>
    <n v="18000"/>
    <s v="Naija Mart Wuse"/>
    <n v="16200"/>
    <s v="Small Gadgets"/>
    <x v="9"/>
  </r>
  <r>
    <s v="T00696"/>
    <d v="2025-12-21T00:00:00"/>
    <s v="BR003"/>
    <s v="P002"/>
    <s v="C0121"/>
    <n v="2"/>
    <n v="10"/>
    <n v="320000"/>
    <s v="Naija Mart GRA"/>
    <n v="576000"/>
    <s v="Electronics"/>
    <x v="4"/>
  </r>
  <r>
    <s v="T00074"/>
    <d v="2025-06-22T00:00:00"/>
    <s v="BR002"/>
    <s v="P013"/>
    <s v="C0017"/>
    <n v="3"/>
    <n v="10"/>
    <n v="22000"/>
    <s v="Naija Mart Wuse"/>
    <n v="59400"/>
    <s v="Home Appliances"/>
    <x v="9"/>
  </r>
  <r>
    <s v="T00606"/>
    <d v="2025-08-25T00:00:00"/>
    <s v="BR002"/>
    <s v="P019"/>
    <s v="C0091"/>
    <n v="1"/>
    <n v="0"/>
    <n v="21000"/>
    <s v="Naija Mart Wuse"/>
    <n v="21000"/>
    <s v="Small Gadgets"/>
    <x v="6"/>
  </r>
  <r>
    <s v="T00105"/>
    <d v="2025-07-06T00:00:00"/>
    <s v="BR003"/>
    <s v="P005"/>
    <s v="C0148"/>
    <n v="1"/>
    <n v="0"/>
    <n v="95000"/>
    <s v="Naija Mart GRA"/>
    <n v="95000"/>
    <s v="Electronics"/>
    <x v="10"/>
  </r>
  <r>
    <s v="T00646"/>
    <d v="2025-07-15T00:00:00"/>
    <s v="BR001"/>
    <s v="P019"/>
    <s v="C0068"/>
    <n v="2"/>
    <n v="0"/>
    <n v="21000"/>
    <s v="Naija Mart Ikeja"/>
    <n v="42000"/>
    <s v="Small Gadgets"/>
    <x v="10"/>
  </r>
  <r>
    <s v="T00755"/>
    <d v="2025-08-07T00:00:00"/>
    <s v="BR001"/>
    <s v="P001"/>
    <s v="C0116"/>
    <n v="3"/>
    <n v="5"/>
    <n v="185000"/>
    <s v="Naija Mart Ikeja"/>
    <n v="527250"/>
    <s v="Electronics"/>
    <x v="6"/>
  </r>
  <r>
    <s v="T01041"/>
    <d v="2025-09-14T00:00:00"/>
    <s v="BR003"/>
    <s v="P014"/>
    <s v="C0152"/>
    <n v="2"/>
    <n v="10"/>
    <n v="285000"/>
    <s v="Naija Mart GRA"/>
    <n v="513000"/>
    <s v="Home Appliances"/>
    <x v="2"/>
  </r>
  <r>
    <s v="T00440"/>
    <d v="2025-05-03T00:00:00"/>
    <s v="BR001"/>
    <s v="P013"/>
    <s v="C0037"/>
    <n v="2"/>
    <n v="0"/>
    <n v="22000"/>
    <s v="Naija Mart Ikeja"/>
    <n v="44000"/>
    <s v="Home Appliances"/>
    <x v="3"/>
  </r>
  <r>
    <s v="T01020"/>
    <d v="2025-11-03T00:00:00"/>
    <s v="BR004"/>
    <s v="P010"/>
    <s v="C0027"/>
    <n v="1"/>
    <n v="20"/>
    <n v="62000"/>
    <s v="Naija Mart Sabon Gari"/>
    <n v="49600"/>
    <s v="Home Appliances"/>
    <x v="0"/>
  </r>
  <r>
    <s v="T00092"/>
    <d v="2025-05-17T00:00:00"/>
    <s v="BR001"/>
    <s v="P003"/>
    <s v="C0153"/>
    <n v="1"/>
    <n v="0"/>
    <n v="45000"/>
    <s v="Naija Mart Ikeja"/>
    <n v="45000"/>
    <s v="Electronics"/>
    <x v="3"/>
  </r>
  <r>
    <s v="T01113"/>
    <d v="2025-04-22T00:00:00"/>
    <s v="BR002"/>
    <s v="P005"/>
    <s v="C0137"/>
    <n v="1"/>
    <n v="15"/>
    <n v="95000"/>
    <s v="Naija Mart Wuse"/>
    <n v="80750"/>
    <s v="Electronics"/>
    <x v="5"/>
  </r>
  <r>
    <s v="T01225"/>
    <d v="2025-06-16T00:00:00"/>
    <s v="BR001"/>
    <s v="P007"/>
    <s v="C0193"/>
    <n v="1"/>
    <n v="0"/>
    <n v="145000"/>
    <s v="Naija Mart Ikeja"/>
    <n v="145000"/>
    <s v="Electronics"/>
    <x v="9"/>
  </r>
  <r>
    <s v="T00909"/>
    <d v="2025-05-07T00:00:00"/>
    <s v="BR002"/>
    <s v="P020"/>
    <s v="C0054"/>
    <n v="1"/>
    <n v="0"/>
    <n v="8500"/>
    <s v="Naija Mart Wuse"/>
    <n v="8500"/>
    <s v="Small Gadgets"/>
    <x v="3"/>
  </r>
  <r>
    <s v="T00103"/>
    <d v="2025-01-25T00:00:00"/>
    <s v="BR001"/>
    <s v="P003"/>
    <s v="C0171"/>
    <n v="2"/>
    <n v="20"/>
    <n v="45000"/>
    <s v="Naija Mart Ikeja"/>
    <n v="72000"/>
    <s v="Electronics"/>
    <x v="11"/>
  </r>
  <r>
    <s v="T00239"/>
    <d v="2025-05-12T00:00:00"/>
    <s v="BR003"/>
    <s v="P020"/>
    <s v="C0076"/>
    <n v="3"/>
    <n v="10"/>
    <n v="8500"/>
    <s v="Naija Mart GRA"/>
    <n v="22950"/>
    <s v="Small Gadgets"/>
    <x v="3"/>
  </r>
  <r>
    <s v="T01394"/>
    <d v="2025-12-17T00:00:00"/>
    <s v="BR003"/>
    <s v="P021"/>
    <s v="C0055"/>
    <n v="1"/>
    <n v="5"/>
    <n v="6500"/>
    <s v="Naija Mart GRA"/>
    <n v="6175"/>
    <s v="Small Gadgets"/>
    <x v="4"/>
  </r>
  <r>
    <s v="T00943"/>
    <d v="2025-12-20T00:00:00"/>
    <s v="BR002"/>
    <s v="P018"/>
    <s v="C0004"/>
    <n v="1"/>
    <n v="10"/>
    <n v="18000"/>
    <s v="Naija Mart Wuse"/>
    <n v="16200"/>
    <s v="Small Gadgets"/>
    <x v="4"/>
  </r>
  <r>
    <s v="T00939"/>
    <d v="2025-05-15T00:00:00"/>
    <s v="BR003"/>
    <s v="P008"/>
    <s v="C0111"/>
    <n v="2"/>
    <n v="0"/>
    <n v="410000"/>
    <s v="Naija Mart GRA"/>
    <n v="820000"/>
    <s v="Home Appliances"/>
    <x v="3"/>
  </r>
  <r>
    <s v="T00006"/>
    <d v="2025-10-07T00:00:00"/>
    <s v="BR001"/>
    <s v="P020"/>
    <s v="C0115"/>
    <n v="2"/>
    <n v="5"/>
    <n v="8500"/>
    <s v="Naija Mart Ikeja"/>
    <n v="16150"/>
    <s v="Small Gadgets"/>
    <x v="8"/>
  </r>
  <r>
    <s v="T01270"/>
    <d v="2025-07-08T00:00:00"/>
    <s v="BR004"/>
    <s v="P019"/>
    <s v="C0195"/>
    <n v="1"/>
    <n v="10"/>
    <n v="21000"/>
    <s v="Naija Mart Sabon Gari"/>
    <n v="18900"/>
    <s v="Small Gadgets"/>
    <x v="10"/>
  </r>
  <r>
    <s v="T00966"/>
    <d v="2025-01-16T00:00:00"/>
    <s v="BR001"/>
    <s v="P001"/>
    <s v="C0098"/>
    <n v="2"/>
    <n v="15"/>
    <n v="185000"/>
    <s v="Naija Mart Ikeja"/>
    <n v="314500"/>
    <s v="Electronics"/>
    <x v="11"/>
  </r>
  <r>
    <s v="T00019"/>
    <d v="2025-07-11T00:00:00"/>
    <s v="BR003"/>
    <s v="P002"/>
    <s v="C0037"/>
    <n v="1"/>
    <n v="5"/>
    <n v="320000"/>
    <s v="Naija Mart GRA"/>
    <n v="304000"/>
    <s v="Electronics"/>
    <x v="10"/>
  </r>
  <r>
    <s v="T00122"/>
    <d v="2025-11-27T00:00:00"/>
    <s v="BR003"/>
    <s v="P018"/>
    <s v="C0020"/>
    <n v="1"/>
    <n v="0"/>
    <n v="18000"/>
    <s v="Naija Mart GRA"/>
    <n v="18000"/>
    <s v="Small Gadgets"/>
    <x v="0"/>
  </r>
  <r>
    <s v="T00662"/>
    <d v="2025-10-15T00:00:00"/>
    <s v="BR002"/>
    <s v="P011"/>
    <s v="C0154"/>
    <n v="1"/>
    <n v="0"/>
    <n v="74000"/>
    <s v="Naija Mart Wuse"/>
    <n v="74000"/>
    <s v="Home Appliances"/>
    <x v="8"/>
  </r>
  <r>
    <s v="T01180"/>
    <d v="2025-10-21T00:00:00"/>
    <s v="BR003"/>
    <s v="P001"/>
    <s v="C0156"/>
    <n v="3"/>
    <n v="0"/>
    <n v="185000"/>
    <s v="Naija Mart GRA"/>
    <n v="555000"/>
    <s v="Electronics"/>
    <x v="8"/>
  </r>
  <r>
    <s v="T00275"/>
    <d v="2025-10-12T00:00:00"/>
    <s v="BR002"/>
    <s v="P014"/>
    <s v="C0156"/>
    <n v="1"/>
    <n v="0"/>
    <n v="285000"/>
    <s v="Naija Mart Wuse"/>
    <n v="285000"/>
    <s v="Home Appliances"/>
    <x v="8"/>
  </r>
  <r>
    <s v="T00434"/>
    <d v="2025-05-07T00:00:00"/>
    <s v="BR001"/>
    <s v="P022"/>
    <s v="C0004"/>
    <n v="1"/>
    <n v="10"/>
    <n v="5200"/>
    <s v="Naija Mart Ikeja"/>
    <n v="4680"/>
    <s v="Small Gadgets"/>
    <x v="3"/>
  </r>
  <r>
    <s v="T00812"/>
    <d v="2025-06-05T00:00:00"/>
    <s v="BR003"/>
    <s v="P021"/>
    <s v="C0018"/>
    <n v="1"/>
    <n v="0"/>
    <n v="6500"/>
    <s v="Naija Mart GRA"/>
    <n v="6500"/>
    <s v="Small Gadgets"/>
    <x v="9"/>
  </r>
  <r>
    <s v="T01308"/>
    <d v="2025-04-11T00:00:00"/>
    <s v="BR003"/>
    <s v="P002"/>
    <s v="C0160"/>
    <n v="1"/>
    <n v="15"/>
    <n v="320000"/>
    <s v="Naija Mart GRA"/>
    <n v="272000"/>
    <s v="Electronics"/>
    <x v="5"/>
  </r>
  <r>
    <s v="T01322"/>
    <d v="2025-05-05T00:00:00"/>
    <s v="BR001"/>
    <s v="P007"/>
    <s v="C0045"/>
    <n v="1"/>
    <n v="5"/>
    <n v="145000"/>
    <s v="Naija Mart Ikeja"/>
    <n v="137750"/>
    <s v="Electronics"/>
    <x v="3"/>
  </r>
  <r>
    <s v="T00182"/>
    <d v="2025-01-27T00:00:00"/>
    <s v="BR001"/>
    <s v="P017"/>
    <s v="C0180"/>
    <n v="1"/>
    <n v="0"/>
    <n v="24000"/>
    <s v="Naija Mart Ikeja"/>
    <n v="24000"/>
    <s v="Home Appliances"/>
    <x v="11"/>
  </r>
  <r>
    <s v="T00185"/>
    <d v="2025-02-01T00:00:00"/>
    <s v="BR004"/>
    <s v="P016"/>
    <s v="C0104"/>
    <n v="1"/>
    <n v="0"/>
    <n v="19500"/>
    <s v="Naija Mart Sabon Gari"/>
    <n v="19500"/>
    <s v="Home Appliances"/>
    <x v="1"/>
  </r>
  <r>
    <s v="T00407"/>
    <d v="2025-08-09T00:00:00"/>
    <s v="BR001"/>
    <s v="P016"/>
    <s v="C0024"/>
    <n v="1"/>
    <n v="0"/>
    <n v="19500"/>
    <s v="Naija Mart Ikeja"/>
    <n v="19500"/>
    <s v="Home Appliances"/>
    <x v="6"/>
  </r>
  <r>
    <s v="T00866"/>
    <d v="2025-08-27T00:00:00"/>
    <s v="BR002"/>
    <s v="P018"/>
    <s v="C0166"/>
    <n v="1"/>
    <n v="0"/>
    <n v="18000"/>
    <s v="Naija Mart Wuse"/>
    <n v="18000"/>
    <s v="Small Gadgets"/>
    <x v="6"/>
  </r>
  <r>
    <s v="T00521"/>
    <d v="2025-09-16T00:00:00"/>
    <s v="BR001"/>
    <s v="P010"/>
    <s v="C0054"/>
    <n v="1"/>
    <n v="0"/>
    <n v="62000"/>
    <s v="Naija Mart Ikeja"/>
    <n v="62000"/>
    <s v="Home Appliances"/>
    <x v="2"/>
  </r>
  <r>
    <s v="T01004"/>
    <d v="2025-12-27T00:00:00"/>
    <s v="BR003"/>
    <s v="P016"/>
    <s v="C0100"/>
    <n v="5"/>
    <n v="10"/>
    <n v="19500"/>
    <s v="Naija Mart GRA"/>
    <n v="87750"/>
    <s v="Home Appliances"/>
    <x v="4"/>
  </r>
  <r>
    <s v="T00381"/>
    <d v="2025-10-04T00:00:00"/>
    <s v="BR003"/>
    <s v="P020"/>
    <s v="C0058"/>
    <n v="1"/>
    <n v="0"/>
    <n v="8500"/>
    <s v="Naija Mart GRA"/>
    <n v="8500"/>
    <s v="Small Gadgets"/>
    <x v="8"/>
  </r>
  <r>
    <s v="T00428"/>
    <d v="2025-11-25T00:00:00"/>
    <s v="BR003"/>
    <s v="P003"/>
    <s v="C0218"/>
    <n v="1"/>
    <n v="15"/>
    <n v="45000"/>
    <s v="Naija Mart GRA"/>
    <n v="38250"/>
    <s v="Electronics"/>
    <x v="0"/>
  </r>
  <r>
    <s v="T00079"/>
    <d v="2025-07-14T00:00:00"/>
    <s v="BR003"/>
    <s v="P004"/>
    <s v="C0121"/>
    <n v="1"/>
    <n v="0"/>
    <n v="38000"/>
    <s v="Naija Mart GRA"/>
    <n v="38000"/>
    <s v="Electronics"/>
    <x v="10"/>
  </r>
  <r>
    <s v="T01010"/>
    <d v="2025-12-08T00:00:00"/>
    <s v="BR002"/>
    <s v="P008"/>
    <s v="C0015"/>
    <n v="2"/>
    <n v="25"/>
    <n v="410000"/>
    <s v="Naija Mart Wuse"/>
    <n v="615000"/>
    <s v="Home Appliances"/>
    <x v="4"/>
  </r>
  <r>
    <s v="T01380"/>
    <d v="2025-11-23T00:00:00"/>
    <s v="BR001"/>
    <s v="P008"/>
    <s v="C0127"/>
    <n v="2"/>
    <n v="0"/>
    <n v="410000"/>
    <s v="Naija Mart Ikeja"/>
    <n v="820000"/>
    <s v="Home Appliances"/>
    <x v="0"/>
  </r>
  <r>
    <s v="T00608"/>
    <d v="2025-04-09T00:00:00"/>
    <s v="BR003"/>
    <s v="P001"/>
    <s v="C0138"/>
    <n v="1"/>
    <n v="0"/>
    <n v="185000"/>
    <s v="Naija Mart GRA"/>
    <n v="185000"/>
    <s v="Electronics"/>
    <x v="5"/>
  </r>
  <r>
    <s v="T01351"/>
    <d v="2025-08-20T00:00:00"/>
    <s v="BR001"/>
    <s v="P007"/>
    <s v="C0197"/>
    <n v="1"/>
    <n v="0"/>
    <n v="145000"/>
    <s v="Naija Mart Ikeja"/>
    <n v="145000"/>
    <s v="Electronics"/>
    <x v="6"/>
  </r>
  <r>
    <s v="T01393"/>
    <d v="2025-10-16T00:00:00"/>
    <s v="BR002"/>
    <s v="P018"/>
    <s v="C0015"/>
    <n v="1"/>
    <n v="5"/>
    <n v="18000"/>
    <s v="Naija Mart Wuse"/>
    <n v="17100"/>
    <s v="Small Gadgets"/>
    <x v="8"/>
  </r>
  <r>
    <s v="T01276"/>
    <d v="2025-12-16T00:00:00"/>
    <s v="BR001"/>
    <s v="P002"/>
    <s v="C0131"/>
    <n v="1"/>
    <n v="10"/>
    <n v="320000"/>
    <s v="Naija Mart Ikeja"/>
    <n v="288000"/>
    <s v="Electronics"/>
    <x v="4"/>
  </r>
  <r>
    <s v="T01058"/>
    <d v="2025-01-02T00:00:00"/>
    <s v="BR002"/>
    <s v="P010"/>
    <s v="C0205"/>
    <n v="1"/>
    <n v="0"/>
    <n v="62000"/>
    <s v="Naija Mart Wuse"/>
    <n v="62000"/>
    <s v="Home Appliances"/>
    <x v="11"/>
  </r>
  <r>
    <s v="T01092"/>
    <d v="2025-05-18T00:00:00"/>
    <s v="BR001"/>
    <s v="P011"/>
    <s v="C0044"/>
    <n v="1"/>
    <n v="0"/>
    <n v="74000"/>
    <s v="Naija Mart Ikeja"/>
    <n v="74000"/>
    <s v="Home Appliances"/>
    <x v="3"/>
  </r>
  <r>
    <s v="T01102"/>
    <d v="2025-03-23T00:00:00"/>
    <s v="BR001"/>
    <s v="P017"/>
    <s v="C0171"/>
    <n v="1"/>
    <n v="0"/>
    <n v="24000"/>
    <s v="Naija Mart Ikeja"/>
    <n v="24000"/>
    <s v="Home Appliances"/>
    <x v="7"/>
  </r>
  <r>
    <s v="T01130"/>
    <d v="2025-05-10T00:00:00"/>
    <s v="BR001"/>
    <s v="P023"/>
    <s v="C0191"/>
    <n v="1"/>
    <n v="10"/>
    <n v="195000"/>
    <s v="Naija Mart Ikeja"/>
    <n v="175500"/>
    <s v="Generators &amp; Power"/>
    <x v="3"/>
  </r>
  <r>
    <s v="T01231"/>
    <d v="2025-12-28T00:00:00"/>
    <s v="BR003"/>
    <s v="P007"/>
    <s v="C0142"/>
    <n v="1"/>
    <n v="10"/>
    <n v="145000"/>
    <s v="Naija Mart GRA"/>
    <n v="130500"/>
    <s v="Electronics"/>
    <x v="4"/>
  </r>
  <r>
    <s v="T00959"/>
    <d v="2025-03-12T00:00:00"/>
    <s v="BR001"/>
    <s v="P020"/>
    <s v="C0092"/>
    <n v="1"/>
    <n v="15"/>
    <n v="8500"/>
    <s v="Naija Mart Ikeja"/>
    <n v="7225"/>
    <s v="Small Gadgets"/>
    <x v="7"/>
  </r>
  <r>
    <s v="T00560"/>
    <d v="2025-08-25T00:00:00"/>
    <s v="BR001"/>
    <s v="P005"/>
    <s v="C0140"/>
    <n v="1"/>
    <n v="5"/>
    <n v="95000"/>
    <s v="Naija Mart Ikeja"/>
    <n v="90250"/>
    <s v="Electronics"/>
    <x v="6"/>
  </r>
  <r>
    <s v="T00847"/>
    <d v="2025-04-25T00:00:00"/>
    <s v="BR002"/>
    <s v="P008"/>
    <s v="C0166"/>
    <n v="1"/>
    <n v="0"/>
    <n v="410000"/>
    <s v="Naija Mart Wuse"/>
    <n v="410000"/>
    <s v="Home Appliances"/>
    <x v="5"/>
  </r>
  <r>
    <s v="T00691"/>
    <d v="2025-07-12T00:00:00"/>
    <s v="BR004"/>
    <s v="P018"/>
    <s v="C0212"/>
    <n v="2"/>
    <n v="0"/>
    <n v="18000"/>
    <s v="Naija Mart Sabon Gari"/>
    <n v="36000"/>
    <s v="Small Gadgets"/>
    <x v="10"/>
  </r>
  <r>
    <s v="T01358"/>
    <d v="2025-04-19T00:00:00"/>
    <s v="BR003"/>
    <s v="P002"/>
    <s v="C0165"/>
    <n v="5"/>
    <n v="0"/>
    <n v="320000"/>
    <s v="Naija Mart GRA"/>
    <n v="1600000"/>
    <s v="Electronics"/>
    <x v="5"/>
  </r>
  <r>
    <s v="T01306"/>
    <d v="2025-04-06T00:00:00"/>
    <s v="BR001"/>
    <s v="P008"/>
    <s v="C0010"/>
    <n v="1"/>
    <n v="0"/>
    <n v="410000"/>
    <s v="Naija Mart Ikeja"/>
    <n v="410000"/>
    <s v="Home Appliances"/>
    <x v="5"/>
  </r>
  <r>
    <s v="T00437"/>
    <d v="2025-01-09T00:00:00"/>
    <s v="BR003"/>
    <s v="P004"/>
    <s v="C0178"/>
    <n v="1"/>
    <n v="5"/>
    <n v="38000"/>
    <s v="Naija Mart GRA"/>
    <n v="36100"/>
    <s v="Electronics"/>
    <x v="11"/>
  </r>
  <r>
    <s v="T00491"/>
    <d v="2025-06-20T00:00:00"/>
    <s v="BR001"/>
    <s v="P004"/>
    <s v="C0119"/>
    <n v="1"/>
    <n v="20"/>
    <n v="38000"/>
    <s v="Naija Mart Ikeja"/>
    <n v="30400"/>
    <s v="Electronics"/>
    <x v="9"/>
  </r>
  <r>
    <s v="T01398"/>
    <d v="2025-11-01T00:00:00"/>
    <s v="BR001"/>
    <s v="P021"/>
    <s v="C0203"/>
    <n v="1"/>
    <n v="0"/>
    <n v="6500"/>
    <s v="Naija Mart Ikeja"/>
    <n v="6500"/>
    <s v="Small Gadgets"/>
    <x v="0"/>
  </r>
  <r>
    <s v="T01285"/>
    <d v="2025-09-12T00:00:00"/>
    <s v="BR001"/>
    <s v="P022"/>
    <s v="C0073"/>
    <n v="1"/>
    <n v="20"/>
    <n v="5200"/>
    <s v="Naija Mart Ikeja"/>
    <n v="4160"/>
    <s v="Small Gadgets"/>
    <x v="2"/>
  </r>
  <r>
    <s v="T00070"/>
    <d v="2025-08-16T00:00:00"/>
    <s v="BR001"/>
    <s v="P002"/>
    <s v="C0029"/>
    <n v="2"/>
    <n v="20"/>
    <n v="320000"/>
    <s v="Naija Mart Ikeja"/>
    <n v="512000"/>
    <s v="Electronics"/>
    <x v="6"/>
  </r>
  <r>
    <s v="T00809"/>
    <d v="2025-12-05T00:00:00"/>
    <s v="BR002"/>
    <s v="P005"/>
    <s v="C0214"/>
    <n v="1"/>
    <n v="0"/>
    <n v="95000"/>
    <s v="Naija Mart Wuse"/>
    <n v="95000"/>
    <s v="Electronics"/>
    <x v="4"/>
  </r>
  <r>
    <s v="T01185"/>
    <d v="2025-01-20T00:00:00"/>
    <s v="BR003"/>
    <s v="P024"/>
    <s v="C0027"/>
    <n v="1"/>
    <n v="0"/>
    <n v="245000"/>
    <s v="Naija Mart GRA"/>
    <n v="245000"/>
    <s v="Generators &amp; Power"/>
    <x v="11"/>
  </r>
  <r>
    <s v="T00012"/>
    <d v="2025-09-02T00:00:00"/>
    <s v="BR004"/>
    <s v="P014"/>
    <s v="C0010"/>
    <n v="1"/>
    <n v="0"/>
    <n v="285000"/>
    <s v="Naija Mart Sabon Gari"/>
    <n v="285000"/>
    <s v="Home Appliances"/>
    <x v="2"/>
  </r>
  <r>
    <s v="T00145"/>
    <d v="2025-03-10T00:00:00"/>
    <s v="BR001"/>
    <s v="P023"/>
    <s v="C0017"/>
    <n v="5"/>
    <n v="0"/>
    <n v="195000"/>
    <s v="Naija Mart Ikeja"/>
    <n v="975000"/>
    <s v="Generators &amp; Power"/>
    <x v="7"/>
  </r>
  <r>
    <s v="T00918"/>
    <d v="2025-12-23T00:00:00"/>
    <s v="BR001"/>
    <s v="P018"/>
    <s v="C0078"/>
    <n v="2"/>
    <n v="5"/>
    <n v="18000"/>
    <s v="Naija Mart Ikeja"/>
    <n v="34200"/>
    <s v="Small Gadgets"/>
    <x v="4"/>
  </r>
  <r>
    <s v="T00640"/>
    <d v="2025-06-26T00:00:00"/>
    <s v="BR001"/>
    <s v="P015"/>
    <s v="C0108"/>
    <n v="1"/>
    <n v="10"/>
    <n v="15000"/>
    <s v="Naija Mart Ikeja"/>
    <n v="13500"/>
    <s v="Home Appliances"/>
    <x v="9"/>
  </r>
  <r>
    <s v="T00177"/>
    <d v="2025-06-23T00:00:00"/>
    <s v="BR002"/>
    <s v="P009"/>
    <s v="C0164"/>
    <n v="1"/>
    <n v="0"/>
    <n v="265000"/>
    <s v="Naija Mart Wuse"/>
    <n v="265000"/>
    <s v="Home Appliances"/>
    <x v="9"/>
  </r>
  <r>
    <s v="T00995"/>
    <d v="2025-09-25T00:00:00"/>
    <s v="BR001"/>
    <s v="P017"/>
    <s v="C0008"/>
    <n v="1"/>
    <n v="15"/>
    <n v="24000"/>
    <s v="Naija Mart Ikeja"/>
    <n v="20400"/>
    <s v="Home Appliances"/>
    <x v="2"/>
  </r>
  <r>
    <s v="T00441"/>
    <d v="2025-05-05T00:00:00"/>
    <s v="BR001"/>
    <s v="P019"/>
    <s v="C0034"/>
    <n v="1"/>
    <n v="15"/>
    <n v="21000"/>
    <s v="Naija Mart Ikeja"/>
    <n v="17850"/>
    <s v="Small Gadgets"/>
    <x v="3"/>
  </r>
  <r>
    <s v="T00522"/>
    <d v="2025-03-05T00:00:00"/>
    <s v="BR001"/>
    <s v="P023"/>
    <s v="C0034"/>
    <n v="2"/>
    <n v="5"/>
    <n v="195000"/>
    <s v="Naija Mart Ikeja"/>
    <n v="370500"/>
    <s v="Generators &amp; Power"/>
    <x v="7"/>
  </r>
  <r>
    <s v="T01386"/>
    <d v="2025-07-24T00:00:00"/>
    <s v="BR001"/>
    <s v="P020"/>
    <s v="C0163"/>
    <n v="2"/>
    <n v="0"/>
    <n v="8500"/>
    <s v="Naija Mart Ikeja"/>
    <n v="17000"/>
    <s v="Small Gadgets"/>
    <x v="10"/>
  </r>
  <r>
    <s v="T01005"/>
    <d v="2025-10-16T00:00:00"/>
    <s v="BR001"/>
    <s v="P025"/>
    <s v="C0218"/>
    <n v="1"/>
    <n v="0"/>
    <n v="175000"/>
    <s v="Naija Mart Ikeja"/>
    <n v="175000"/>
    <s v="Generators &amp; Power"/>
    <x v="8"/>
  </r>
  <r>
    <s v="T00144"/>
    <d v="2025-02-28T00:00:00"/>
    <s v="BR004"/>
    <s v="P005"/>
    <s v="C0055"/>
    <n v="1"/>
    <n v="0"/>
    <n v="95000"/>
    <s v="Naija Mart Sabon Gari"/>
    <n v="95000"/>
    <s v="Electronics"/>
    <x v="1"/>
  </r>
  <r>
    <s v="T00754"/>
    <d v="2025-02-08T00:00:00"/>
    <s v="BR001"/>
    <s v="P010"/>
    <s v="C0136"/>
    <n v="1"/>
    <n v="0"/>
    <n v="62000"/>
    <s v="Naija Mart Ikeja"/>
    <n v="62000"/>
    <s v="Home Appliances"/>
    <x v="1"/>
  </r>
  <r>
    <s v="T00520"/>
    <d v="2025-05-12T00:00:00"/>
    <s v="BR004"/>
    <s v="P003"/>
    <s v="C0208"/>
    <n v="1"/>
    <n v="10"/>
    <n v="45000"/>
    <s v="Naija Mart Sabon Gari"/>
    <n v="40500"/>
    <s v="Electronics"/>
    <x v="3"/>
  </r>
  <r>
    <s v="T00823"/>
    <d v="2025-12-18T00:00:00"/>
    <s v="BR003"/>
    <s v="P010"/>
    <s v="C0187"/>
    <n v="1"/>
    <n v="10"/>
    <n v="62000"/>
    <s v="Naija Mart GRA"/>
    <n v="55800"/>
    <s v="Home Appliances"/>
    <x v="4"/>
  </r>
  <r>
    <s v="T00429"/>
    <d v="2025-07-12T00:00:00"/>
    <s v="BR003"/>
    <s v="P019"/>
    <s v="C0109"/>
    <n v="2"/>
    <n v="10"/>
    <n v="21000"/>
    <s v="Naija Mart GRA"/>
    <n v="37800"/>
    <s v="Small Gadgets"/>
    <x v="10"/>
  </r>
  <r>
    <s v="T00613"/>
    <d v="2025-03-19T00:00:00"/>
    <s v="BR003"/>
    <s v="P022"/>
    <s v="C0043"/>
    <n v="1"/>
    <n v="0"/>
    <n v="5200"/>
    <s v="Naija Mart GRA"/>
    <n v="5200"/>
    <s v="Small Gadgets"/>
    <x v="7"/>
  </r>
  <r>
    <s v="T01033"/>
    <d v="2025-10-05T00:00:00"/>
    <s v="BR003"/>
    <s v="P004"/>
    <s v="C0100"/>
    <n v="1"/>
    <n v="0"/>
    <n v="38000"/>
    <s v="Naija Mart GRA"/>
    <n v="38000"/>
    <s v="Electronics"/>
    <x v="8"/>
  </r>
  <r>
    <s v="T00157"/>
    <d v="2025-12-19T00:00:00"/>
    <s v="BR002"/>
    <s v="P002"/>
    <s v="C0199"/>
    <n v="1"/>
    <n v="25"/>
    <n v="320000"/>
    <s v="Naija Mart Wuse"/>
    <n v="240000"/>
    <s v="Electronics"/>
    <x v="4"/>
  </r>
  <r>
    <s v="T00540"/>
    <d v="2025-06-28T00:00:00"/>
    <s v="BR001"/>
    <s v="P010"/>
    <s v="C0218"/>
    <n v="1"/>
    <n v="0"/>
    <n v="62000"/>
    <s v="Naija Mart Ikeja"/>
    <n v="62000"/>
    <s v="Home Appliances"/>
    <x v="9"/>
  </r>
  <r>
    <s v="T00462"/>
    <d v="2025-11-19T00:00:00"/>
    <s v="BR004"/>
    <s v="P016"/>
    <s v="C0072"/>
    <n v="1"/>
    <n v="5"/>
    <n v="19500"/>
    <s v="Naija Mart Sabon Gari"/>
    <n v="18525"/>
    <s v="Home Appliances"/>
    <x v="0"/>
  </r>
  <r>
    <s v="T00577"/>
    <d v="2025-02-13T00:00:00"/>
    <s v="BR001"/>
    <s v="P018"/>
    <s v="C0203"/>
    <n v="2"/>
    <n v="0"/>
    <n v="18000"/>
    <s v="Naija Mart Ikeja"/>
    <n v="36000"/>
    <s v="Small Gadgets"/>
    <x v="1"/>
  </r>
  <r>
    <s v="T00256"/>
    <d v="2025-05-15T00:00:00"/>
    <s v="BR004"/>
    <s v="P002"/>
    <s v="C0054"/>
    <n v="1"/>
    <n v="0"/>
    <n v="320000"/>
    <s v="Naija Mart Sabon Gari"/>
    <n v="320000"/>
    <s v="Electronics"/>
    <x v="3"/>
  </r>
  <r>
    <s v="T00980"/>
    <d v="2025-03-25T00:00:00"/>
    <s v="BR001"/>
    <s v="P010"/>
    <s v="C0177"/>
    <n v="2"/>
    <n v="0"/>
    <n v="62000"/>
    <s v="Naija Mart Ikeja"/>
    <n v="124000"/>
    <s v="Home Appliances"/>
    <x v="7"/>
  </r>
  <r>
    <s v="T01186"/>
    <d v="2025-01-18T00:00:00"/>
    <s v="BR001"/>
    <s v="P001"/>
    <s v="C0217"/>
    <n v="2"/>
    <n v="10"/>
    <n v="185000"/>
    <s v="Naija Mart Ikeja"/>
    <n v="333000"/>
    <s v="Electronics"/>
    <x v="11"/>
  </r>
  <r>
    <s v="T01007"/>
    <d v="2025-02-12T00:00:00"/>
    <s v="BR001"/>
    <s v="P003"/>
    <s v="C0039"/>
    <n v="1"/>
    <n v="10"/>
    <n v="45000"/>
    <s v="Naija Mart Ikeja"/>
    <n v="40500"/>
    <s v="Electronics"/>
    <x v="1"/>
  </r>
  <r>
    <s v="T00561"/>
    <d v="2025-04-27T00:00:00"/>
    <s v="BR004"/>
    <s v="P019"/>
    <s v="C0009"/>
    <n v="5"/>
    <n v="0"/>
    <n v="21000"/>
    <s v="Naija Mart Sabon Gari"/>
    <n v="105000"/>
    <s v="Small Gadgets"/>
    <x v="5"/>
  </r>
  <r>
    <s v="T00209"/>
    <d v="2025-04-13T00:00:00"/>
    <s v="BR001"/>
    <s v="P024"/>
    <s v="C0140"/>
    <n v="2"/>
    <n v="0"/>
    <n v="245000"/>
    <s v="Naija Mart Ikeja"/>
    <n v="490000"/>
    <s v="Generators &amp; Power"/>
    <x v="5"/>
  </r>
  <r>
    <s v="T00911"/>
    <d v="2025-10-04T00:00:00"/>
    <s v="BR003"/>
    <s v="P014"/>
    <s v="C0036"/>
    <n v="2"/>
    <n v="15"/>
    <n v="285000"/>
    <s v="Naija Mart GRA"/>
    <n v="484500"/>
    <s v="Home Appliances"/>
    <x v="8"/>
  </r>
  <r>
    <s v="T00002"/>
    <d v="2025-01-16T00:00:00"/>
    <s v="BR001"/>
    <s v="P006"/>
    <s v="C0145"/>
    <n v="1"/>
    <n v="10"/>
    <n v="78000"/>
    <s v="Naija Mart Ikeja"/>
    <n v="70200"/>
    <s v="Electronics"/>
    <x v="11"/>
  </r>
  <r>
    <s v="T00270"/>
    <d v="2025-02-21T00:00:00"/>
    <s v="BR001"/>
    <s v="P008"/>
    <s v="C0044"/>
    <n v="1"/>
    <n v="0"/>
    <n v="410000"/>
    <s v="Naija Mart Ikeja"/>
    <n v="410000"/>
    <s v="Home Appliances"/>
    <x v="1"/>
  </r>
  <r>
    <s v="T00266"/>
    <d v="2025-03-11T00:00:00"/>
    <s v="BR002"/>
    <s v="P003"/>
    <s v="C0007"/>
    <n v="1"/>
    <n v="0"/>
    <n v="45000"/>
    <s v="Naija Mart Wuse"/>
    <n v="45000"/>
    <s v="Electronics"/>
    <x v="7"/>
  </r>
  <r>
    <s v="T00915"/>
    <d v="2025-10-27T00:00:00"/>
    <s v="BR001"/>
    <s v="P025"/>
    <s v="C0063"/>
    <n v="1"/>
    <n v="15"/>
    <n v="175000"/>
    <s v="Naija Mart Ikeja"/>
    <n v="148750"/>
    <s v="Generators &amp; Power"/>
    <x v="8"/>
  </r>
  <r>
    <s v="T00231"/>
    <d v="2025-12-23T00:00:00"/>
    <s v="BR001"/>
    <s v="P001"/>
    <s v="C0056"/>
    <n v="3"/>
    <n v="5"/>
    <n v="185000"/>
    <s v="Naija Mart Ikeja"/>
    <n v="527250"/>
    <s v="Electronics"/>
    <x v="4"/>
  </r>
  <r>
    <s v="T01383"/>
    <d v="2025-02-25T00:00:00"/>
    <s v="BR004"/>
    <s v="P023"/>
    <s v="C0079"/>
    <n v="1"/>
    <n v="0"/>
    <n v="195000"/>
    <s v="Naija Mart Sabon Gari"/>
    <n v="195000"/>
    <s v="Generators &amp; Power"/>
    <x v="1"/>
  </r>
  <r>
    <s v="T01120"/>
    <d v="2025-10-11T00:00:00"/>
    <s v="BR001"/>
    <s v="P022"/>
    <s v="C0009"/>
    <n v="1"/>
    <n v="0"/>
    <n v="5200"/>
    <s v="Naija Mart Ikeja"/>
    <n v="5200"/>
    <s v="Small Gadgets"/>
    <x v="8"/>
  </r>
  <r>
    <s v="T01378"/>
    <d v="2025-05-05T00:00:00"/>
    <s v="BR001"/>
    <s v="P004"/>
    <s v="C0157"/>
    <n v="2"/>
    <n v="5"/>
    <n v="38000"/>
    <s v="Naija Mart Ikeja"/>
    <n v="72200"/>
    <s v="Electronics"/>
    <x v="3"/>
  </r>
  <r>
    <s v="T00865"/>
    <d v="2025-06-07T00:00:00"/>
    <s v="BR001"/>
    <s v="P012"/>
    <s v="C0060"/>
    <n v="1"/>
    <n v="5"/>
    <n v="28000"/>
    <s v="Naija Mart Ikeja"/>
    <n v="26600"/>
    <s v="Home Appliances"/>
    <x v="9"/>
  </r>
  <r>
    <s v="T01067"/>
    <d v="2025-02-25T00:00:00"/>
    <s v="BR001"/>
    <s v="P001"/>
    <s v="C0218"/>
    <n v="1"/>
    <n v="0"/>
    <n v="185000"/>
    <s v="Naija Mart Ikeja"/>
    <n v="185000"/>
    <s v="Electronics"/>
    <x v="1"/>
  </r>
  <r>
    <s v="T00874"/>
    <d v="2025-02-18T00:00:00"/>
    <s v="BR001"/>
    <s v="P018"/>
    <s v="C0130"/>
    <n v="1"/>
    <n v="0"/>
    <n v="18000"/>
    <s v="Naija Mart Ikeja"/>
    <n v="18000"/>
    <s v="Small Gadgets"/>
    <x v="1"/>
  </r>
  <r>
    <s v="T01254"/>
    <d v="2025-04-27T00:00:00"/>
    <s v="BR001"/>
    <s v="P009"/>
    <s v="C0089"/>
    <n v="3"/>
    <n v="0"/>
    <n v="265000"/>
    <s v="Naija Mart Ikeja"/>
    <n v="795000"/>
    <s v="Home Appliances"/>
    <x v="5"/>
  </r>
  <r>
    <s v="T00399"/>
    <d v="2025-03-16T00:00:00"/>
    <s v="BR001"/>
    <s v="P013"/>
    <s v="C0095"/>
    <n v="1"/>
    <n v="0"/>
    <n v="22000"/>
    <s v="Naija Mart Ikeja"/>
    <n v="22000"/>
    <s v="Home Appliances"/>
    <x v="7"/>
  </r>
  <r>
    <s v="T01279"/>
    <d v="2025-01-22T00:00:00"/>
    <s v="BR002"/>
    <s v="P015"/>
    <s v="C0173"/>
    <n v="1"/>
    <n v="10"/>
    <n v="15000"/>
    <s v="Naija Mart Wuse"/>
    <n v="13500"/>
    <s v="Home Appliances"/>
    <x v="11"/>
  </r>
  <r>
    <s v="T00046"/>
    <d v="2025-09-14T00:00:00"/>
    <s v="BR002"/>
    <s v="P005"/>
    <s v="C0045"/>
    <n v="1"/>
    <n v="0"/>
    <n v="95000"/>
    <s v="Naija Mart Wuse"/>
    <n v="95000"/>
    <s v="Electronics"/>
    <x v="2"/>
  </r>
  <r>
    <s v="T00162"/>
    <d v="2025-12-06T00:00:00"/>
    <s v="BR001"/>
    <s v="P011"/>
    <s v="C0082"/>
    <n v="2"/>
    <n v="0"/>
    <n v="74000"/>
    <s v="Naija Mart Ikeja"/>
    <n v="148000"/>
    <s v="Home Appliances"/>
    <x v="4"/>
  </r>
  <r>
    <s v="T00992"/>
    <d v="2025-06-04T00:00:00"/>
    <s v="BR001"/>
    <s v="P003"/>
    <s v="C0119"/>
    <n v="2"/>
    <n v="15"/>
    <n v="45000"/>
    <s v="Naija Mart Ikeja"/>
    <n v="76500"/>
    <s v="Electronics"/>
    <x v="9"/>
  </r>
  <r>
    <s v="T00728"/>
    <d v="2025-12-03T00:00:00"/>
    <s v="BR001"/>
    <s v="P014"/>
    <s v="C0115"/>
    <n v="2"/>
    <n v="0"/>
    <n v="285000"/>
    <s v="Naija Mart Ikeja"/>
    <n v="570000"/>
    <s v="Home Appliances"/>
    <x v="4"/>
  </r>
  <r>
    <s v="T00630"/>
    <d v="2025-03-16T00:00:00"/>
    <s v="BR004"/>
    <s v="P024"/>
    <s v="C0150"/>
    <n v="1"/>
    <n v="20"/>
    <n v="245000"/>
    <s v="Naija Mart Sabon Gari"/>
    <n v="196000"/>
    <s v="Generators &amp; Power"/>
    <x v="7"/>
  </r>
  <r>
    <s v="T00289"/>
    <d v="2025-01-11T00:00:00"/>
    <s v="BR001"/>
    <s v="P020"/>
    <s v="C0021"/>
    <n v="2"/>
    <n v="10"/>
    <n v="8500"/>
    <s v="Naija Mart Ikeja"/>
    <n v="15300"/>
    <s v="Small Gadgets"/>
    <x v="11"/>
  </r>
  <r>
    <s v="T01060"/>
    <d v="2025-01-22T00:00:00"/>
    <s v="BR004"/>
    <s v="P010"/>
    <s v="C0209"/>
    <n v="1"/>
    <n v="0"/>
    <n v="62000"/>
    <s v="Naija Mart Sabon Gari"/>
    <n v="62000"/>
    <s v="Home Appliances"/>
    <x v="11"/>
  </r>
  <r>
    <s v="T01367"/>
    <d v="2025-05-02T00:00:00"/>
    <s v="BR002"/>
    <s v="P005"/>
    <s v="C0216"/>
    <n v="1"/>
    <n v="0"/>
    <n v="95000"/>
    <s v="Naija Mart Wuse"/>
    <n v="95000"/>
    <s v="Electronics"/>
    <x v="3"/>
  </r>
  <r>
    <s v="T00576"/>
    <d v="2025-02-22T00:00:00"/>
    <s v="BR003"/>
    <s v="P002"/>
    <s v="C0133"/>
    <n v="1"/>
    <n v="0"/>
    <n v="320000"/>
    <s v="Naija Mart GRA"/>
    <n v="320000"/>
    <s v="Electronics"/>
    <x v="1"/>
  </r>
  <r>
    <s v="T00851"/>
    <d v="2025-08-08T00:00:00"/>
    <s v="BR001"/>
    <s v="P025"/>
    <s v="C0019"/>
    <n v="2"/>
    <n v="10"/>
    <n v="175000"/>
    <s v="Naija Mart Ikeja"/>
    <n v="315000"/>
    <s v="Generators &amp; Power"/>
    <x v="6"/>
  </r>
  <r>
    <s v="T00912"/>
    <d v="2025-08-27T00:00:00"/>
    <s v="BR001"/>
    <s v="P022"/>
    <s v="C0049"/>
    <n v="1"/>
    <n v="20"/>
    <n v="5200"/>
    <s v="Naija Mart Ikeja"/>
    <n v="4160"/>
    <s v="Small Gadgets"/>
    <x v="6"/>
  </r>
  <r>
    <s v="T01255"/>
    <d v="2025-11-05T00:00:00"/>
    <s v="BR001"/>
    <s v="P001"/>
    <s v="C0106"/>
    <n v="3"/>
    <n v="0"/>
    <n v="185000"/>
    <s v="Naija Mart Ikeja"/>
    <n v="555000"/>
    <s v="Electronics"/>
    <x v="0"/>
  </r>
  <r>
    <s v="T01272"/>
    <d v="2025-12-10T00:00:00"/>
    <s v="BR002"/>
    <s v="P020"/>
    <s v="C0188"/>
    <n v="3"/>
    <n v="0"/>
    <n v="8500"/>
    <s v="Naija Mart Wuse"/>
    <n v="25500"/>
    <s v="Small Gadgets"/>
    <x v="4"/>
  </r>
  <r>
    <s v="T00933"/>
    <d v="2025-10-07T00:00:00"/>
    <s v="BR002"/>
    <s v="P019"/>
    <s v="C0198"/>
    <n v="1"/>
    <n v="0"/>
    <n v="21000"/>
    <s v="Naija Mart Wuse"/>
    <n v="21000"/>
    <s v="Small Gadgets"/>
    <x v="8"/>
  </r>
  <r>
    <s v="T01101"/>
    <d v="2025-10-07T00:00:00"/>
    <s v="BR002"/>
    <s v="P022"/>
    <s v="C0115"/>
    <n v="1"/>
    <n v="0"/>
    <n v="5200"/>
    <s v="Naija Mart Wuse"/>
    <n v="5200"/>
    <s v="Small Gadgets"/>
    <x v="8"/>
  </r>
  <r>
    <s v="T01208"/>
    <d v="2025-09-20T00:00:00"/>
    <s v="BR001"/>
    <s v="P006"/>
    <s v="C0013"/>
    <n v="1"/>
    <n v="10"/>
    <n v="78000"/>
    <s v="Naija Mart Ikeja"/>
    <n v="70200"/>
    <s v="Electronics"/>
    <x v="2"/>
  </r>
  <r>
    <s v="T00248"/>
    <d v="2025-12-13T00:00:00"/>
    <s v="BR001"/>
    <s v="P020"/>
    <s v="C0010"/>
    <n v="1"/>
    <n v="30"/>
    <n v="8500"/>
    <s v="Naija Mart Ikeja"/>
    <n v="5950"/>
    <s v="Small Gadgets"/>
    <x v="4"/>
  </r>
  <r>
    <s v="T00477"/>
    <d v="2025-09-22T00:00:00"/>
    <s v="BR001"/>
    <s v="P001"/>
    <s v="C0082"/>
    <n v="1"/>
    <n v="10"/>
    <n v="185000"/>
    <s v="Naija Mart Ikeja"/>
    <n v="166500"/>
    <s v="Electronics"/>
    <x v="2"/>
  </r>
  <r>
    <s v="T00086"/>
    <d v="2025-11-15T00:00:00"/>
    <s v="BR001"/>
    <s v="P016"/>
    <s v="C0082"/>
    <n v="1"/>
    <n v="0"/>
    <n v="19500"/>
    <s v="Naija Mart Ikeja"/>
    <n v="19500"/>
    <s v="Home Appliances"/>
    <x v="0"/>
  </r>
  <r>
    <s v="T00470"/>
    <d v="2025-07-17T00:00:00"/>
    <s v="BR003"/>
    <s v="P005"/>
    <s v="C0153"/>
    <n v="1"/>
    <n v="0"/>
    <n v="95000"/>
    <s v="Naija Mart GRA"/>
    <n v="95000"/>
    <s v="Electronics"/>
    <x v="10"/>
  </r>
  <r>
    <s v="T00226"/>
    <d v="2025-02-23T00:00:00"/>
    <s v="BR002"/>
    <s v="P024"/>
    <s v="C0037"/>
    <n v="1"/>
    <n v="20"/>
    <n v="245000"/>
    <s v="Naija Mart Wuse"/>
    <n v="196000"/>
    <s v="Generators &amp; Power"/>
    <x v="1"/>
  </r>
  <r>
    <s v="T00775"/>
    <d v="2025-11-22T00:00:00"/>
    <s v="BR001"/>
    <s v="P013"/>
    <s v="C0209"/>
    <n v="1"/>
    <n v="5"/>
    <n v="22000"/>
    <s v="Naija Mart Ikeja"/>
    <n v="20900"/>
    <s v="Home Appliances"/>
    <x v="0"/>
  </r>
  <r>
    <s v="T00332"/>
    <d v="2025-06-12T00:00:00"/>
    <s v="BR001"/>
    <s v="P015"/>
    <s v="C0031"/>
    <n v="1"/>
    <n v="5"/>
    <n v="15000"/>
    <s v="Naija Mart Ikeja"/>
    <n v="14250"/>
    <s v="Home Appliances"/>
    <x v="9"/>
  </r>
  <r>
    <s v="T00234"/>
    <d v="2025-11-11T00:00:00"/>
    <s v="BR003"/>
    <s v="P025"/>
    <s v="C0195"/>
    <n v="1"/>
    <n v="10"/>
    <n v="175000"/>
    <s v="Naija Mart GRA"/>
    <n v="157500"/>
    <s v="Generators &amp; Power"/>
    <x v="0"/>
  </r>
  <r>
    <s v="T00589"/>
    <d v="2025-10-09T00:00:00"/>
    <s v="BR003"/>
    <s v="P019"/>
    <s v="C0017"/>
    <n v="1"/>
    <n v="10"/>
    <n v="21000"/>
    <s v="Naija Mart GRA"/>
    <n v="18900"/>
    <s v="Small Gadgets"/>
    <x v="8"/>
  </r>
  <r>
    <s v="T00476"/>
    <d v="2025-10-14T00:00:00"/>
    <s v="BR003"/>
    <s v="P002"/>
    <s v="C0079"/>
    <n v="1"/>
    <n v="0"/>
    <n v="320000"/>
    <s v="Naija Mart GRA"/>
    <n v="320000"/>
    <s v="Electronics"/>
    <x v="8"/>
  </r>
  <r>
    <s v="T00600"/>
    <d v="2025-11-22T00:00:00"/>
    <s v="BR001"/>
    <s v="P005"/>
    <s v="C0123"/>
    <n v="1"/>
    <n v="25"/>
    <n v="95000"/>
    <s v="Naija Mart Ikeja"/>
    <n v="71250"/>
    <s v="Electronics"/>
    <x v="0"/>
  </r>
  <r>
    <s v="T00422"/>
    <d v="2025-05-26T00:00:00"/>
    <s v="BR004"/>
    <s v="P010"/>
    <s v="C0137"/>
    <n v="1"/>
    <n v="0"/>
    <n v="62000"/>
    <s v="Naija Mart Sabon Gari"/>
    <n v="62000"/>
    <s v="Home Appliances"/>
    <x v="3"/>
  </r>
  <r>
    <s v="T00183"/>
    <d v="2025-12-21T00:00:00"/>
    <s v="BR003"/>
    <s v="P011"/>
    <s v="C0156"/>
    <n v="1"/>
    <n v="0"/>
    <n v="74000"/>
    <s v="Naija Mart GRA"/>
    <n v="74000"/>
    <s v="Home Appliances"/>
    <x v="4"/>
  </r>
  <r>
    <s v="T00989"/>
    <d v="2025-04-15T00:00:00"/>
    <s v="BR001"/>
    <s v="P012"/>
    <s v="C0184"/>
    <n v="3"/>
    <n v="5"/>
    <n v="28000"/>
    <s v="Naija Mart Ikeja"/>
    <n v="79800"/>
    <s v="Home Appliances"/>
    <x v="5"/>
  </r>
  <r>
    <s v="T01001"/>
    <d v="2025-11-07T00:00:00"/>
    <s v="BR001"/>
    <s v="P025"/>
    <s v="C0135"/>
    <n v="1"/>
    <n v="0"/>
    <n v="175000"/>
    <s v="Naija Mart Ikeja"/>
    <n v="175000"/>
    <s v="Generators &amp; Power"/>
    <x v="0"/>
  </r>
  <r>
    <s v="T00050"/>
    <d v="2025-01-06T00:00:00"/>
    <s v="BR004"/>
    <s v="P003"/>
    <s v="C0156"/>
    <n v="2"/>
    <n v="15"/>
    <n v="45000"/>
    <s v="Naija Mart Sabon Gari"/>
    <n v="76500"/>
    <s v="Electronics"/>
    <x v="11"/>
  </r>
  <r>
    <s v="T01313"/>
    <d v="2025-07-11T00:00:00"/>
    <s v="BR001"/>
    <s v="P012"/>
    <s v="C0100"/>
    <n v="1"/>
    <n v="10"/>
    <n v="28000"/>
    <s v="Naija Mart Ikeja"/>
    <n v="25200"/>
    <s v="Home Appliances"/>
    <x v="10"/>
  </r>
  <r>
    <s v="T01030"/>
    <d v="2025-06-14T00:00:00"/>
    <s v="BR001"/>
    <s v="P006"/>
    <s v="C0019"/>
    <n v="1"/>
    <n v="0"/>
    <n v="78000"/>
    <s v="Naija Mart Ikeja"/>
    <n v="78000"/>
    <s v="Electronics"/>
    <x v="9"/>
  </r>
  <r>
    <s v="T00530"/>
    <d v="2025-07-18T00:00:00"/>
    <s v="BR001"/>
    <s v="P018"/>
    <s v="C0190"/>
    <n v="1"/>
    <n v="0"/>
    <n v="18000"/>
    <s v="Naija Mart Ikeja"/>
    <n v="18000"/>
    <s v="Small Gadgets"/>
    <x v="10"/>
  </r>
  <r>
    <s v="T01259"/>
    <d v="2025-07-12T00:00:00"/>
    <s v="BR002"/>
    <s v="P022"/>
    <s v="C0153"/>
    <n v="2"/>
    <n v="5"/>
    <n v="5200"/>
    <s v="Naija Mart Wuse"/>
    <n v="9880"/>
    <s v="Small Gadgets"/>
    <x v="10"/>
  </r>
  <r>
    <s v="T00487"/>
    <d v="2025-12-19T00:00:00"/>
    <s v="BR002"/>
    <s v="P022"/>
    <s v="C0102"/>
    <n v="3"/>
    <n v="30"/>
    <n v="5200"/>
    <s v="Naija Mart Wuse"/>
    <n v="10920"/>
    <s v="Small Gadgets"/>
    <x v="4"/>
  </r>
  <r>
    <s v="T00498"/>
    <d v="2025-12-26T00:00:00"/>
    <s v="BR001"/>
    <s v="P016"/>
    <s v="C0140"/>
    <n v="1"/>
    <n v="10"/>
    <n v="19500"/>
    <s v="Naija Mart Ikeja"/>
    <n v="17550"/>
    <s v="Home Appliances"/>
    <x v="4"/>
  </r>
  <r>
    <s v="T00107"/>
    <d v="2025-04-18T00:00:00"/>
    <s v="BR003"/>
    <s v="P023"/>
    <s v="C0073"/>
    <n v="1"/>
    <n v="0"/>
    <n v="195000"/>
    <s v="Naija Mart GRA"/>
    <n v="195000"/>
    <s v="Generators &amp; Power"/>
    <x v="5"/>
  </r>
  <r>
    <s v="T00444"/>
    <d v="2025-12-26T00:00:00"/>
    <s v="BR001"/>
    <s v="P012"/>
    <s v="C0095"/>
    <n v="1"/>
    <n v="0"/>
    <n v="28000"/>
    <s v="Naija Mart Ikeja"/>
    <n v="28000"/>
    <s v="Home Appliances"/>
    <x v="4"/>
  </r>
  <r>
    <s v="T00647"/>
    <d v="2025-03-03T00:00:00"/>
    <s v="BR003"/>
    <s v="P003"/>
    <s v="C0092"/>
    <n v="1"/>
    <n v="10"/>
    <n v="45000"/>
    <s v="Naija Mart GRA"/>
    <n v="40500"/>
    <s v="Electronics"/>
    <x v="7"/>
  </r>
  <r>
    <s v="T01037"/>
    <d v="2025-11-08T00:00:00"/>
    <s v="BR001"/>
    <s v="P022"/>
    <s v="C0093"/>
    <n v="1"/>
    <n v="10"/>
    <n v="5200"/>
    <s v="Naija Mart Ikeja"/>
    <n v="4680"/>
    <s v="Small Gadgets"/>
    <x v="0"/>
  </r>
  <r>
    <s v="T00727"/>
    <d v="2025-02-12T00:00:00"/>
    <s v="BR001"/>
    <s v="P015"/>
    <s v="C0058"/>
    <n v="2"/>
    <n v="0"/>
    <n v="15000"/>
    <s v="Naija Mart Ikeja"/>
    <n v="30000"/>
    <s v="Home Appliances"/>
    <x v="1"/>
  </r>
  <r>
    <s v="T00191"/>
    <d v="2025-04-08T00:00:00"/>
    <s v="BR001"/>
    <s v="P020"/>
    <s v="C0078"/>
    <n v="1"/>
    <n v="5"/>
    <n v="8500"/>
    <s v="Naija Mart Ikeja"/>
    <n v="8075"/>
    <s v="Small Gadgets"/>
    <x v="5"/>
  </r>
  <r>
    <s v="T00283"/>
    <d v="2025-10-11T00:00:00"/>
    <s v="BR002"/>
    <s v="P017"/>
    <s v="C0047"/>
    <n v="1"/>
    <n v="10"/>
    <n v="24000"/>
    <s v="Naija Mart Wuse"/>
    <n v="21600"/>
    <s v="Home Appliances"/>
    <x v="8"/>
  </r>
  <r>
    <s v="T00030"/>
    <d v="2025-11-27T00:00:00"/>
    <s v="BR001"/>
    <s v="P008"/>
    <s v="C0084"/>
    <n v="1"/>
    <n v="15"/>
    <n v="410000"/>
    <s v="Naija Mart Ikeja"/>
    <n v="348500"/>
    <s v="Home Appliances"/>
    <x v="0"/>
  </r>
  <r>
    <s v="T00170"/>
    <d v="2025-11-13T00:00:00"/>
    <s v="BR003"/>
    <s v="P021"/>
    <s v="C0212"/>
    <n v="1"/>
    <n v="0"/>
    <n v="6500"/>
    <s v="Naija Mart GRA"/>
    <n v="6500"/>
    <s v="Small Gadgets"/>
    <x v="0"/>
  </r>
  <r>
    <s v="T01002"/>
    <d v="2025-10-11T00:00:00"/>
    <s v="BR002"/>
    <s v="P025"/>
    <s v="C0136"/>
    <n v="3"/>
    <n v="10"/>
    <n v="175000"/>
    <s v="Naija Mart Wuse"/>
    <n v="472500"/>
    <s v="Generators &amp; Power"/>
    <x v="8"/>
  </r>
  <r>
    <s v="T01205"/>
    <d v="2025-09-11T00:00:00"/>
    <s v="BR001"/>
    <s v="P020"/>
    <s v="C0137"/>
    <n v="1"/>
    <n v="20"/>
    <n v="8500"/>
    <s v="Naija Mart Ikeja"/>
    <n v="6800"/>
    <s v="Small Gadgets"/>
    <x v="2"/>
  </r>
  <r>
    <s v="T00101"/>
    <d v="2025-06-21T00:00:00"/>
    <s v="BR002"/>
    <s v="P023"/>
    <s v="C0045"/>
    <n v="2"/>
    <n v="0"/>
    <n v="195000"/>
    <s v="Naija Mart Wuse"/>
    <n v="390000"/>
    <s v="Generators &amp; Power"/>
    <x v="9"/>
  </r>
  <r>
    <s v="T00198"/>
    <d v="2025-05-11T00:00:00"/>
    <s v="BR002"/>
    <s v="P002"/>
    <s v="C0196"/>
    <n v="1"/>
    <n v="15"/>
    <n v="320000"/>
    <s v="Naija Mart Wuse"/>
    <n v="272000"/>
    <s v="Electronics"/>
    <x v="3"/>
  </r>
  <r>
    <s v="T00496"/>
    <d v="2025-11-20T00:00:00"/>
    <s v="BR002"/>
    <s v="P021"/>
    <s v="C0024"/>
    <n v="2"/>
    <n v="5"/>
    <n v="6500"/>
    <s v="Naija Mart Wuse"/>
    <n v="12350"/>
    <s v="Small Gadgets"/>
    <x v="0"/>
  </r>
  <r>
    <s v="T00648"/>
    <d v="2025-07-28T00:00:00"/>
    <s v="BR002"/>
    <s v="P016"/>
    <s v="C0142"/>
    <n v="1"/>
    <n v="0"/>
    <n v="19500"/>
    <s v="Naija Mart Wuse"/>
    <n v="19500"/>
    <s v="Home Appliances"/>
    <x v="10"/>
  </r>
  <r>
    <s v="T00988"/>
    <d v="2025-06-12T00:00:00"/>
    <s v="BR001"/>
    <s v="P001"/>
    <s v="C0176"/>
    <n v="1"/>
    <n v="10"/>
    <n v="185000"/>
    <s v="Naija Mart Ikeja"/>
    <n v="166500"/>
    <s v="Electronics"/>
    <x v="9"/>
  </r>
  <r>
    <s v="T00045"/>
    <d v="2025-02-03T00:00:00"/>
    <s v="BR003"/>
    <s v="P023"/>
    <s v="C0014"/>
    <n v="3"/>
    <n v="0"/>
    <n v="195000"/>
    <s v="Naija Mart GRA"/>
    <n v="585000"/>
    <s v="Generators &amp; Power"/>
    <x v="1"/>
  </r>
  <r>
    <s v="T00711"/>
    <d v="2025-11-07T00:00:00"/>
    <s v="BR003"/>
    <s v="P025"/>
    <s v="C0195"/>
    <n v="1"/>
    <n v="25"/>
    <n v="175000"/>
    <s v="Naija Mart GRA"/>
    <n v="131250"/>
    <s v="Generators &amp; Power"/>
    <x v="0"/>
  </r>
  <r>
    <s v="T00374"/>
    <d v="2025-10-06T00:00:00"/>
    <s v="BR002"/>
    <s v="P020"/>
    <s v="C0177"/>
    <n v="1"/>
    <n v="10"/>
    <n v="8500"/>
    <s v="Naija Mart Wuse"/>
    <n v="7650"/>
    <s v="Small Gadgets"/>
    <x v="8"/>
  </r>
  <r>
    <s v="T00679"/>
    <d v="2025-12-17T00:00:00"/>
    <s v="BR003"/>
    <s v="P017"/>
    <s v="C0072"/>
    <n v="1"/>
    <n v="20"/>
    <n v="24000"/>
    <s v="Naija Mart GRA"/>
    <n v="19200"/>
    <s v="Home Appliances"/>
    <x v="4"/>
  </r>
  <r>
    <s v="T00567"/>
    <d v="2025-12-27T00:00:00"/>
    <s v="BR001"/>
    <s v="P017"/>
    <s v="C0111"/>
    <n v="5"/>
    <n v="25"/>
    <n v="24000"/>
    <s v="Naija Mart Ikeja"/>
    <n v="90000"/>
    <s v="Home Appliances"/>
    <x v="4"/>
  </r>
  <r>
    <s v="T00848"/>
    <d v="2025-01-24T00:00:00"/>
    <s v="BR003"/>
    <s v="P012"/>
    <s v="C0104"/>
    <n v="1"/>
    <n v="5"/>
    <n v="28000"/>
    <s v="Naija Mart GRA"/>
    <n v="26600"/>
    <s v="Home Appliances"/>
    <x v="11"/>
  </r>
  <r>
    <s v="T00461"/>
    <d v="2025-03-17T00:00:00"/>
    <s v="BR004"/>
    <s v="P022"/>
    <s v="C0063"/>
    <n v="2"/>
    <n v="0"/>
    <n v="5200"/>
    <s v="Naija Mart Sabon Gari"/>
    <n v="10400"/>
    <s v="Small Gadgets"/>
    <x v="7"/>
  </r>
  <r>
    <s v="T01156"/>
    <d v="2025-02-17T00:00:00"/>
    <s v="BR003"/>
    <s v="P002"/>
    <s v="C0205"/>
    <n v="2"/>
    <n v="0"/>
    <n v="320000"/>
    <s v="Naija Mart GRA"/>
    <n v="640000"/>
    <s v="Electronics"/>
    <x v="1"/>
  </r>
  <r>
    <s v="T00040"/>
    <d v="2025-04-18T00:00:00"/>
    <s v="BR001"/>
    <s v="P015"/>
    <s v="C0005"/>
    <n v="2"/>
    <n v="0"/>
    <n v="15000"/>
    <s v="Naija Mart Ikeja"/>
    <n v="30000"/>
    <s v="Home Appliances"/>
    <x v="5"/>
  </r>
  <r>
    <s v="T00435"/>
    <d v="2025-01-26T00:00:00"/>
    <s v="BR002"/>
    <s v="P018"/>
    <s v="C0100"/>
    <n v="1"/>
    <n v="5"/>
    <n v="18000"/>
    <s v="Naija Mart Wuse"/>
    <n v="17100"/>
    <s v="Small Gadgets"/>
    <x v="11"/>
  </r>
  <r>
    <s v="T00974"/>
    <d v="2025-03-05T00:00:00"/>
    <s v="BR001"/>
    <s v="P023"/>
    <s v="C0104"/>
    <n v="2"/>
    <n v="10"/>
    <n v="195000"/>
    <s v="Naija Mart Ikeja"/>
    <n v="351000"/>
    <s v="Generators &amp; Power"/>
    <x v="7"/>
  </r>
  <r>
    <s v="T01240"/>
    <d v="2025-04-18T00:00:00"/>
    <s v="BR004"/>
    <s v="P001"/>
    <s v="C0107"/>
    <n v="1"/>
    <n v="5"/>
    <n v="185000"/>
    <s v="Naija Mart Sabon Gari"/>
    <n v="175750"/>
    <s v="Electronics"/>
    <x v="5"/>
  </r>
  <r>
    <s v="T01008"/>
    <d v="2025-07-10T00:00:00"/>
    <s v="BR001"/>
    <s v="P002"/>
    <s v="C0189"/>
    <n v="5"/>
    <n v="0"/>
    <n v="320000"/>
    <s v="Naija Mart Ikeja"/>
    <n v="1600000"/>
    <s v="Electronics"/>
    <x v="10"/>
  </r>
  <r>
    <s v="T00457"/>
    <d v="2025-07-17T00:00:00"/>
    <s v="BR001"/>
    <s v="P008"/>
    <s v="C0078"/>
    <n v="1"/>
    <n v="5"/>
    <n v="410000"/>
    <s v="Naija Mart Ikeja"/>
    <n v="389500"/>
    <s v="Home Appliances"/>
    <x v="10"/>
  </r>
  <r>
    <s v="T00261"/>
    <d v="2025-02-15T00:00:00"/>
    <s v="BR002"/>
    <s v="P001"/>
    <s v="C0047"/>
    <n v="1"/>
    <n v="0"/>
    <n v="185000"/>
    <s v="Naija Mart Wuse"/>
    <n v="185000"/>
    <s v="Electronics"/>
    <x v="1"/>
  </r>
  <r>
    <s v="T00036"/>
    <d v="2025-03-23T00:00:00"/>
    <s v="BR001"/>
    <s v="P013"/>
    <s v="C0217"/>
    <n v="1"/>
    <n v="20"/>
    <n v="22000"/>
    <s v="Naija Mart Ikeja"/>
    <n v="17600"/>
    <s v="Home Appliances"/>
    <x v="7"/>
  </r>
  <r>
    <s v="T00828"/>
    <d v="2025-12-25T00:00:00"/>
    <s v="BR001"/>
    <s v="P011"/>
    <s v="C0088"/>
    <n v="2"/>
    <n v="20"/>
    <n v="74000"/>
    <s v="Naija Mart Ikeja"/>
    <n v="118400"/>
    <s v="Home Appliances"/>
    <x v="4"/>
  </r>
  <r>
    <s v="T00310"/>
    <d v="2025-04-11T00:00:00"/>
    <s v="BR003"/>
    <s v="P019"/>
    <s v="C0172"/>
    <n v="1"/>
    <n v="10"/>
    <n v="21000"/>
    <s v="Naija Mart GRA"/>
    <n v="18900"/>
    <s v="Small Gadgets"/>
    <x v="5"/>
  </r>
  <r>
    <s v="T00277"/>
    <d v="2025-03-28T00:00:00"/>
    <s v="BR001"/>
    <s v="P001"/>
    <s v="C0148"/>
    <n v="1"/>
    <n v="0"/>
    <n v="185000"/>
    <s v="Naija Mart Ikeja"/>
    <n v="185000"/>
    <s v="Electronics"/>
    <x v="7"/>
  </r>
  <r>
    <s v="T00637"/>
    <d v="2025-01-18T00:00:00"/>
    <s v="BR001"/>
    <s v="P013"/>
    <s v="C0219"/>
    <n v="1"/>
    <n v="0"/>
    <n v="22000"/>
    <s v="Naija Mart Ikeja"/>
    <n v="22000"/>
    <s v="Home Appliances"/>
    <x v="11"/>
  </r>
  <r>
    <s v="T00655"/>
    <d v="2025-06-14T00:00:00"/>
    <s v="BR002"/>
    <s v="P015"/>
    <s v="C0112"/>
    <n v="1"/>
    <n v="0"/>
    <n v="15000"/>
    <s v="Naija Mart Wuse"/>
    <n v="15000"/>
    <s v="Home Appliances"/>
    <x v="9"/>
  </r>
  <r>
    <s v="T00623"/>
    <d v="2025-07-09T00:00:00"/>
    <s v="BR002"/>
    <s v="P012"/>
    <s v="C0141"/>
    <n v="1"/>
    <n v="0"/>
    <n v="28000"/>
    <s v="Naija Mart Wuse"/>
    <n v="28000"/>
    <s v="Home Appliances"/>
    <x v="10"/>
  </r>
  <r>
    <s v="T00845"/>
    <d v="2025-06-20T00:00:00"/>
    <s v="BR003"/>
    <s v="P007"/>
    <s v="C0033"/>
    <n v="1"/>
    <n v="0"/>
    <n v="145000"/>
    <s v="Naija Mart GRA"/>
    <n v="145000"/>
    <s v="Electronics"/>
    <x v="9"/>
  </r>
  <r>
    <s v="T00394"/>
    <d v="2025-06-19T00:00:00"/>
    <s v="BR003"/>
    <s v="P013"/>
    <s v="C0143"/>
    <n v="2"/>
    <n v="0"/>
    <n v="22000"/>
    <s v="Naija Mart GRA"/>
    <n v="44000"/>
    <s v="Home Appliances"/>
    <x v="9"/>
  </r>
  <r>
    <s v="T00108"/>
    <d v="2025-05-10T00:00:00"/>
    <s v="BR001"/>
    <s v="P017"/>
    <s v="C0067"/>
    <n v="5"/>
    <n v="0"/>
    <n v="24000"/>
    <s v="Naija Mart Ikeja"/>
    <n v="120000"/>
    <s v="Home Appliances"/>
    <x v="3"/>
  </r>
  <r>
    <s v="T00350"/>
    <d v="2025-03-02T00:00:00"/>
    <s v="BR001"/>
    <s v="P011"/>
    <s v="C0087"/>
    <n v="1"/>
    <n v="0"/>
    <n v="74000"/>
    <s v="Naija Mart Ikeja"/>
    <n v="74000"/>
    <s v="Home Appliances"/>
    <x v="7"/>
  </r>
  <r>
    <s v="T00525"/>
    <d v="2025-03-14T00:00:00"/>
    <s v="BR002"/>
    <s v="P006"/>
    <s v="C0003"/>
    <n v="1"/>
    <n v="0"/>
    <n v="78000"/>
    <s v="Naija Mart Wuse"/>
    <n v="78000"/>
    <s v="Electronics"/>
    <x v="7"/>
  </r>
  <r>
    <s v="T00785"/>
    <d v="2025-05-06T00:00:00"/>
    <s v="BR002"/>
    <s v="P023"/>
    <s v="C0039"/>
    <n v="1"/>
    <n v="0"/>
    <n v="195000"/>
    <s v="Naija Mart Wuse"/>
    <n v="195000"/>
    <s v="Generators &amp; Power"/>
    <x v="3"/>
  </r>
  <r>
    <s v="T00048"/>
    <d v="2025-03-20T00:00:00"/>
    <s v="BR003"/>
    <s v="P023"/>
    <s v="C0083"/>
    <n v="1"/>
    <n v="0"/>
    <n v="195000"/>
    <s v="Naija Mart GRA"/>
    <n v="195000"/>
    <s v="Generators &amp; Power"/>
    <x v="7"/>
  </r>
  <r>
    <s v="T00204"/>
    <d v="2025-08-21T00:00:00"/>
    <s v="BR002"/>
    <s v="P023"/>
    <s v="C0193"/>
    <n v="1"/>
    <n v="0"/>
    <n v="195000"/>
    <s v="Naija Mart Wuse"/>
    <n v="195000"/>
    <s v="Generators &amp; Power"/>
    <x v="6"/>
  </r>
  <r>
    <s v="T00022"/>
    <d v="2025-08-10T00:00:00"/>
    <s v="BR001"/>
    <s v="P013"/>
    <s v="C0155"/>
    <n v="2"/>
    <n v="0"/>
    <n v="22000"/>
    <s v="Naija Mart Ikeja"/>
    <n v="44000"/>
    <s v="Home Appliances"/>
    <x v="6"/>
  </r>
  <r>
    <s v="T00403"/>
    <d v="2025-10-23T00:00:00"/>
    <s v="BR002"/>
    <s v="P006"/>
    <s v="C0181"/>
    <n v="1"/>
    <n v="0"/>
    <n v="78000"/>
    <s v="Naija Mart Wuse"/>
    <n v="78000"/>
    <s v="Electronics"/>
    <x v="8"/>
  </r>
  <r>
    <s v="T01108"/>
    <d v="2025-03-07T00:00:00"/>
    <s v="BR001"/>
    <s v="P017"/>
    <s v="C0141"/>
    <n v="1"/>
    <n v="0"/>
    <n v="24000"/>
    <s v="Naija Mart Ikeja"/>
    <n v="24000"/>
    <s v="Home Appliances"/>
    <x v="7"/>
  </r>
  <r>
    <s v="T01155"/>
    <d v="2025-03-22T00:00:00"/>
    <s v="BR003"/>
    <s v="P022"/>
    <s v="C0035"/>
    <n v="1"/>
    <n v="10"/>
    <n v="5200"/>
    <s v="Naija Mart GRA"/>
    <n v="4680"/>
    <s v="Small Gadgets"/>
    <x v="7"/>
  </r>
  <r>
    <s v="T00990"/>
    <d v="2025-12-23T00:00:00"/>
    <s v="BR003"/>
    <s v="P012"/>
    <s v="C0192"/>
    <n v="1"/>
    <n v="10"/>
    <n v="28000"/>
    <s v="Naija Mart GRA"/>
    <n v="25200"/>
    <s v="Home Appliances"/>
    <x v="4"/>
  </r>
  <r>
    <s v="T00742"/>
    <d v="2025-07-05T00:00:00"/>
    <s v="BR003"/>
    <s v="P021"/>
    <s v="C0220"/>
    <n v="1"/>
    <n v="10"/>
    <n v="6500"/>
    <s v="Naija Mart GRA"/>
    <n v="5850"/>
    <s v="Small Gadgets"/>
    <x v="10"/>
  </r>
  <r>
    <s v="T01311"/>
    <d v="2025-07-25T00:00:00"/>
    <s v="BR002"/>
    <s v="P013"/>
    <s v="C0176"/>
    <n v="1"/>
    <n v="0"/>
    <n v="22000"/>
    <s v="Naija Mart Wuse"/>
    <n v="22000"/>
    <s v="Home Appliances"/>
    <x v="10"/>
  </r>
  <r>
    <s v="T01148"/>
    <d v="2025-01-27T00:00:00"/>
    <s v="BR004"/>
    <s v="P021"/>
    <s v="C0177"/>
    <n v="2"/>
    <n v="10"/>
    <n v="6500"/>
    <s v="Naija Mart Sabon Gari"/>
    <n v="11700"/>
    <s v="Small Gadgets"/>
    <x v="11"/>
  </r>
  <r>
    <s v="T00034"/>
    <d v="2025-07-23T00:00:00"/>
    <s v="BR001"/>
    <s v="P007"/>
    <s v="C0084"/>
    <n v="1"/>
    <n v="5"/>
    <n v="145000"/>
    <s v="Naija Mart Ikeja"/>
    <n v="137750"/>
    <s v="Electronics"/>
    <x v="10"/>
  </r>
  <r>
    <s v="T00788"/>
    <d v="2025-06-21T00:00:00"/>
    <s v="BR001"/>
    <s v="P006"/>
    <s v="C0212"/>
    <n v="2"/>
    <n v="5"/>
    <n v="78000"/>
    <s v="Naija Mart Ikeja"/>
    <n v="148200"/>
    <s v="Electronics"/>
    <x v="9"/>
  </r>
  <r>
    <s v="T00924"/>
    <d v="2025-09-07T00:00:00"/>
    <s v="BR001"/>
    <s v="P004"/>
    <s v="C0206"/>
    <n v="2"/>
    <n v="0"/>
    <n v="38000"/>
    <s v="Naija Mart Ikeja"/>
    <n v="76000"/>
    <s v="Electronics"/>
    <x v="2"/>
  </r>
  <r>
    <s v="T01044"/>
    <d v="2025-12-03T00:00:00"/>
    <s v="BR002"/>
    <s v="P016"/>
    <s v="C0002"/>
    <n v="1"/>
    <n v="0"/>
    <n v="19500"/>
    <s v="Naija Mart Wuse"/>
    <n v="19500"/>
    <s v="Home Appliances"/>
    <x v="4"/>
  </r>
  <r>
    <s v="T01353"/>
    <d v="2025-09-01T00:00:00"/>
    <s v="BR004"/>
    <s v="P008"/>
    <s v="C0111"/>
    <n v="1"/>
    <n v="0"/>
    <n v="410000"/>
    <s v="Naija Mart Sabon Gari"/>
    <n v="410000"/>
    <s v="Home Appliances"/>
    <x v="2"/>
  </r>
  <r>
    <s v="T01244"/>
    <d v="2025-04-11T00:00:00"/>
    <s v="BR001"/>
    <s v="P008"/>
    <s v="C0020"/>
    <n v="2"/>
    <n v="25"/>
    <n v="410000"/>
    <s v="Naija Mart Ikeja"/>
    <n v="615000"/>
    <s v="Home Appliances"/>
    <x v="5"/>
  </r>
  <r>
    <s v="T00580"/>
    <d v="2025-12-21T00:00:00"/>
    <s v="BR003"/>
    <s v="P016"/>
    <s v="C0070"/>
    <n v="1"/>
    <n v="0"/>
    <n v="19500"/>
    <s v="Naija Mart GRA"/>
    <n v="19500"/>
    <s v="Home Appliances"/>
    <x v="4"/>
  </r>
  <r>
    <s v="T00482"/>
    <d v="2025-11-06T00:00:00"/>
    <s v="BR002"/>
    <s v="P011"/>
    <s v="C0205"/>
    <n v="1"/>
    <n v="0"/>
    <n v="74000"/>
    <s v="Naija Mart Wuse"/>
    <n v="74000"/>
    <s v="Home Appliances"/>
    <x v="0"/>
  </r>
  <r>
    <s v="T00932"/>
    <d v="2025-08-25T00:00:00"/>
    <s v="BR001"/>
    <s v="P011"/>
    <s v="C0206"/>
    <n v="1"/>
    <n v="0"/>
    <n v="74000"/>
    <s v="Naija Mart Ikeja"/>
    <n v="74000"/>
    <s v="Home Appliances"/>
    <x v="6"/>
  </r>
  <r>
    <s v="T00357"/>
    <d v="2025-02-22T00:00:00"/>
    <s v="BR001"/>
    <s v="P008"/>
    <s v="C0077"/>
    <n v="1"/>
    <n v="0"/>
    <n v="410000"/>
    <s v="Naija Mart Ikeja"/>
    <n v="410000"/>
    <s v="Home Appliances"/>
    <x v="1"/>
  </r>
  <r>
    <s v="T01249"/>
    <d v="2025-10-04T00:00:00"/>
    <s v="BR001"/>
    <s v="P006"/>
    <s v="C0196"/>
    <n v="5"/>
    <n v="0"/>
    <n v="78000"/>
    <s v="Naija Mart Ikeja"/>
    <n v="390000"/>
    <s v="Electronics"/>
    <x v="8"/>
  </r>
  <r>
    <s v="T00760"/>
    <d v="2025-06-17T00:00:00"/>
    <s v="BR001"/>
    <s v="P011"/>
    <s v="C0089"/>
    <n v="2"/>
    <n v="0"/>
    <n v="74000"/>
    <s v="Naija Mart Ikeja"/>
    <n v="148000"/>
    <s v="Home Appliances"/>
    <x v="9"/>
  </r>
  <r>
    <s v="T00093"/>
    <d v="2025-04-27T00:00:00"/>
    <s v="BR001"/>
    <s v="P020"/>
    <s v="C0140"/>
    <n v="1"/>
    <n v="0"/>
    <n v="8500"/>
    <s v="Naija Mart Ikeja"/>
    <n v="8500"/>
    <s v="Small Gadgets"/>
    <x v="5"/>
  </r>
  <r>
    <s v="T01176"/>
    <d v="2025-10-08T00:00:00"/>
    <s v="BR001"/>
    <s v="P013"/>
    <s v="C0003"/>
    <n v="1"/>
    <n v="0"/>
    <n v="22000"/>
    <s v="Naija Mart Ikeja"/>
    <n v="22000"/>
    <s v="Home Appliances"/>
    <x v="8"/>
  </r>
  <r>
    <s v="T01342"/>
    <d v="2025-12-27T00:00:00"/>
    <s v="BR001"/>
    <s v="P007"/>
    <s v="C0033"/>
    <n v="1"/>
    <n v="5"/>
    <n v="145000"/>
    <s v="Naija Mart Ikeja"/>
    <n v="137750"/>
    <s v="Electronics"/>
    <x v="4"/>
  </r>
  <r>
    <s v="T00804"/>
    <d v="2025-01-17T00:00:00"/>
    <s v="BR004"/>
    <s v="P021"/>
    <s v="C0111"/>
    <n v="1"/>
    <n v="0"/>
    <n v="6500"/>
    <s v="Naija Mart Sabon Gari"/>
    <n v="6500"/>
    <s v="Small Gadgets"/>
    <x v="11"/>
  </r>
  <r>
    <s v="T00746"/>
    <d v="2025-05-01T00:00:00"/>
    <s v="BR001"/>
    <s v="P014"/>
    <s v="C0201"/>
    <n v="3"/>
    <n v="0"/>
    <n v="285000"/>
    <s v="Naija Mart Ikeja"/>
    <n v="855000"/>
    <s v="Home Appliances"/>
    <x v="3"/>
  </r>
  <r>
    <s v="T00280"/>
    <d v="2025-10-13T00:00:00"/>
    <s v="BR001"/>
    <s v="P004"/>
    <s v="C0032"/>
    <n v="1"/>
    <n v="5"/>
    <n v="38000"/>
    <s v="Naija Mart Ikeja"/>
    <n v="36100"/>
    <s v="Electronics"/>
    <x v="8"/>
  </r>
  <r>
    <s v="T00765"/>
    <d v="2025-10-13T00:00:00"/>
    <s v="BR002"/>
    <s v="P021"/>
    <s v="C0120"/>
    <n v="2"/>
    <n v="0"/>
    <n v="6500"/>
    <s v="Naija Mart Wuse"/>
    <n v="13000"/>
    <s v="Small Gadgets"/>
    <x v="8"/>
  </r>
  <r>
    <s v="T00605"/>
    <d v="2025-07-05T00:00:00"/>
    <s v="BR001"/>
    <s v="P023"/>
    <s v="C0147"/>
    <n v="1"/>
    <n v="0"/>
    <n v="195000"/>
    <s v="Naija Mart Ikeja"/>
    <n v="195000"/>
    <s v="Generators &amp; Power"/>
    <x v="10"/>
  </r>
  <r>
    <s v="T01391"/>
    <d v="2025-04-18T00:00:00"/>
    <s v="BR003"/>
    <s v="P002"/>
    <s v="C0085"/>
    <n v="2"/>
    <n v="0"/>
    <n v="320000"/>
    <s v="Naija Mart GRA"/>
    <n v="640000"/>
    <s v="Electronics"/>
    <x v="5"/>
  </r>
  <r>
    <s v="T00401"/>
    <d v="2025-08-14T00:00:00"/>
    <s v="BR001"/>
    <s v="P021"/>
    <s v="C0040"/>
    <n v="2"/>
    <n v="0"/>
    <n v="6500"/>
    <s v="Naija Mart Ikeja"/>
    <n v="13000"/>
    <s v="Small Gadgets"/>
    <x v="6"/>
  </r>
  <r>
    <s v="T00258"/>
    <d v="2025-08-22T00:00:00"/>
    <s v="BR001"/>
    <s v="P001"/>
    <s v="C0213"/>
    <n v="1"/>
    <n v="5"/>
    <n v="185000"/>
    <s v="Naija Mart Ikeja"/>
    <n v="175750"/>
    <s v="Electronics"/>
    <x v="6"/>
  </r>
  <r>
    <s v="T00945"/>
    <d v="2025-03-21T00:00:00"/>
    <s v="BR001"/>
    <s v="P016"/>
    <s v="C0109"/>
    <n v="3"/>
    <n v="0"/>
    <n v="19500"/>
    <s v="Naija Mart Ikeja"/>
    <n v="58500"/>
    <s v="Home Appliances"/>
    <x v="7"/>
  </r>
  <r>
    <s v="T01097"/>
    <d v="2025-06-23T00:00:00"/>
    <s v="BR001"/>
    <s v="P023"/>
    <s v="C0040"/>
    <n v="2"/>
    <n v="0"/>
    <n v="195000"/>
    <s v="Naija Mart Ikeja"/>
    <n v="390000"/>
    <s v="Generators &amp; Power"/>
    <x v="9"/>
  </r>
  <r>
    <s v="T01220"/>
    <d v="2025-11-15T00:00:00"/>
    <s v="BR004"/>
    <s v="P013"/>
    <s v="C0092"/>
    <n v="2"/>
    <n v="0"/>
    <n v="22000"/>
    <s v="Naija Mart Sabon Gari"/>
    <n v="44000"/>
    <s v="Home Appliances"/>
    <x v="0"/>
  </r>
  <r>
    <s v="T01162"/>
    <d v="2025-06-01T00:00:00"/>
    <s v="BR003"/>
    <s v="P025"/>
    <s v="C0056"/>
    <n v="1"/>
    <n v="0"/>
    <n v="175000"/>
    <s v="Naija Mart GRA"/>
    <n v="175000"/>
    <s v="Generators &amp; Power"/>
    <x v="9"/>
  </r>
  <r>
    <s v="T00495"/>
    <d v="2025-01-17T00:00:00"/>
    <s v="BR001"/>
    <s v="P020"/>
    <s v="C0135"/>
    <n v="1"/>
    <n v="0"/>
    <n v="8500"/>
    <s v="Naija Mart Ikeja"/>
    <n v="8500"/>
    <s v="Small Gadgets"/>
    <x v="11"/>
  </r>
  <r>
    <s v="T00773"/>
    <d v="2025-04-06T00:00:00"/>
    <s v="BR001"/>
    <s v="P017"/>
    <s v="C0153"/>
    <n v="1"/>
    <n v="0"/>
    <n v="24000"/>
    <s v="Naija Mart Ikeja"/>
    <n v="24000"/>
    <s v="Home Appliances"/>
    <x v="5"/>
  </r>
  <r>
    <s v="T00551"/>
    <d v="2025-12-28T00:00:00"/>
    <s v="BR001"/>
    <s v="P008"/>
    <s v="C0209"/>
    <n v="2"/>
    <n v="0"/>
    <n v="410000"/>
    <s v="Naija Mart Ikeja"/>
    <n v="820000"/>
    <s v="Home Appliances"/>
    <x v="4"/>
  </r>
  <r>
    <s v="T00202"/>
    <d v="2025-01-23T00:00:00"/>
    <s v="BR002"/>
    <s v="P019"/>
    <s v="C0202"/>
    <n v="1"/>
    <n v="15"/>
    <n v="21000"/>
    <s v="Naija Mart Wuse"/>
    <n v="17850"/>
    <s v="Small Gadgets"/>
    <x v="11"/>
  </r>
  <r>
    <s v="T00313"/>
    <d v="2025-10-11T00:00:00"/>
    <s v="BR004"/>
    <s v="P012"/>
    <s v="C0187"/>
    <n v="1"/>
    <n v="10"/>
    <n v="28000"/>
    <s v="Naija Mart Sabon Gari"/>
    <n v="25200"/>
    <s v="Home Appliances"/>
    <x v="8"/>
  </r>
  <r>
    <s v="T00291"/>
    <d v="2025-11-22T00:00:00"/>
    <s v="BR001"/>
    <s v="P022"/>
    <s v="C0100"/>
    <n v="1"/>
    <n v="10"/>
    <n v="5200"/>
    <s v="Naija Mart Ikeja"/>
    <n v="4680"/>
    <s v="Small Gadgets"/>
    <x v="0"/>
  </r>
  <r>
    <s v="T01214"/>
    <d v="2025-07-21T00:00:00"/>
    <s v="BR001"/>
    <s v="P004"/>
    <s v="C0108"/>
    <n v="1"/>
    <n v="5"/>
    <n v="38000"/>
    <s v="Naija Mart Ikeja"/>
    <n v="36100"/>
    <s v="Electronics"/>
    <x v="10"/>
  </r>
  <r>
    <s v="T00764"/>
    <d v="2025-12-11T00:00:00"/>
    <s v="BR001"/>
    <s v="P022"/>
    <s v="C0075"/>
    <n v="1"/>
    <n v="5"/>
    <n v="5200"/>
    <s v="Naija Mart Ikeja"/>
    <n v="4940"/>
    <s v="Small Gadgets"/>
    <x v="4"/>
  </r>
  <r>
    <s v="T01137"/>
    <d v="2025-06-26T00:00:00"/>
    <s v="BR001"/>
    <s v="P010"/>
    <s v="C0169"/>
    <n v="2"/>
    <n v="0"/>
    <n v="62000"/>
    <s v="Naija Mart Ikeja"/>
    <n v="124000"/>
    <s v="Home Appliances"/>
    <x v="9"/>
  </r>
  <r>
    <s v="T00950"/>
    <d v="2025-10-05T00:00:00"/>
    <s v="BR003"/>
    <s v="P009"/>
    <s v="C0050"/>
    <n v="3"/>
    <n v="0"/>
    <n v="265000"/>
    <s v="Naija Mart GRA"/>
    <n v="795000"/>
    <s v="Home Appliances"/>
    <x v="8"/>
  </r>
  <r>
    <s v="T00184"/>
    <d v="2025-08-16T00:00:00"/>
    <s v="BR004"/>
    <s v="P004"/>
    <s v="C0155"/>
    <n v="1"/>
    <n v="0"/>
    <n v="38000"/>
    <s v="Naija Mart Sabon Gari"/>
    <n v="38000"/>
    <s v="Electronics"/>
    <x v="6"/>
  </r>
  <r>
    <s v="T01177"/>
    <d v="2025-12-28T00:00:00"/>
    <s v="BR001"/>
    <s v="P010"/>
    <s v="C0104"/>
    <n v="1"/>
    <n v="0"/>
    <n v="62000"/>
    <s v="Naija Mart Ikeja"/>
    <n v="62000"/>
    <s v="Home Appliances"/>
    <x v="4"/>
  </r>
  <r>
    <s v="T01350"/>
    <d v="2025-01-04T00:00:00"/>
    <s v="BR002"/>
    <s v="P019"/>
    <s v="C0021"/>
    <n v="1"/>
    <n v="0"/>
    <n v="21000"/>
    <s v="Naija Mart Wuse"/>
    <n v="21000"/>
    <s v="Small Gadgets"/>
    <x v="11"/>
  </r>
  <r>
    <s v="T01069"/>
    <d v="2025-12-04T00:00:00"/>
    <s v="BR001"/>
    <s v="P007"/>
    <s v="C0012"/>
    <n v="5"/>
    <n v="0"/>
    <n v="145000"/>
    <s v="Naija Mart Ikeja"/>
    <n v="725000"/>
    <s v="Electronics"/>
    <x v="4"/>
  </r>
  <r>
    <s v="T01031"/>
    <d v="2025-11-20T00:00:00"/>
    <s v="BR004"/>
    <s v="P021"/>
    <s v="C0116"/>
    <n v="1"/>
    <n v="0"/>
    <n v="6500"/>
    <s v="Naija Mart Sabon Gari"/>
    <n v="6500"/>
    <s v="Small Gadgets"/>
    <x v="0"/>
  </r>
  <r>
    <s v="T00251"/>
    <d v="2025-08-16T00:00:00"/>
    <s v="BR001"/>
    <s v="P016"/>
    <s v="C0196"/>
    <n v="2"/>
    <n v="15"/>
    <n v="19500"/>
    <s v="Naija Mart Ikeja"/>
    <n v="33150"/>
    <s v="Home Appliances"/>
    <x v="6"/>
  </r>
  <r>
    <s v="T00824"/>
    <d v="2025-05-17T00:00:00"/>
    <s v="BR004"/>
    <s v="P013"/>
    <s v="C0220"/>
    <n v="1"/>
    <n v="0"/>
    <n v="22000"/>
    <s v="Naija Mart Sabon Gari"/>
    <n v="22000"/>
    <s v="Home Appliances"/>
    <x v="3"/>
  </r>
  <r>
    <s v="T01100"/>
    <d v="2025-04-20T00:00:00"/>
    <s v="BR001"/>
    <s v="P006"/>
    <s v="C0147"/>
    <n v="1"/>
    <n v="0"/>
    <n v="78000"/>
    <s v="Naija Mart Ikeja"/>
    <n v="78000"/>
    <s v="Electronics"/>
    <x v="5"/>
  </r>
  <r>
    <s v="T00941"/>
    <d v="2025-08-27T00:00:00"/>
    <s v="BR001"/>
    <s v="P011"/>
    <s v="C0047"/>
    <n v="1"/>
    <n v="0"/>
    <n v="74000"/>
    <s v="Naija Mart Ikeja"/>
    <n v="74000"/>
    <s v="Home Appliances"/>
    <x v="6"/>
  </r>
  <r>
    <s v="T00392"/>
    <d v="2025-06-18T00:00:00"/>
    <s v="BR003"/>
    <s v="P011"/>
    <s v="C0219"/>
    <n v="1"/>
    <n v="0"/>
    <n v="74000"/>
    <s v="Naija Mart GRA"/>
    <n v="74000"/>
    <s v="Home Appliances"/>
    <x v="9"/>
  </r>
  <r>
    <s v="T01093"/>
    <d v="2025-04-01T00:00:00"/>
    <s v="BR001"/>
    <s v="P014"/>
    <s v="C0044"/>
    <n v="1"/>
    <n v="0"/>
    <n v="285000"/>
    <s v="Naija Mart Ikeja"/>
    <n v="285000"/>
    <s v="Home Appliances"/>
    <x v="5"/>
  </r>
  <r>
    <s v="T01192"/>
    <d v="2025-06-12T00:00:00"/>
    <s v="BR002"/>
    <s v="P021"/>
    <s v="C0134"/>
    <n v="1"/>
    <n v="10"/>
    <n v="6500"/>
    <s v="Naija Mart Wuse"/>
    <n v="5850"/>
    <s v="Small Gadgets"/>
    <x v="9"/>
  </r>
  <r>
    <s v="T00905"/>
    <d v="2025-11-23T00:00:00"/>
    <s v="BR003"/>
    <s v="P013"/>
    <s v="C0167"/>
    <n v="1"/>
    <n v="15"/>
    <n v="22000"/>
    <s v="Naija Mart GRA"/>
    <n v="18700"/>
    <s v="Home Appliances"/>
    <x v="0"/>
  </r>
  <r>
    <s v="T00731"/>
    <d v="2025-08-21T00:00:00"/>
    <s v="BR002"/>
    <s v="P018"/>
    <s v="C0037"/>
    <n v="1"/>
    <n v="10"/>
    <n v="18000"/>
    <s v="Naija Mart Wuse"/>
    <n v="16200"/>
    <s v="Small Gadgets"/>
    <x v="6"/>
  </r>
  <r>
    <s v="T00555"/>
    <d v="2025-01-25T00:00:00"/>
    <s v="BR001"/>
    <s v="P021"/>
    <s v="C0098"/>
    <n v="1"/>
    <n v="10"/>
    <n v="6500"/>
    <s v="Naija Mart Ikeja"/>
    <n v="5850"/>
    <s v="Small Gadgets"/>
    <x v="11"/>
  </r>
  <r>
    <s v="T00367"/>
    <d v="2025-06-20T00:00:00"/>
    <s v="BR002"/>
    <s v="P012"/>
    <s v="C0196"/>
    <n v="1"/>
    <n v="0"/>
    <n v="28000"/>
    <s v="Naija Mart Wuse"/>
    <n v="28000"/>
    <s v="Home Appliances"/>
    <x v="9"/>
  </r>
  <r>
    <s v="T00346"/>
    <d v="2025-09-13T00:00:00"/>
    <s v="BR002"/>
    <s v="P016"/>
    <s v="C0092"/>
    <n v="1"/>
    <n v="0"/>
    <n v="19500"/>
    <s v="Naija Mart Wuse"/>
    <n v="19500"/>
    <s v="Home Appliances"/>
    <x v="2"/>
  </r>
  <r>
    <s v="T00536"/>
    <d v="2025-12-14T00:00:00"/>
    <s v="BR001"/>
    <s v="P016"/>
    <s v="C0056"/>
    <n v="1"/>
    <n v="10"/>
    <n v="19500"/>
    <s v="Naija Mart Ikeja"/>
    <n v="17550"/>
    <s v="Home Appliances"/>
    <x v="4"/>
  </r>
  <r>
    <s v="T01210"/>
    <d v="2025-01-11T00:00:00"/>
    <s v="BR001"/>
    <s v="P016"/>
    <s v="C0215"/>
    <n v="2"/>
    <n v="5"/>
    <n v="19500"/>
    <s v="Naija Mart Ikeja"/>
    <n v="37050"/>
    <s v="Home Appliances"/>
    <x v="11"/>
  </r>
  <r>
    <s v="T01373"/>
    <d v="2025-07-23T00:00:00"/>
    <s v="BR003"/>
    <s v="P010"/>
    <s v="C0060"/>
    <n v="2"/>
    <n v="0"/>
    <n v="62000"/>
    <s v="Naija Mart GRA"/>
    <n v="124000"/>
    <s v="Home Appliances"/>
    <x v="10"/>
  </r>
  <r>
    <s v="T00920"/>
    <d v="2025-02-20T00:00:00"/>
    <s v="BR004"/>
    <s v="P018"/>
    <s v="C0206"/>
    <n v="2"/>
    <n v="0"/>
    <n v="18000"/>
    <s v="Naija Mart Sabon Gari"/>
    <n v="36000"/>
    <s v="Small Gadgets"/>
    <x v="1"/>
  </r>
  <r>
    <s v="T00212"/>
    <d v="2025-02-23T00:00:00"/>
    <s v="BR001"/>
    <s v="P005"/>
    <s v="C0153"/>
    <n v="2"/>
    <n v="5"/>
    <n v="95000"/>
    <s v="Naija Mart Ikeja"/>
    <n v="180500"/>
    <s v="Electronics"/>
    <x v="1"/>
  </r>
  <r>
    <s v="T00503"/>
    <d v="2025-07-25T00:00:00"/>
    <s v="BR002"/>
    <s v="P002"/>
    <s v="C0165"/>
    <n v="1"/>
    <n v="0"/>
    <n v="320000"/>
    <s v="Naija Mart Wuse"/>
    <n v="320000"/>
    <s v="Electronics"/>
    <x v="10"/>
  </r>
  <r>
    <s v="T00538"/>
    <d v="2025-10-22T00:00:00"/>
    <s v="BR001"/>
    <s v="P002"/>
    <s v="C0003"/>
    <n v="1"/>
    <n v="0"/>
    <n v="320000"/>
    <s v="Naija Mart Ikeja"/>
    <n v="320000"/>
    <s v="Electronics"/>
    <x v="8"/>
  </r>
  <r>
    <s v="T01221"/>
    <d v="2025-11-23T00:00:00"/>
    <s v="BR001"/>
    <s v="P021"/>
    <s v="C0055"/>
    <n v="1"/>
    <n v="0"/>
    <n v="6500"/>
    <s v="Naija Mart Ikeja"/>
    <n v="6500"/>
    <s v="Small Gadgets"/>
    <x v="0"/>
  </r>
  <r>
    <s v="T00176"/>
    <d v="2025-11-24T00:00:00"/>
    <s v="BR003"/>
    <s v="P006"/>
    <s v="C0070"/>
    <n v="1"/>
    <n v="0"/>
    <n v="78000"/>
    <s v="Naija Mart GRA"/>
    <n v="78000"/>
    <s v="Electronic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3" cacheId="2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4">
  <location ref="A5:B10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dataField="1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9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2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6:B11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dataField="1" showAll="0"/>
    <pivotField axis="axisRow" showAll="0">
      <items count="5">
        <item x="1"/>
        <item x="2"/>
        <item x="0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2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7:B12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dataField="1"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venue" fld="9" subtotal="average" baseField="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2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1:B14" firstHeaderRow="1" firstDataRow="1" firstDataCol="1"/>
  <pivotFields count="12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3">
        <item x="11"/>
        <item x="1"/>
        <item x="7"/>
        <item x="5"/>
        <item x="3"/>
        <item x="9"/>
        <item x="10"/>
        <item x="6"/>
        <item x="2"/>
        <item x="8"/>
        <item x="0"/>
        <item x="4"/>
        <item t="default"/>
      </items>
    </pivotField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branche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products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ustomers" connectionId="2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1" name="Table1" displayName="Table1" ref="A1:L1409" totalsRowShown="0" headerRowDxfId="13" dataDxfId="12">
  <autoFilter ref="A1:L1409"/>
  <tableColumns count="12">
    <tableColumn id="1" name="transaction_id" dataDxfId="11"/>
    <tableColumn id="2" name="date" dataDxfId="10"/>
    <tableColumn id="3" name="branch_id" dataDxfId="9"/>
    <tableColumn id="4" name="product_id" dataDxfId="8"/>
    <tableColumn id="5" name="customer_id" dataDxfId="7"/>
    <tableColumn id="6" name="quantity" dataDxfId="6"/>
    <tableColumn id="7" name="discount_pct" dataDxfId="5"/>
    <tableColumn id="8" name="unit_price" dataDxfId="4">
      <calculatedColumnFormula>VLOOKUP(D2,products!A:D,4,FALSE)</calculatedColumnFormula>
    </tableColumn>
    <tableColumn id="9" name="branch_name" dataDxfId="3">
      <calculatedColumnFormula>VLOOKUP(C2,branches!A:B,2,FALSE)</calculatedColumnFormula>
    </tableColumn>
    <tableColumn id="10" name="revenue" dataDxfId="2">
      <calculatedColumnFormula>F2*H2*(1-G2/100)</calculatedColumnFormula>
    </tableColumn>
    <tableColumn id="11" name="category" dataDxfId="1">
      <calculatedColumnFormula>VLOOKUP(D2,products!A:D,2,FALSE)</calculatedColumnFormula>
    </tableColumn>
    <tableColumn id="12" name="month" dataDxfId="0">
      <calculatedColumnFormula>TEXT(B2,"mmm-yyyy")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10"/>
  <sheetViews>
    <sheetView workbookViewId="0">
      <selection activeCell="K15" sqref="K15"/>
    </sheetView>
  </sheetViews>
  <sheetFormatPr defaultRowHeight="15" x14ac:dyDescent="0.25"/>
  <cols>
    <col min="1" max="1" width="20.28515625" bestFit="1" customWidth="1"/>
    <col min="2" max="2" width="15.140625" bestFit="1" customWidth="1"/>
  </cols>
  <sheetData>
    <row r="5" spans="1:2" x14ac:dyDescent="0.25">
      <c r="A5" s="9" t="s">
        <v>1896</v>
      </c>
      <c r="B5" t="s">
        <v>1898</v>
      </c>
    </row>
    <row r="6" spans="1:2" x14ac:dyDescent="0.25">
      <c r="A6" s="10" t="s">
        <v>1861</v>
      </c>
      <c r="B6" s="11">
        <v>46660910</v>
      </c>
    </row>
    <row r="7" spans="1:2" x14ac:dyDescent="0.25">
      <c r="A7" s="10" t="s">
        <v>1859</v>
      </c>
      <c r="B7" s="11">
        <v>93840715</v>
      </c>
    </row>
    <row r="8" spans="1:2" x14ac:dyDescent="0.25">
      <c r="A8" s="10" t="s">
        <v>1862</v>
      </c>
      <c r="B8" s="11">
        <v>29724470</v>
      </c>
    </row>
    <row r="9" spans="1:2" x14ac:dyDescent="0.25">
      <c r="A9" s="10" t="s">
        <v>1860</v>
      </c>
      <c r="B9" s="11">
        <v>50407805</v>
      </c>
    </row>
    <row r="10" spans="1:2" x14ac:dyDescent="0.25">
      <c r="A10" s="10" t="s">
        <v>1897</v>
      </c>
      <c r="B10" s="11">
        <v>220633900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C5"/>
  <sheetViews>
    <sheetView workbookViewId="0">
      <selection activeCell="B11" sqref="B11"/>
    </sheetView>
  </sheetViews>
  <sheetFormatPr defaultRowHeight="15" x14ac:dyDescent="0.25"/>
  <cols>
    <col min="1" max="1" width="9.7109375" bestFit="1" customWidth="1"/>
    <col min="2" max="2" width="20.28515625" bestFit="1" customWidth="1"/>
    <col min="3" max="3" width="12.7109375" bestFit="1" customWidth="1"/>
  </cols>
  <sheetData>
    <row r="1" spans="1:3" x14ac:dyDescent="0.25">
      <c r="A1" s="2" t="s">
        <v>2</v>
      </c>
      <c r="B1" s="2" t="s">
        <v>1858</v>
      </c>
      <c r="C1" s="2" t="s">
        <v>1657</v>
      </c>
    </row>
    <row r="2" spans="1:3" x14ac:dyDescent="0.25">
      <c r="A2" s="3" t="s">
        <v>16</v>
      </c>
      <c r="B2" s="3" t="s">
        <v>1859</v>
      </c>
      <c r="C2" s="3" t="s">
        <v>1681</v>
      </c>
    </row>
    <row r="3" spans="1:3" x14ac:dyDescent="0.25">
      <c r="A3" s="3" t="s">
        <v>12</v>
      </c>
      <c r="B3" s="3" t="s">
        <v>1860</v>
      </c>
      <c r="C3" s="3" t="s">
        <v>1689</v>
      </c>
    </row>
    <row r="4" spans="1:3" x14ac:dyDescent="0.25">
      <c r="A4" s="3" t="s">
        <v>8</v>
      </c>
      <c r="B4" s="3" t="s">
        <v>1861</v>
      </c>
      <c r="C4" s="3" t="s">
        <v>1670</v>
      </c>
    </row>
    <row r="5" spans="1:3" x14ac:dyDescent="0.25">
      <c r="A5" s="3" t="s">
        <v>36</v>
      </c>
      <c r="B5" s="3" t="s">
        <v>1862</v>
      </c>
      <c r="C5" s="3" t="s">
        <v>1668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D26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2" max="2" width="19.140625" bestFit="1" customWidth="1"/>
    <col min="3" max="3" width="30.28515625" bestFit="1" customWidth="1"/>
    <col min="4" max="4" width="10" bestFit="1" customWidth="1"/>
  </cols>
  <sheetData>
    <row r="1" spans="1:4" x14ac:dyDescent="0.25">
      <c r="A1" s="2" t="s">
        <v>3</v>
      </c>
      <c r="B1" s="2" t="s">
        <v>1863</v>
      </c>
      <c r="C1" s="2" t="s">
        <v>1864</v>
      </c>
      <c r="D1" s="2" t="s">
        <v>1865</v>
      </c>
    </row>
    <row r="2" spans="1:4" x14ac:dyDescent="0.25">
      <c r="A2" s="8" t="s">
        <v>126</v>
      </c>
      <c r="B2" s="8" t="s">
        <v>1866</v>
      </c>
      <c r="C2" s="8" t="s">
        <v>1867</v>
      </c>
      <c r="D2" s="8">
        <v>185000</v>
      </c>
    </row>
    <row r="3" spans="1:4" x14ac:dyDescent="0.25">
      <c r="A3" s="8" t="s">
        <v>94</v>
      </c>
      <c r="B3" s="8" t="s">
        <v>1866</v>
      </c>
      <c r="C3" s="8" t="s">
        <v>1868</v>
      </c>
      <c r="D3" s="8">
        <v>320000</v>
      </c>
    </row>
    <row r="4" spans="1:4" x14ac:dyDescent="0.25">
      <c r="A4" s="8" t="s">
        <v>69</v>
      </c>
      <c r="B4" s="8" t="s">
        <v>1866</v>
      </c>
      <c r="C4" s="8" t="s">
        <v>1869</v>
      </c>
      <c r="D4" s="8">
        <v>45000</v>
      </c>
    </row>
    <row r="5" spans="1:4" x14ac:dyDescent="0.25">
      <c r="A5" s="8" t="s">
        <v>20</v>
      </c>
      <c r="B5" s="8" t="s">
        <v>1866</v>
      </c>
      <c r="C5" s="8" t="s">
        <v>1870</v>
      </c>
      <c r="D5" s="8">
        <v>38000</v>
      </c>
    </row>
    <row r="6" spans="1:4" x14ac:dyDescent="0.25">
      <c r="A6" s="8" t="s">
        <v>258</v>
      </c>
      <c r="B6" s="8" t="s">
        <v>1866</v>
      </c>
      <c r="C6" s="8" t="s">
        <v>1871</v>
      </c>
      <c r="D6" s="8">
        <v>95000</v>
      </c>
    </row>
    <row r="7" spans="1:4" x14ac:dyDescent="0.25">
      <c r="A7" s="8" t="s">
        <v>197</v>
      </c>
      <c r="B7" s="8" t="s">
        <v>1866</v>
      </c>
      <c r="C7" s="8" t="s">
        <v>1872</v>
      </c>
      <c r="D7" s="8">
        <v>78000</v>
      </c>
    </row>
    <row r="8" spans="1:4" x14ac:dyDescent="0.25">
      <c r="A8" s="8" t="s">
        <v>26</v>
      </c>
      <c r="B8" s="8" t="s">
        <v>1866</v>
      </c>
      <c r="C8" s="8" t="s">
        <v>1873</v>
      </c>
      <c r="D8" s="8">
        <v>145000</v>
      </c>
    </row>
    <row r="9" spans="1:4" x14ac:dyDescent="0.25">
      <c r="A9" s="8" t="s">
        <v>9</v>
      </c>
      <c r="B9" s="8" t="s">
        <v>1874</v>
      </c>
      <c r="C9" s="8" t="s">
        <v>1875</v>
      </c>
      <c r="D9" s="8">
        <v>410000</v>
      </c>
    </row>
    <row r="10" spans="1:4" x14ac:dyDescent="0.25">
      <c r="A10" s="8" t="s">
        <v>80</v>
      </c>
      <c r="B10" s="8" t="s">
        <v>1874</v>
      </c>
      <c r="C10" s="8" t="s">
        <v>1876</v>
      </c>
      <c r="D10" s="8">
        <v>265000</v>
      </c>
    </row>
    <row r="11" spans="1:4" x14ac:dyDescent="0.25">
      <c r="A11" s="8" t="s">
        <v>46</v>
      </c>
      <c r="B11" s="8" t="s">
        <v>1874</v>
      </c>
      <c r="C11" s="8" t="s">
        <v>1877</v>
      </c>
      <c r="D11" s="8">
        <v>62000</v>
      </c>
    </row>
    <row r="12" spans="1:4" x14ac:dyDescent="0.25">
      <c r="A12" s="8" t="s">
        <v>43</v>
      </c>
      <c r="B12" s="8" t="s">
        <v>1874</v>
      </c>
      <c r="C12" s="8" t="s">
        <v>1878</v>
      </c>
      <c r="D12" s="8">
        <v>74000</v>
      </c>
    </row>
    <row r="13" spans="1:4" x14ac:dyDescent="0.25">
      <c r="A13" s="8" t="s">
        <v>49</v>
      </c>
      <c r="B13" s="8" t="s">
        <v>1874</v>
      </c>
      <c r="C13" s="8" t="s">
        <v>1879</v>
      </c>
      <c r="D13" s="8">
        <v>28000</v>
      </c>
    </row>
    <row r="14" spans="1:4" x14ac:dyDescent="0.25">
      <c r="A14" s="8" t="s">
        <v>17</v>
      </c>
      <c r="B14" s="8" t="s">
        <v>1874</v>
      </c>
      <c r="C14" s="8" t="s">
        <v>1880</v>
      </c>
      <c r="D14" s="8">
        <v>22000</v>
      </c>
    </row>
    <row r="15" spans="1:4" x14ac:dyDescent="0.25">
      <c r="A15" s="8" t="s">
        <v>56</v>
      </c>
      <c r="B15" s="8" t="s">
        <v>1874</v>
      </c>
      <c r="C15" s="8" t="s">
        <v>1881</v>
      </c>
      <c r="D15" s="8">
        <v>285000</v>
      </c>
    </row>
    <row r="16" spans="1:4" x14ac:dyDescent="0.25">
      <c r="A16" s="8" t="s">
        <v>59</v>
      </c>
      <c r="B16" s="8" t="s">
        <v>1874</v>
      </c>
      <c r="C16" s="8" t="s">
        <v>1882</v>
      </c>
      <c r="D16" s="8">
        <v>15000</v>
      </c>
    </row>
    <row r="17" spans="1:4" x14ac:dyDescent="0.25">
      <c r="A17" s="8" t="s">
        <v>23</v>
      </c>
      <c r="B17" s="8" t="s">
        <v>1874</v>
      </c>
      <c r="C17" s="8" t="s">
        <v>1883</v>
      </c>
      <c r="D17" s="8">
        <v>19500</v>
      </c>
    </row>
    <row r="18" spans="1:4" x14ac:dyDescent="0.25">
      <c r="A18" s="8" t="s">
        <v>13</v>
      </c>
      <c r="B18" s="8" t="s">
        <v>1874</v>
      </c>
      <c r="C18" s="8" t="s">
        <v>1884</v>
      </c>
      <c r="D18" s="8">
        <v>24000</v>
      </c>
    </row>
    <row r="19" spans="1:4" x14ac:dyDescent="0.25">
      <c r="A19" s="8" t="s">
        <v>51</v>
      </c>
      <c r="B19" s="8" t="s">
        <v>1885</v>
      </c>
      <c r="C19" s="8" t="s">
        <v>1886</v>
      </c>
      <c r="D19" s="8">
        <v>18000</v>
      </c>
    </row>
    <row r="20" spans="1:4" x14ac:dyDescent="0.25">
      <c r="A20" s="8" t="s">
        <v>97</v>
      </c>
      <c r="B20" s="8" t="s">
        <v>1885</v>
      </c>
      <c r="C20" s="8" t="s">
        <v>1887</v>
      </c>
      <c r="D20" s="8">
        <v>21000</v>
      </c>
    </row>
    <row r="21" spans="1:4" x14ac:dyDescent="0.25">
      <c r="A21" s="8" t="s">
        <v>37</v>
      </c>
      <c r="B21" s="8" t="s">
        <v>1885</v>
      </c>
      <c r="C21" s="8" t="s">
        <v>1888</v>
      </c>
      <c r="D21" s="8">
        <v>8500</v>
      </c>
    </row>
    <row r="22" spans="1:4" x14ac:dyDescent="0.25">
      <c r="A22" s="8" t="s">
        <v>149</v>
      </c>
      <c r="B22" s="8" t="s">
        <v>1885</v>
      </c>
      <c r="C22" s="8" t="s">
        <v>1889</v>
      </c>
      <c r="D22" s="8">
        <v>6500</v>
      </c>
    </row>
    <row r="23" spans="1:4" x14ac:dyDescent="0.25">
      <c r="A23" s="8" t="s">
        <v>91</v>
      </c>
      <c r="B23" s="8" t="s">
        <v>1885</v>
      </c>
      <c r="C23" s="8" t="s">
        <v>1890</v>
      </c>
      <c r="D23" s="8">
        <v>5200</v>
      </c>
    </row>
    <row r="24" spans="1:4" x14ac:dyDescent="0.25">
      <c r="A24" s="8" t="s">
        <v>40</v>
      </c>
      <c r="B24" s="8" t="s">
        <v>1891</v>
      </c>
      <c r="C24" s="8" t="s">
        <v>1892</v>
      </c>
      <c r="D24" s="8">
        <v>195000</v>
      </c>
    </row>
    <row r="25" spans="1:4" x14ac:dyDescent="0.25">
      <c r="A25" s="8" t="s">
        <v>33</v>
      </c>
      <c r="B25" s="8" t="s">
        <v>1891</v>
      </c>
      <c r="C25" s="8" t="s">
        <v>1893</v>
      </c>
      <c r="D25" s="8">
        <v>245000</v>
      </c>
    </row>
    <row r="26" spans="1:4" x14ac:dyDescent="0.25">
      <c r="A26" s="8" t="s">
        <v>64</v>
      </c>
      <c r="B26" s="8" t="s">
        <v>1891</v>
      </c>
      <c r="C26" s="8" t="s">
        <v>1894</v>
      </c>
      <c r="D26" s="8">
        <v>175000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D222"/>
  <sheetViews>
    <sheetView topLeftCell="A73" workbookViewId="0">
      <selection activeCell="E86" sqref="E86"/>
    </sheetView>
  </sheetViews>
  <sheetFormatPr defaultRowHeight="15" x14ac:dyDescent="0.25"/>
  <cols>
    <col min="1" max="1" width="12" bestFit="1" customWidth="1"/>
    <col min="2" max="2" width="23" bestFit="1" customWidth="1"/>
    <col min="3" max="4" width="13.140625" bestFit="1" customWidth="1"/>
  </cols>
  <sheetData>
    <row r="1" spans="1:4" x14ac:dyDescent="0.25">
      <c r="A1" s="2" t="s">
        <v>4</v>
      </c>
      <c r="B1" s="2" t="s">
        <v>1656</v>
      </c>
      <c r="C1" s="2" t="s">
        <v>1657</v>
      </c>
      <c r="D1" s="2" t="s">
        <v>1856</v>
      </c>
    </row>
    <row r="2" spans="1:4" x14ac:dyDescent="0.25">
      <c r="A2" s="3" t="s">
        <v>500</v>
      </c>
      <c r="B2" s="3" t="s">
        <v>1658</v>
      </c>
      <c r="C2" s="3" t="s">
        <v>1659</v>
      </c>
      <c r="D2" s="1" t="str">
        <f>PROPER(TRIM(C2))</f>
        <v>Lagos</v>
      </c>
    </row>
    <row r="3" spans="1:4" x14ac:dyDescent="0.25">
      <c r="A3" s="3" t="s">
        <v>95</v>
      </c>
      <c r="B3" s="3" t="s">
        <v>1660</v>
      </c>
      <c r="C3" s="3" t="s">
        <v>1661</v>
      </c>
      <c r="D3" s="1" t="str">
        <f t="shared" ref="D3:D66" si="0">PROPER(TRIM(C3))</f>
        <v>Abuja</v>
      </c>
    </row>
    <row r="4" spans="1:4" x14ac:dyDescent="0.25">
      <c r="A4" s="3" t="s">
        <v>623</v>
      </c>
      <c r="B4" s="3" t="s">
        <v>1662</v>
      </c>
      <c r="C4" s="3" t="s">
        <v>1663</v>
      </c>
      <c r="D4" s="1" t="str">
        <f t="shared" si="0"/>
        <v>Lagos</v>
      </c>
    </row>
    <row r="5" spans="1:4" x14ac:dyDescent="0.25">
      <c r="A5" s="3" t="s">
        <v>219</v>
      </c>
      <c r="B5" s="3" t="s">
        <v>1664</v>
      </c>
      <c r="C5" s="3" t="s">
        <v>1665</v>
      </c>
      <c r="D5" s="1" t="str">
        <f t="shared" si="0"/>
        <v>Lagos</v>
      </c>
    </row>
    <row r="6" spans="1:4" x14ac:dyDescent="0.25">
      <c r="A6" s="3" t="s">
        <v>1206</v>
      </c>
      <c r="B6" s="3" t="s">
        <v>1666</v>
      </c>
      <c r="C6" s="3" t="s">
        <v>1665</v>
      </c>
      <c r="D6" s="1" t="str">
        <f t="shared" si="0"/>
        <v>Lagos</v>
      </c>
    </row>
    <row r="7" spans="1:4" x14ac:dyDescent="0.25">
      <c r="A7" s="3" t="s">
        <v>514</v>
      </c>
      <c r="B7" s="3" t="s">
        <v>1667</v>
      </c>
      <c r="C7" s="3" t="s">
        <v>1668</v>
      </c>
      <c r="D7" s="1" t="str">
        <f t="shared" si="0"/>
        <v>Kano</v>
      </c>
    </row>
    <row r="8" spans="1:4" x14ac:dyDescent="0.25">
      <c r="A8" s="3" t="s">
        <v>44</v>
      </c>
      <c r="B8" s="3" t="s">
        <v>1669</v>
      </c>
      <c r="C8" s="3" t="s">
        <v>1670</v>
      </c>
      <c r="D8" s="1" t="str">
        <f t="shared" si="0"/>
        <v>Port Harcourt</v>
      </c>
    </row>
    <row r="9" spans="1:4" x14ac:dyDescent="0.25">
      <c r="A9" s="3" t="s">
        <v>659</v>
      </c>
      <c r="B9" s="3" t="s">
        <v>1671</v>
      </c>
      <c r="C9" s="3" t="s">
        <v>1672</v>
      </c>
      <c r="D9" s="1" t="str">
        <f t="shared" si="0"/>
        <v>Kano</v>
      </c>
    </row>
    <row r="10" spans="1:4" x14ac:dyDescent="0.25">
      <c r="A10" s="3" t="s">
        <v>120</v>
      </c>
      <c r="B10" s="3" t="s">
        <v>1673</v>
      </c>
      <c r="C10" s="3" t="s">
        <v>1674</v>
      </c>
      <c r="D10" s="1" t="str">
        <f t="shared" si="0"/>
        <v>Abuja</v>
      </c>
    </row>
    <row r="11" spans="1:4" x14ac:dyDescent="0.25">
      <c r="A11" s="3" t="s">
        <v>207</v>
      </c>
      <c r="B11" s="3" t="s">
        <v>1675</v>
      </c>
      <c r="C11" s="3" t="s">
        <v>1668</v>
      </c>
      <c r="D11" s="1" t="str">
        <f t="shared" si="0"/>
        <v>Kano</v>
      </c>
    </row>
    <row r="12" spans="1:4" x14ac:dyDescent="0.25">
      <c r="A12" s="3" t="s">
        <v>167</v>
      </c>
      <c r="B12" s="3" t="s">
        <v>1676</v>
      </c>
      <c r="C12" s="3" t="s">
        <v>1670</v>
      </c>
      <c r="D12" s="1" t="str">
        <f t="shared" si="0"/>
        <v>Port Harcourt</v>
      </c>
    </row>
    <row r="13" spans="1:4" x14ac:dyDescent="0.25">
      <c r="A13" s="3" t="s">
        <v>89</v>
      </c>
      <c r="B13" s="3" t="s">
        <v>1677</v>
      </c>
      <c r="C13" s="3" t="s">
        <v>1663</v>
      </c>
      <c r="D13" s="1" t="str">
        <f t="shared" si="0"/>
        <v>Lagos</v>
      </c>
    </row>
    <row r="14" spans="1:4" x14ac:dyDescent="0.25">
      <c r="A14" s="3" t="s">
        <v>41</v>
      </c>
      <c r="B14" s="3" t="s">
        <v>1678</v>
      </c>
      <c r="C14" s="3" t="s">
        <v>1670</v>
      </c>
      <c r="D14" s="1" t="str">
        <f t="shared" si="0"/>
        <v>Port Harcourt</v>
      </c>
    </row>
    <row r="15" spans="1:4" x14ac:dyDescent="0.25">
      <c r="A15" s="3" t="s">
        <v>977</v>
      </c>
      <c r="B15" s="3" t="s">
        <v>1680</v>
      </c>
      <c r="C15" s="3" t="s">
        <v>1681</v>
      </c>
      <c r="D15" s="1" t="str">
        <f t="shared" si="0"/>
        <v>Lagos</v>
      </c>
    </row>
    <row r="16" spans="1:4" x14ac:dyDescent="0.25">
      <c r="A16" s="3" t="s">
        <v>52</v>
      </c>
      <c r="B16" s="3" t="s">
        <v>1682</v>
      </c>
      <c r="C16" s="3" t="s">
        <v>1670</v>
      </c>
      <c r="D16" s="1" t="str">
        <f t="shared" si="0"/>
        <v>Port Harcourt</v>
      </c>
    </row>
    <row r="17" spans="1:4" x14ac:dyDescent="0.25">
      <c r="A17" s="3" t="s">
        <v>186</v>
      </c>
      <c r="B17" s="3" t="s">
        <v>1683</v>
      </c>
      <c r="C17" s="3" t="s">
        <v>1857</v>
      </c>
      <c r="D17" s="1" t="str">
        <f t="shared" si="0"/>
        <v>Unknown</v>
      </c>
    </row>
    <row r="18" spans="1:4" x14ac:dyDescent="0.25">
      <c r="A18" s="3" t="s">
        <v>574</v>
      </c>
      <c r="B18" s="3" t="s">
        <v>1684</v>
      </c>
      <c r="C18" s="3" t="s">
        <v>1670</v>
      </c>
      <c r="D18" s="1" t="str">
        <f t="shared" si="0"/>
        <v>Port Harcourt</v>
      </c>
    </row>
    <row r="19" spans="1:4" x14ac:dyDescent="0.25">
      <c r="A19" s="3" t="s">
        <v>493</v>
      </c>
      <c r="B19" s="3" t="s">
        <v>1676</v>
      </c>
      <c r="C19" s="3" t="s">
        <v>1661</v>
      </c>
      <c r="D19" s="1" t="str">
        <f t="shared" si="0"/>
        <v>Abuja</v>
      </c>
    </row>
    <row r="20" spans="1:4" x14ac:dyDescent="0.25">
      <c r="A20" s="3" t="s">
        <v>373</v>
      </c>
      <c r="B20" s="3" t="s">
        <v>1685</v>
      </c>
      <c r="C20" s="3" t="s">
        <v>1661</v>
      </c>
      <c r="D20" s="1" t="str">
        <f t="shared" si="0"/>
        <v>Abuja</v>
      </c>
    </row>
    <row r="21" spans="1:4" x14ac:dyDescent="0.25">
      <c r="A21" s="3" t="s">
        <v>379</v>
      </c>
      <c r="B21" s="3" t="s">
        <v>1686</v>
      </c>
      <c r="C21" s="3" t="s">
        <v>1674</v>
      </c>
      <c r="D21" s="1" t="str">
        <f t="shared" si="0"/>
        <v>Abuja</v>
      </c>
    </row>
    <row r="22" spans="1:4" x14ac:dyDescent="0.25">
      <c r="A22" s="3" t="s">
        <v>448</v>
      </c>
      <c r="B22" s="3" t="s">
        <v>1687</v>
      </c>
      <c r="C22" s="3" t="s">
        <v>1661</v>
      </c>
      <c r="D22" s="1" t="str">
        <f t="shared" si="0"/>
        <v>Abuja</v>
      </c>
    </row>
    <row r="23" spans="1:4" x14ac:dyDescent="0.25">
      <c r="A23" s="3" t="s">
        <v>522</v>
      </c>
      <c r="B23" s="3" t="s">
        <v>1688</v>
      </c>
      <c r="C23" s="3" t="s">
        <v>1689</v>
      </c>
      <c r="D23" s="1" t="str">
        <f t="shared" si="0"/>
        <v>Abuja</v>
      </c>
    </row>
    <row r="24" spans="1:4" x14ac:dyDescent="0.25">
      <c r="A24" s="3" t="s">
        <v>341</v>
      </c>
      <c r="B24" s="3" t="s">
        <v>1690</v>
      </c>
      <c r="C24" s="3" t="s">
        <v>1672</v>
      </c>
      <c r="D24" s="1" t="str">
        <f t="shared" si="0"/>
        <v>Kano</v>
      </c>
    </row>
    <row r="25" spans="1:4" x14ac:dyDescent="0.25">
      <c r="A25" s="3" t="s">
        <v>24</v>
      </c>
      <c r="B25" s="3" t="s">
        <v>1691</v>
      </c>
      <c r="C25" s="3" t="s">
        <v>1670</v>
      </c>
      <c r="D25" s="1" t="str">
        <f t="shared" si="0"/>
        <v>Port Harcourt</v>
      </c>
    </row>
    <row r="26" spans="1:4" x14ac:dyDescent="0.25">
      <c r="A26" s="3" t="s">
        <v>300</v>
      </c>
      <c r="B26" s="3" t="s">
        <v>1692</v>
      </c>
      <c r="C26" s="3" t="s">
        <v>1693</v>
      </c>
      <c r="D26" s="1" t="str">
        <f t="shared" si="0"/>
        <v>Kano</v>
      </c>
    </row>
    <row r="27" spans="1:4" x14ac:dyDescent="0.25">
      <c r="A27" s="3" t="s">
        <v>326</v>
      </c>
      <c r="B27" s="3" t="s">
        <v>1694</v>
      </c>
      <c r="C27" s="3" t="s">
        <v>1670</v>
      </c>
      <c r="D27" s="1" t="str">
        <f t="shared" si="0"/>
        <v>Port Harcourt</v>
      </c>
    </row>
    <row r="28" spans="1:4" x14ac:dyDescent="0.25">
      <c r="A28" s="3" t="s">
        <v>477</v>
      </c>
      <c r="B28" s="3" t="s">
        <v>1695</v>
      </c>
      <c r="C28" s="3" t="s">
        <v>1696</v>
      </c>
      <c r="D28" s="1" t="str">
        <f t="shared" si="0"/>
        <v>Port Harcourt</v>
      </c>
    </row>
    <row r="29" spans="1:4" x14ac:dyDescent="0.25">
      <c r="A29" s="3" t="s">
        <v>691</v>
      </c>
      <c r="B29" s="3" t="s">
        <v>1697</v>
      </c>
      <c r="C29" s="3" t="s">
        <v>1672</v>
      </c>
      <c r="D29" s="1" t="str">
        <f t="shared" si="0"/>
        <v>Kano</v>
      </c>
    </row>
    <row r="30" spans="1:4" x14ac:dyDescent="0.25">
      <c r="A30" s="3" t="s">
        <v>693</v>
      </c>
      <c r="B30" s="3" t="s">
        <v>1698</v>
      </c>
      <c r="C30" s="3" t="s">
        <v>1668</v>
      </c>
      <c r="D30" s="1" t="str">
        <f t="shared" si="0"/>
        <v>Kano</v>
      </c>
    </row>
    <row r="31" spans="1:4" x14ac:dyDescent="0.25">
      <c r="A31" s="3" t="s">
        <v>566</v>
      </c>
      <c r="B31" s="3" t="s">
        <v>1699</v>
      </c>
      <c r="C31" s="3" t="s">
        <v>1665</v>
      </c>
      <c r="D31" s="1" t="str">
        <f t="shared" si="0"/>
        <v>Lagos</v>
      </c>
    </row>
    <row r="32" spans="1:4" x14ac:dyDescent="0.25">
      <c r="A32" s="3" t="s">
        <v>333</v>
      </c>
      <c r="B32" s="3" t="s">
        <v>1700</v>
      </c>
      <c r="C32" s="3" t="s">
        <v>1693</v>
      </c>
      <c r="D32" s="1" t="str">
        <f t="shared" si="0"/>
        <v>Kano</v>
      </c>
    </row>
    <row r="33" spans="1:4" x14ac:dyDescent="0.25">
      <c r="A33" s="3" t="s">
        <v>159</v>
      </c>
      <c r="B33" s="3" t="s">
        <v>1701</v>
      </c>
      <c r="C33" s="3" t="s">
        <v>1693</v>
      </c>
      <c r="D33" s="1" t="str">
        <f t="shared" si="0"/>
        <v>Kano</v>
      </c>
    </row>
    <row r="34" spans="1:4" x14ac:dyDescent="0.25">
      <c r="A34" s="3" t="s">
        <v>766</v>
      </c>
      <c r="B34" s="3" t="s">
        <v>1702</v>
      </c>
      <c r="C34" s="3" t="s">
        <v>1670</v>
      </c>
      <c r="D34" s="1" t="str">
        <f t="shared" si="0"/>
        <v>Port Harcourt</v>
      </c>
    </row>
    <row r="35" spans="1:4" x14ac:dyDescent="0.25">
      <c r="A35" s="3" t="s">
        <v>60</v>
      </c>
      <c r="B35" s="3" t="s">
        <v>1703</v>
      </c>
      <c r="C35" s="3" t="s">
        <v>1679</v>
      </c>
      <c r="D35" s="1" t="str">
        <f t="shared" si="0"/>
        <v>Port-Harcourt</v>
      </c>
    </row>
    <row r="36" spans="1:4" x14ac:dyDescent="0.25">
      <c r="A36" s="3" t="s">
        <v>194</v>
      </c>
      <c r="B36" s="3" t="s">
        <v>1704</v>
      </c>
      <c r="C36" s="3" t="s">
        <v>1668</v>
      </c>
      <c r="D36" s="1" t="str">
        <f t="shared" si="0"/>
        <v>Kano</v>
      </c>
    </row>
    <row r="37" spans="1:4" x14ac:dyDescent="0.25">
      <c r="A37" s="3" t="s">
        <v>118</v>
      </c>
      <c r="B37" s="3" t="s">
        <v>1705</v>
      </c>
      <c r="C37" s="3" t="s">
        <v>1670</v>
      </c>
      <c r="D37" s="1" t="str">
        <f t="shared" si="0"/>
        <v>Port Harcourt</v>
      </c>
    </row>
    <row r="38" spans="1:4" x14ac:dyDescent="0.25">
      <c r="A38" s="3" t="s">
        <v>1119</v>
      </c>
      <c r="B38" s="3" t="s">
        <v>1706</v>
      </c>
      <c r="C38" s="3" t="s">
        <v>1670</v>
      </c>
      <c r="D38" s="1" t="str">
        <f t="shared" si="0"/>
        <v>Port Harcourt</v>
      </c>
    </row>
    <row r="39" spans="1:4" x14ac:dyDescent="0.25">
      <c r="A39" s="3" t="s">
        <v>355</v>
      </c>
      <c r="B39" s="3" t="s">
        <v>1707</v>
      </c>
      <c r="C39" s="3" t="s">
        <v>1661</v>
      </c>
      <c r="D39" s="1" t="str">
        <f t="shared" si="0"/>
        <v>Abuja</v>
      </c>
    </row>
    <row r="40" spans="1:4" x14ac:dyDescent="0.25">
      <c r="A40" s="3" t="s">
        <v>238</v>
      </c>
      <c r="B40" s="3" t="s">
        <v>1708</v>
      </c>
      <c r="C40" s="3" t="s">
        <v>1659</v>
      </c>
      <c r="D40" s="1" t="str">
        <f t="shared" si="0"/>
        <v>Lagos</v>
      </c>
    </row>
    <row r="41" spans="1:4" x14ac:dyDescent="0.25">
      <c r="A41" s="3" t="s">
        <v>18</v>
      </c>
      <c r="B41" s="3" t="s">
        <v>1709</v>
      </c>
      <c r="C41" s="3" t="s">
        <v>1659</v>
      </c>
      <c r="D41" s="1" t="str">
        <f t="shared" si="0"/>
        <v>Lagos</v>
      </c>
    </row>
    <row r="42" spans="1:4" x14ac:dyDescent="0.25">
      <c r="A42" s="3" t="s">
        <v>213</v>
      </c>
      <c r="B42" s="3" t="s">
        <v>1710</v>
      </c>
      <c r="C42" s="3" t="s">
        <v>1689</v>
      </c>
      <c r="D42" s="1" t="str">
        <f t="shared" si="0"/>
        <v>Abuja</v>
      </c>
    </row>
    <row r="43" spans="1:4" x14ac:dyDescent="0.25">
      <c r="A43" s="3" t="s">
        <v>98</v>
      </c>
      <c r="B43" s="3" t="s">
        <v>1711</v>
      </c>
      <c r="C43" s="3" t="s">
        <v>1681</v>
      </c>
      <c r="D43" s="1" t="str">
        <f t="shared" si="0"/>
        <v>Lagos</v>
      </c>
    </row>
    <row r="44" spans="1:4" x14ac:dyDescent="0.25">
      <c r="A44" s="3" t="s">
        <v>738</v>
      </c>
      <c r="B44" s="3" t="s">
        <v>1712</v>
      </c>
      <c r="C44" s="3" t="s">
        <v>1665</v>
      </c>
      <c r="D44" s="1" t="str">
        <f t="shared" si="0"/>
        <v>Lagos</v>
      </c>
    </row>
    <row r="45" spans="1:4" x14ac:dyDescent="0.25">
      <c r="A45" s="3" t="s">
        <v>302</v>
      </c>
      <c r="B45" s="3" t="s">
        <v>1713</v>
      </c>
      <c r="C45" s="3" t="s">
        <v>1674</v>
      </c>
      <c r="D45" s="1" t="str">
        <f t="shared" si="0"/>
        <v>Abuja</v>
      </c>
    </row>
    <row r="46" spans="1:4" x14ac:dyDescent="0.25">
      <c r="A46" s="3" t="s">
        <v>234</v>
      </c>
      <c r="B46" s="3" t="s">
        <v>1714</v>
      </c>
      <c r="C46" s="3" t="s">
        <v>1668</v>
      </c>
      <c r="D46" s="1" t="str">
        <f t="shared" si="0"/>
        <v>Kano</v>
      </c>
    </row>
    <row r="47" spans="1:4" x14ac:dyDescent="0.25">
      <c r="A47" s="3" t="s">
        <v>92</v>
      </c>
      <c r="B47" s="3" t="s">
        <v>1715</v>
      </c>
      <c r="C47" s="3" t="s">
        <v>1661</v>
      </c>
      <c r="D47" s="1" t="str">
        <f t="shared" si="0"/>
        <v>Abuja</v>
      </c>
    </row>
    <row r="48" spans="1:4" x14ac:dyDescent="0.25">
      <c r="A48" s="3" t="s">
        <v>87</v>
      </c>
      <c r="B48" s="3" t="s">
        <v>1716</v>
      </c>
      <c r="C48" s="3" t="s">
        <v>1696</v>
      </c>
      <c r="D48" s="1" t="str">
        <f t="shared" si="0"/>
        <v>Port Harcourt</v>
      </c>
    </row>
    <row r="49" spans="1:4" x14ac:dyDescent="0.25">
      <c r="A49" s="3" t="s">
        <v>1185</v>
      </c>
      <c r="B49" s="3" t="s">
        <v>1717</v>
      </c>
      <c r="C49" s="3" t="s">
        <v>1668</v>
      </c>
      <c r="D49" s="1" t="str">
        <f t="shared" si="0"/>
        <v>Kano</v>
      </c>
    </row>
    <row r="50" spans="1:4" x14ac:dyDescent="0.25">
      <c r="A50" s="3" t="s">
        <v>184</v>
      </c>
      <c r="B50" s="3" t="s">
        <v>1660</v>
      </c>
      <c r="C50" s="3" t="s">
        <v>1659</v>
      </c>
      <c r="D50" s="1" t="str">
        <f t="shared" si="0"/>
        <v>Lagos</v>
      </c>
    </row>
    <row r="51" spans="1:4" x14ac:dyDescent="0.25">
      <c r="A51" s="3" t="s">
        <v>673</v>
      </c>
      <c r="B51" s="3" t="s">
        <v>1718</v>
      </c>
      <c r="C51" s="3" t="s">
        <v>1661</v>
      </c>
      <c r="D51" s="1" t="str">
        <f t="shared" si="0"/>
        <v>Abuja</v>
      </c>
    </row>
    <row r="52" spans="1:4" x14ac:dyDescent="0.25">
      <c r="A52" s="3" t="s">
        <v>169</v>
      </c>
      <c r="B52" s="3" t="s">
        <v>1719</v>
      </c>
      <c r="C52" s="3" t="s">
        <v>1681</v>
      </c>
      <c r="D52" s="1" t="str">
        <f t="shared" si="0"/>
        <v>Lagos</v>
      </c>
    </row>
    <row r="53" spans="1:4" x14ac:dyDescent="0.25">
      <c r="A53" s="3" t="s">
        <v>274</v>
      </c>
      <c r="B53" s="3" t="s">
        <v>1720</v>
      </c>
      <c r="C53" s="3" t="s">
        <v>1659</v>
      </c>
      <c r="D53" s="1" t="str">
        <f t="shared" si="0"/>
        <v>Lagos</v>
      </c>
    </row>
    <row r="54" spans="1:4" x14ac:dyDescent="0.25">
      <c r="A54" s="3" t="s">
        <v>346</v>
      </c>
      <c r="B54" s="3" t="s">
        <v>1721</v>
      </c>
      <c r="C54" s="3" t="s">
        <v>1674</v>
      </c>
      <c r="D54" s="1" t="str">
        <f t="shared" si="0"/>
        <v>Abuja</v>
      </c>
    </row>
    <row r="55" spans="1:4" x14ac:dyDescent="0.25">
      <c r="A55" s="3" t="s">
        <v>491</v>
      </c>
      <c r="B55" s="3" t="s">
        <v>1722</v>
      </c>
      <c r="C55" s="3" t="s">
        <v>1661</v>
      </c>
      <c r="D55" s="1" t="str">
        <f t="shared" si="0"/>
        <v>Abuja</v>
      </c>
    </row>
    <row r="56" spans="1:4" x14ac:dyDescent="0.25">
      <c r="A56" s="3" t="s">
        <v>138</v>
      </c>
      <c r="B56" s="3" t="s">
        <v>1723</v>
      </c>
      <c r="C56" s="3" t="s">
        <v>1668</v>
      </c>
      <c r="D56" s="1" t="str">
        <f t="shared" si="0"/>
        <v>Kano</v>
      </c>
    </row>
    <row r="57" spans="1:4" x14ac:dyDescent="0.25">
      <c r="A57" s="3" t="s">
        <v>205</v>
      </c>
      <c r="B57" s="3" t="s">
        <v>1724</v>
      </c>
      <c r="C57" s="3" t="s">
        <v>1668</v>
      </c>
      <c r="D57" s="1" t="str">
        <f t="shared" si="0"/>
        <v>Kano</v>
      </c>
    </row>
    <row r="58" spans="1:4" x14ac:dyDescent="0.25">
      <c r="A58" s="3" t="s">
        <v>420</v>
      </c>
      <c r="B58" s="3" t="s">
        <v>1725</v>
      </c>
      <c r="C58" s="3" t="s">
        <v>1672</v>
      </c>
      <c r="D58" s="1" t="str">
        <f t="shared" si="0"/>
        <v>Kano</v>
      </c>
    </row>
    <row r="59" spans="1:4" x14ac:dyDescent="0.25">
      <c r="A59" s="3" t="s">
        <v>524</v>
      </c>
      <c r="B59" s="3" t="s">
        <v>1726</v>
      </c>
      <c r="C59" s="3" t="s">
        <v>1693</v>
      </c>
      <c r="D59" s="1" t="str">
        <f t="shared" si="0"/>
        <v>Kano</v>
      </c>
    </row>
    <row r="60" spans="1:4" x14ac:dyDescent="0.25">
      <c r="A60" s="3" t="s">
        <v>10</v>
      </c>
      <c r="B60" s="3" t="s">
        <v>1727</v>
      </c>
      <c r="C60" s="3" t="s">
        <v>1663</v>
      </c>
      <c r="D60" s="1" t="str">
        <f t="shared" si="0"/>
        <v>Lagos</v>
      </c>
    </row>
    <row r="61" spans="1:4" x14ac:dyDescent="0.25">
      <c r="A61" s="3" t="s">
        <v>57</v>
      </c>
      <c r="B61" s="3" t="s">
        <v>1728</v>
      </c>
      <c r="C61" s="3" t="s">
        <v>1665</v>
      </c>
      <c r="D61" s="1" t="str">
        <f t="shared" si="0"/>
        <v>Lagos</v>
      </c>
    </row>
    <row r="62" spans="1:4" x14ac:dyDescent="0.25">
      <c r="A62" s="3" t="s">
        <v>106</v>
      </c>
      <c r="B62" s="3" t="s">
        <v>1729</v>
      </c>
      <c r="C62" s="3" t="s">
        <v>1668</v>
      </c>
      <c r="D62" s="1" t="str">
        <f t="shared" si="0"/>
        <v>Kano</v>
      </c>
    </row>
    <row r="63" spans="1:4" x14ac:dyDescent="0.25">
      <c r="A63" s="3" t="s">
        <v>224</v>
      </c>
      <c r="B63" s="3" t="s">
        <v>1730</v>
      </c>
      <c r="C63" s="3" t="s">
        <v>1696</v>
      </c>
      <c r="D63" s="1" t="str">
        <f t="shared" si="0"/>
        <v>Port Harcourt</v>
      </c>
    </row>
    <row r="64" spans="1:4" x14ac:dyDescent="0.25">
      <c r="A64" s="3" t="s">
        <v>163</v>
      </c>
      <c r="B64" s="3" t="s">
        <v>1720</v>
      </c>
      <c r="C64" s="3" t="s">
        <v>1693</v>
      </c>
      <c r="D64" s="1" t="str">
        <f t="shared" si="0"/>
        <v>Kano</v>
      </c>
    </row>
    <row r="65" spans="1:4" x14ac:dyDescent="0.25">
      <c r="A65" s="3" t="s">
        <v>842</v>
      </c>
      <c r="B65" s="3" t="s">
        <v>1731</v>
      </c>
      <c r="C65" s="3" t="s">
        <v>1681</v>
      </c>
      <c r="D65" s="1" t="str">
        <f t="shared" si="0"/>
        <v>Lagos</v>
      </c>
    </row>
    <row r="66" spans="1:4" x14ac:dyDescent="0.25">
      <c r="A66" s="3" t="s">
        <v>648</v>
      </c>
      <c r="B66" s="3" t="s">
        <v>1732</v>
      </c>
      <c r="C66" s="3" t="s">
        <v>1674</v>
      </c>
      <c r="D66" s="1" t="str">
        <f t="shared" si="0"/>
        <v>Abuja</v>
      </c>
    </row>
    <row r="67" spans="1:4" x14ac:dyDescent="0.25">
      <c r="A67" s="3" t="s">
        <v>263</v>
      </c>
      <c r="B67" s="3" t="s">
        <v>1733</v>
      </c>
      <c r="C67" s="3" t="s">
        <v>1674</v>
      </c>
      <c r="D67" s="1" t="str">
        <f t="shared" ref="D67:D130" si="1">PROPER(TRIM(C67))</f>
        <v>Abuja</v>
      </c>
    </row>
    <row r="68" spans="1:4" x14ac:dyDescent="0.25">
      <c r="A68" s="3" t="s">
        <v>145</v>
      </c>
      <c r="B68" s="3" t="s">
        <v>1734</v>
      </c>
      <c r="C68" s="3" t="s">
        <v>1674</v>
      </c>
      <c r="D68" s="1" t="str">
        <f t="shared" si="1"/>
        <v>Abuja</v>
      </c>
    </row>
    <row r="69" spans="1:4" x14ac:dyDescent="0.25">
      <c r="A69" s="3" t="s">
        <v>308</v>
      </c>
      <c r="B69" s="3" t="s">
        <v>1735</v>
      </c>
      <c r="C69" s="3" t="s">
        <v>1696</v>
      </c>
      <c r="D69" s="1" t="str">
        <f t="shared" si="1"/>
        <v>Port Harcourt</v>
      </c>
    </row>
    <row r="70" spans="1:4" x14ac:dyDescent="0.25">
      <c r="A70" s="3" t="s">
        <v>288</v>
      </c>
      <c r="B70" s="3" t="s">
        <v>1736</v>
      </c>
      <c r="C70" s="3" t="s">
        <v>1668</v>
      </c>
      <c r="D70" s="1" t="str">
        <f t="shared" si="1"/>
        <v>Kano</v>
      </c>
    </row>
    <row r="71" spans="1:4" x14ac:dyDescent="0.25">
      <c r="A71" s="3" t="s">
        <v>969</v>
      </c>
      <c r="B71" s="3" t="s">
        <v>1737</v>
      </c>
      <c r="C71" s="3" t="s">
        <v>1689</v>
      </c>
      <c r="D71" s="1" t="str">
        <f t="shared" si="1"/>
        <v>Abuja</v>
      </c>
    </row>
    <row r="72" spans="1:4" x14ac:dyDescent="0.25">
      <c r="A72" s="3" t="s">
        <v>403</v>
      </c>
      <c r="B72" s="3" t="s">
        <v>1738</v>
      </c>
      <c r="C72" s="3" t="s">
        <v>1659</v>
      </c>
      <c r="D72" s="1" t="str">
        <f t="shared" si="1"/>
        <v>Lagos</v>
      </c>
    </row>
    <row r="73" spans="1:4" x14ac:dyDescent="0.25">
      <c r="A73" s="3" t="s">
        <v>279</v>
      </c>
      <c r="B73" s="3" t="s">
        <v>1739</v>
      </c>
      <c r="C73" s="3" t="s">
        <v>1693</v>
      </c>
      <c r="D73" s="1" t="str">
        <f t="shared" si="1"/>
        <v>Kano</v>
      </c>
    </row>
    <row r="74" spans="1:4" x14ac:dyDescent="0.25">
      <c r="A74" s="3" t="s">
        <v>516</v>
      </c>
      <c r="B74" s="3" t="s">
        <v>1740</v>
      </c>
      <c r="C74" s="3" t="s">
        <v>1689</v>
      </c>
      <c r="D74" s="1" t="str">
        <f t="shared" si="1"/>
        <v>Abuja</v>
      </c>
    </row>
    <row r="75" spans="1:4" x14ac:dyDescent="0.25">
      <c r="A75" s="3" t="s">
        <v>261</v>
      </c>
      <c r="B75" s="3" t="s">
        <v>1741</v>
      </c>
      <c r="C75" s="3" t="s">
        <v>1689</v>
      </c>
      <c r="D75" s="1" t="str">
        <f t="shared" si="1"/>
        <v>Abuja</v>
      </c>
    </row>
    <row r="76" spans="1:4" x14ac:dyDescent="0.25">
      <c r="A76" s="3" t="s">
        <v>293</v>
      </c>
      <c r="B76" s="3" t="s">
        <v>1742</v>
      </c>
      <c r="C76" s="3" t="s">
        <v>1674</v>
      </c>
      <c r="D76" s="1" t="str">
        <f t="shared" si="1"/>
        <v>Abuja</v>
      </c>
    </row>
    <row r="77" spans="1:4" x14ac:dyDescent="0.25">
      <c r="A77" s="3" t="s">
        <v>1267</v>
      </c>
      <c r="B77" s="3" t="s">
        <v>1743</v>
      </c>
      <c r="C77" s="3" t="s">
        <v>1661</v>
      </c>
      <c r="D77" s="1" t="str">
        <f t="shared" si="1"/>
        <v>Abuja</v>
      </c>
    </row>
    <row r="78" spans="1:4" x14ac:dyDescent="0.25">
      <c r="A78" s="3" t="s">
        <v>603</v>
      </c>
      <c r="B78" s="3" t="s">
        <v>1744</v>
      </c>
      <c r="C78" s="3" t="s">
        <v>1663</v>
      </c>
      <c r="D78" s="1" t="str">
        <f t="shared" si="1"/>
        <v>Lagos</v>
      </c>
    </row>
    <row r="79" spans="1:4" x14ac:dyDescent="0.25">
      <c r="A79" s="3" t="s">
        <v>21</v>
      </c>
      <c r="B79" s="3" t="s">
        <v>1745</v>
      </c>
      <c r="C79" s="3" t="s">
        <v>1679</v>
      </c>
      <c r="D79" s="1" t="str">
        <f t="shared" si="1"/>
        <v>Port-Harcourt</v>
      </c>
    </row>
    <row r="80" spans="1:4" x14ac:dyDescent="0.25">
      <c r="A80" s="3" t="s">
        <v>136</v>
      </c>
      <c r="B80" s="3" t="s">
        <v>1746</v>
      </c>
      <c r="C80" s="3" t="s">
        <v>1674</v>
      </c>
      <c r="D80" s="1" t="str">
        <f t="shared" si="1"/>
        <v>Abuja</v>
      </c>
    </row>
    <row r="81" spans="1:4" x14ac:dyDescent="0.25">
      <c r="A81" s="3" t="s">
        <v>34</v>
      </c>
      <c r="B81" s="3" t="s">
        <v>1747</v>
      </c>
      <c r="C81" s="3" t="s">
        <v>1696</v>
      </c>
      <c r="D81" s="1" t="str">
        <f t="shared" si="1"/>
        <v>Port Harcourt</v>
      </c>
    </row>
    <row r="82" spans="1:4" x14ac:dyDescent="0.25">
      <c r="A82" s="3" t="s">
        <v>364</v>
      </c>
      <c r="B82" s="3" t="s">
        <v>1748</v>
      </c>
      <c r="C82" s="3" t="s">
        <v>1663</v>
      </c>
      <c r="D82" s="1" t="str">
        <f t="shared" si="1"/>
        <v>Lagos</v>
      </c>
    </row>
    <row r="83" spans="1:4" x14ac:dyDescent="0.25">
      <c r="A83" s="3" t="s">
        <v>637</v>
      </c>
      <c r="B83" s="3" t="s">
        <v>1749</v>
      </c>
      <c r="C83" s="3" t="s">
        <v>1681</v>
      </c>
      <c r="D83" s="1" t="str">
        <f t="shared" si="1"/>
        <v>Lagos</v>
      </c>
    </row>
    <row r="84" spans="1:4" x14ac:dyDescent="0.25">
      <c r="A84" s="3" t="s">
        <v>150</v>
      </c>
      <c r="B84" s="3" t="s">
        <v>1750</v>
      </c>
      <c r="C84" s="3" t="s">
        <v>1670</v>
      </c>
      <c r="D84" s="1" t="str">
        <f t="shared" si="1"/>
        <v>Port Harcourt</v>
      </c>
    </row>
    <row r="85" spans="1:4" x14ac:dyDescent="0.25">
      <c r="A85" s="3" t="s">
        <v>908</v>
      </c>
      <c r="B85" s="3" t="s">
        <v>1751</v>
      </c>
      <c r="C85" s="3" t="s">
        <v>1665</v>
      </c>
      <c r="D85" s="1" t="str">
        <f t="shared" si="1"/>
        <v>Lagos</v>
      </c>
    </row>
    <row r="86" spans="1:4" x14ac:dyDescent="0.25">
      <c r="A86" s="3" t="s">
        <v>38</v>
      </c>
      <c r="B86" s="3" t="s">
        <v>1752</v>
      </c>
      <c r="C86" s="3" t="s">
        <v>1674</v>
      </c>
      <c r="D86" s="1" t="str">
        <f t="shared" si="1"/>
        <v>Abuja</v>
      </c>
    </row>
    <row r="87" spans="1:4" x14ac:dyDescent="0.25">
      <c r="A87" s="3" t="s">
        <v>297</v>
      </c>
      <c r="B87" s="3" t="s">
        <v>1753</v>
      </c>
      <c r="C87" s="3" t="s">
        <v>1670</v>
      </c>
      <c r="D87" s="1" t="str">
        <f t="shared" si="1"/>
        <v>Port Harcourt</v>
      </c>
    </row>
    <row r="88" spans="1:4" x14ac:dyDescent="0.25">
      <c r="A88" s="3" t="s">
        <v>621</v>
      </c>
      <c r="B88" s="3" t="s">
        <v>1754</v>
      </c>
      <c r="C88" s="3" t="s">
        <v>1670</v>
      </c>
      <c r="D88" s="1" t="str">
        <f t="shared" si="1"/>
        <v>Port Harcourt</v>
      </c>
    </row>
    <row r="89" spans="1:4" x14ac:dyDescent="0.25">
      <c r="A89" s="3" t="s">
        <v>295</v>
      </c>
      <c r="B89" s="3" t="s">
        <v>1755</v>
      </c>
      <c r="C89" s="3" t="s">
        <v>1670</v>
      </c>
      <c r="D89" s="1" t="str">
        <f t="shared" si="1"/>
        <v>Port Harcourt</v>
      </c>
    </row>
    <row r="90" spans="1:4" x14ac:dyDescent="0.25">
      <c r="A90" s="3" t="s">
        <v>209</v>
      </c>
      <c r="B90" s="3" t="s">
        <v>1756</v>
      </c>
      <c r="C90" s="3" t="s">
        <v>1674</v>
      </c>
      <c r="D90" s="1" t="str">
        <f t="shared" si="1"/>
        <v>Abuja</v>
      </c>
    </row>
    <row r="91" spans="1:4" x14ac:dyDescent="0.25">
      <c r="A91" s="3" t="s">
        <v>215</v>
      </c>
      <c r="B91" s="3" t="s">
        <v>1757</v>
      </c>
      <c r="C91" s="3" t="s">
        <v>1661</v>
      </c>
      <c r="D91" s="1" t="str">
        <f t="shared" si="1"/>
        <v>Abuja</v>
      </c>
    </row>
    <row r="92" spans="1:4" x14ac:dyDescent="0.25">
      <c r="A92" s="3" t="s">
        <v>819</v>
      </c>
      <c r="B92" s="3" t="s">
        <v>1758</v>
      </c>
      <c r="C92" s="3" t="s">
        <v>1696</v>
      </c>
      <c r="D92" s="1" t="str">
        <f t="shared" si="1"/>
        <v>Port Harcourt</v>
      </c>
    </row>
    <row r="93" spans="1:4" x14ac:dyDescent="0.25">
      <c r="A93" s="3" t="s">
        <v>367</v>
      </c>
      <c r="B93" s="3" t="s">
        <v>1759</v>
      </c>
      <c r="C93" s="3" t="s">
        <v>1663</v>
      </c>
      <c r="D93" s="1" t="str">
        <f t="shared" si="1"/>
        <v>Lagos</v>
      </c>
    </row>
    <row r="94" spans="1:4" x14ac:dyDescent="0.25">
      <c r="A94" s="3" t="s">
        <v>683</v>
      </c>
      <c r="B94" s="3" t="s">
        <v>1760</v>
      </c>
      <c r="C94" s="3" t="s">
        <v>1681</v>
      </c>
      <c r="D94" s="1" t="str">
        <f t="shared" si="1"/>
        <v>Lagos</v>
      </c>
    </row>
    <row r="95" spans="1:4" x14ac:dyDescent="0.25">
      <c r="A95" s="3" t="s">
        <v>191</v>
      </c>
      <c r="B95" s="3" t="s">
        <v>1761</v>
      </c>
      <c r="C95" s="3" t="s">
        <v>1857</v>
      </c>
      <c r="D95" s="1" t="str">
        <f t="shared" si="1"/>
        <v>Unknown</v>
      </c>
    </row>
    <row r="96" spans="1:4" x14ac:dyDescent="0.25">
      <c r="A96" s="3" t="s">
        <v>110</v>
      </c>
      <c r="B96" s="3" t="s">
        <v>1677</v>
      </c>
      <c r="C96" s="3" t="s">
        <v>1693</v>
      </c>
      <c r="D96" s="1" t="str">
        <f t="shared" si="1"/>
        <v>Kano</v>
      </c>
    </row>
    <row r="97" spans="1:4" x14ac:dyDescent="0.25">
      <c r="A97" s="3" t="s">
        <v>743</v>
      </c>
      <c r="B97" s="3" t="s">
        <v>1762</v>
      </c>
      <c r="C97" s="3" t="s">
        <v>1665</v>
      </c>
      <c r="D97" s="1" t="str">
        <f t="shared" si="1"/>
        <v>Lagos</v>
      </c>
    </row>
    <row r="98" spans="1:4" x14ac:dyDescent="0.25">
      <c r="A98" s="3" t="s">
        <v>461</v>
      </c>
      <c r="B98" s="3" t="s">
        <v>1763</v>
      </c>
      <c r="C98" s="3" t="s">
        <v>1670</v>
      </c>
      <c r="D98" s="1" t="str">
        <f t="shared" si="1"/>
        <v>Port Harcourt</v>
      </c>
    </row>
    <row r="99" spans="1:4" x14ac:dyDescent="0.25">
      <c r="A99" s="3" t="s">
        <v>537</v>
      </c>
      <c r="B99" s="3" t="s">
        <v>1764</v>
      </c>
      <c r="C99" s="3" t="s">
        <v>1659</v>
      </c>
      <c r="D99" s="1" t="str">
        <f t="shared" si="1"/>
        <v>Lagos</v>
      </c>
    </row>
    <row r="100" spans="1:4" x14ac:dyDescent="0.25">
      <c r="A100" s="3" t="s">
        <v>72</v>
      </c>
      <c r="B100" s="3" t="s">
        <v>1765</v>
      </c>
      <c r="C100" s="3" t="s">
        <v>1670</v>
      </c>
      <c r="D100" s="1" t="str">
        <f t="shared" si="1"/>
        <v>Port Harcourt</v>
      </c>
    </row>
    <row r="101" spans="1:4" x14ac:dyDescent="0.25">
      <c r="A101" s="3" t="s">
        <v>324</v>
      </c>
      <c r="B101" s="3" t="s">
        <v>1682</v>
      </c>
      <c r="C101" s="3" t="s">
        <v>1659</v>
      </c>
      <c r="D101" s="1" t="str">
        <f t="shared" si="1"/>
        <v>Lagos</v>
      </c>
    </row>
    <row r="102" spans="1:4" x14ac:dyDescent="0.25">
      <c r="A102" s="3" t="s">
        <v>893</v>
      </c>
      <c r="B102" s="3" t="s">
        <v>1766</v>
      </c>
      <c r="C102" s="3" t="s">
        <v>1693</v>
      </c>
      <c r="D102" s="1" t="str">
        <f t="shared" si="1"/>
        <v>Kano</v>
      </c>
    </row>
    <row r="103" spans="1:4" x14ac:dyDescent="0.25">
      <c r="A103" s="3" t="s">
        <v>764</v>
      </c>
      <c r="B103" s="3" t="s">
        <v>1767</v>
      </c>
      <c r="C103" s="3" t="s">
        <v>1689</v>
      </c>
      <c r="D103" s="1" t="str">
        <f t="shared" si="1"/>
        <v>Abuja</v>
      </c>
    </row>
    <row r="104" spans="1:4" x14ac:dyDescent="0.25">
      <c r="A104" s="3" t="s">
        <v>390</v>
      </c>
      <c r="B104" s="3" t="s">
        <v>1768</v>
      </c>
      <c r="C104" s="3" t="s">
        <v>1668</v>
      </c>
      <c r="D104" s="1" t="str">
        <f t="shared" si="1"/>
        <v>Kano</v>
      </c>
    </row>
    <row r="105" spans="1:4" x14ac:dyDescent="0.25">
      <c r="A105" s="3" t="s">
        <v>519</v>
      </c>
      <c r="B105" s="3" t="s">
        <v>1769</v>
      </c>
      <c r="C105" s="3" t="s">
        <v>1693</v>
      </c>
      <c r="D105" s="1" t="str">
        <f t="shared" si="1"/>
        <v>Kano</v>
      </c>
    </row>
    <row r="106" spans="1:4" x14ac:dyDescent="0.25">
      <c r="A106" s="3" t="s">
        <v>127</v>
      </c>
      <c r="B106" s="3" t="s">
        <v>1683</v>
      </c>
      <c r="C106" s="3" t="s">
        <v>1670</v>
      </c>
      <c r="D106" s="1" t="str">
        <f t="shared" si="1"/>
        <v>Port Harcourt</v>
      </c>
    </row>
    <row r="107" spans="1:4" x14ac:dyDescent="0.25">
      <c r="A107" s="3" t="s">
        <v>114</v>
      </c>
      <c r="B107" s="3" t="s">
        <v>1770</v>
      </c>
      <c r="C107" s="3" t="s">
        <v>1668</v>
      </c>
      <c r="D107" s="1" t="str">
        <f t="shared" si="1"/>
        <v>Kano</v>
      </c>
    </row>
    <row r="108" spans="1:4" x14ac:dyDescent="0.25">
      <c r="A108" s="3" t="s">
        <v>774</v>
      </c>
      <c r="B108" s="3" t="s">
        <v>1771</v>
      </c>
      <c r="C108" s="3" t="s">
        <v>1689</v>
      </c>
      <c r="D108" s="1" t="str">
        <f t="shared" si="1"/>
        <v>Abuja</v>
      </c>
    </row>
    <row r="109" spans="1:4" x14ac:dyDescent="0.25">
      <c r="A109" s="3" t="s">
        <v>217</v>
      </c>
      <c r="B109" s="3" t="s">
        <v>1772</v>
      </c>
      <c r="C109" s="3" t="s">
        <v>1679</v>
      </c>
      <c r="D109" s="1" t="str">
        <f t="shared" si="1"/>
        <v>Port-Harcourt</v>
      </c>
    </row>
    <row r="110" spans="1:4" x14ac:dyDescent="0.25">
      <c r="A110" s="3" t="s">
        <v>122</v>
      </c>
      <c r="B110" s="3" t="s">
        <v>1773</v>
      </c>
      <c r="C110" s="3" t="s">
        <v>1689</v>
      </c>
      <c r="D110" s="1" t="str">
        <f t="shared" si="1"/>
        <v>Abuja</v>
      </c>
    </row>
    <row r="111" spans="1:4" x14ac:dyDescent="0.25">
      <c r="A111" s="3" t="s">
        <v>198</v>
      </c>
      <c r="B111" s="3" t="s">
        <v>1774</v>
      </c>
      <c r="C111" s="3" t="s">
        <v>1672</v>
      </c>
      <c r="D111" s="1" t="str">
        <f t="shared" si="1"/>
        <v>Kano</v>
      </c>
    </row>
    <row r="112" spans="1:4" x14ac:dyDescent="0.25">
      <c r="A112" s="3" t="s">
        <v>67</v>
      </c>
      <c r="B112" s="3" t="s">
        <v>1685</v>
      </c>
      <c r="C112" s="3" t="s">
        <v>1679</v>
      </c>
      <c r="D112" s="1" t="str">
        <f t="shared" si="1"/>
        <v>Port-Harcourt</v>
      </c>
    </row>
    <row r="113" spans="1:4" x14ac:dyDescent="0.25">
      <c r="A113" s="3" t="s">
        <v>141</v>
      </c>
      <c r="B113" s="3" t="s">
        <v>1775</v>
      </c>
      <c r="C113" s="3" t="s">
        <v>1693</v>
      </c>
      <c r="D113" s="1" t="str">
        <f t="shared" si="1"/>
        <v>Kano</v>
      </c>
    </row>
    <row r="114" spans="1:4" x14ac:dyDescent="0.25">
      <c r="A114" s="3" t="s">
        <v>304</v>
      </c>
      <c r="B114" s="3" t="s">
        <v>1753</v>
      </c>
      <c r="C114" s="3" t="s">
        <v>1670</v>
      </c>
      <c r="D114" s="1" t="str">
        <f t="shared" si="1"/>
        <v>Port Harcourt</v>
      </c>
    </row>
    <row r="115" spans="1:4" x14ac:dyDescent="0.25">
      <c r="A115" s="3" t="s">
        <v>459</v>
      </c>
      <c r="B115" s="3" t="s">
        <v>1776</v>
      </c>
      <c r="C115" s="3" t="s">
        <v>1661</v>
      </c>
      <c r="D115" s="1" t="str">
        <f t="shared" si="1"/>
        <v>Abuja</v>
      </c>
    </row>
    <row r="116" spans="1:4" x14ac:dyDescent="0.25">
      <c r="A116" s="3" t="s">
        <v>480</v>
      </c>
      <c r="B116" s="3" t="s">
        <v>1759</v>
      </c>
      <c r="C116" s="3" t="s">
        <v>1663</v>
      </c>
      <c r="D116" s="1" t="str">
        <f t="shared" si="1"/>
        <v>Lagos</v>
      </c>
    </row>
    <row r="117" spans="1:4" x14ac:dyDescent="0.25">
      <c r="A117" s="3" t="s">
        <v>134</v>
      </c>
      <c r="B117" s="3" t="s">
        <v>1777</v>
      </c>
      <c r="C117" s="3" t="s">
        <v>1857</v>
      </c>
      <c r="D117" s="1" t="str">
        <f t="shared" si="1"/>
        <v>Unknown</v>
      </c>
    </row>
    <row r="118" spans="1:4" x14ac:dyDescent="0.25">
      <c r="A118" s="3" t="s">
        <v>486</v>
      </c>
      <c r="B118" s="3" t="s">
        <v>1706</v>
      </c>
      <c r="C118" s="3" t="s">
        <v>1693</v>
      </c>
      <c r="D118" s="1" t="str">
        <f t="shared" si="1"/>
        <v>Kano</v>
      </c>
    </row>
    <row r="119" spans="1:4" x14ac:dyDescent="0.25">
      <c r="A119" s="3" t="s">
        <v>78</v>
      </c>
      <c r="B119" s="3" t="s">
        <v>1778</v>
      </c>
      <c r="C119" s="3" t="s">
        <v>1663</v>
      </c>
      <c r="D119" s="1" t="str">
        <f t="shared" si="1"/>
        <v>Lagos</v>
      </c>
    </row>
    <row r="120" spans="1:4" x14ac:dyDescent="0.25">
      <c r="A120" s="3" t="s">
        <v>322</v>
      </c>
      <c r="B120" s="3" t="s">
        <v>1779</v>
      </c>
      <c r="C120" s="3" t="s">
        <v>1674</v>
      </c>
      <c r="D120" s="1" t="str">
        <f t="shared" si="1"/>
        <v>Abuja</v>
      </c>
    </row>
    <row r="121" spans="1:4" x14ac:dyDescent="0.25">
      <c r="A121" s="3" t="s">
        <v>335</v>
      </c>
      <c r="B121" s="3" t="s">
        <v>1780</v>
      </c>
      <c r="C121" s="3" t="s">
        <v>1679</v>
      </c>
      <c r="D121" s="1" t="str">
        <f t="shared" si="1"/>
        <v>Port-Harcourt</v>
      </c>
    </row>
    <row r="122" spans="1:4" x14ac:dyDescent="0.25">
      <c r="A122" s="3" t="s">
        <v>178</v>
      </c>
      <c r="B122" s="3" t="s">
        <v>1703</v>
      </c>
      <c r="C122" s="3" t="s">
        <v>1679</v>
      </c>
      <c r="D122" s="1" t="str">
        <f t="shared" si="1"/>
        <v>Port-Harcourt</v>
      </c>
    </row>
    <row r="123" spans="1:4" x14ac:dyDescent="0.25">
      <c r="A123" s="3" t="s">
        <v>174</v>
      </c>
      <c r="B123" s="3" t="s">
        <v>1781</v>
      </c>
      <c r="C123" s="3" t="s">
        <v>1696</v>
      </c>
      <c r="D123" s="1" t="str">
        <f t="shared" si="1"/>
        <v>Port Harcourt</v>
      </c>
    </row>
    <row r="124" spans="1:4" x14ac:dyDescent="0.25">
      <c r="A124" s="3" t="s">
        <v>382</v>
      </c>
      <c r="B124" s="3" t="s">
        <v>1782</v>
      </c>
      <c r="C124" s="3" t="s">
        <v>1689</v>
      </c>
      <c r="D124" s="1" t="str">
        <f t="shared" si="1"/>
        <v>Abuja</v>
      </c>
    </row>
    <row r="125" spans="1:4" x14ac:dyDescent="0.25">
      <c r="A125" s="3" t="s">
        <v>809</v>
      </c>
      <c r="B125" s="3" t="s">
        <v>1783</v>
      </c>
      <c r="C125" s="3" t="s">
        <v>1661</v>
      </c>
      <c r="D125" s="1" t="str">
        <f t="shared" si="1"/>
        <v>Abuja</v>
      </c>
    </row>
    <row r="126" spans="1:4" x14ac:dyDescent="0.25">
      <c r="A126" s="3" t="s">
        <v>568</v>
      </c>
      <c r="B126" s="3" t="s">
        <v>1784</v>
      </c>
      <c r="C126" s="3" t="s">
        <v>1693</v>
      </c>
      <c r="D126" s="1" t="str">
        <f t="shared" si="1"/>
        <v>Kano</v>
      </c>
    </row>
    <row r="127" spans="1:4" x14ac:dyDescent="0.25">
      <c r="A127" s="3" t="s">
        <v>161</v>
      </c>
      <c r="B127" s="3" t="s">
        <v>1785</v>
      </c>
      <c r="C127" s="3" t="s">
        <v>1679</v>
      </c>
      <c r="D127" s="1" t="str">
        <f t="shared" si="1"/>
        <v>Port-Harcourt</v>
      </c>
    </row>
    <row r="128" spans="1:4" x14ac:dyDescent="0.25">
      <c r="A128" s="3" t="s">
        <v>211</v>
      </c>
      <c r="B128" s="3" t="s">
        <v>1786</v>
      </c>
      <c r="C128" s="3" t="s">
        <v>1696</v>
      </c>
      <c r="D128" s="1" t="str">
        <f t="shared" si="1"/>
        <v>Port Harcourt</v>
      </c>
    </row>
    <row r="129" spans="1:4" x14ac:dyDescent="0.25">
      <c r="A129" s="3" t="s">
        <v>787</v>
      </c>
      <c r="B129" s="3" t="s">
        <v>1787</v>
      </c>
      <c r="C129" s="3" t="s">
        <v>1661</v>
      </c>
      <c r="D129" s="1" t="str">
        <f t="shared" si="1"/>
        <v>Abuja</v>
      </c>
    </row>
    <row r="130" spans="1:4" x14ac:dyDescent="0.25">
      <c r="A130" s="3" t="s">
        <v>157</v>
      </c>
      <c r="B130" s="3" t="s">
        <v>1788</v>
      </c>
      <c r="C130" s="3" t="s">
        <v>1659</v>
      </c>
      <c r="D130" s="1" t="str">
        <f t="shared" si="1"/>
        <v>Lagos</v>
      </c>
    </row>
    <row r="131" spans="1:4" x14ac:dyDescent="0.25">
      <c r="A131" s="3" t="s">
        <v>74</v>
      </c>
      <c r="B131" s="3" t="s">
        <v>1714</v>
      </c>
      <c r="C131" s="3" t="s">
        <v>1670</v>
      </c>
      <c r="D131" s="1" t="str">
        <f t="shared" ref="D131:D194" si="2">PROPER(TRIM(C131))</f>
        <v>Port Harcourt</v>
      </c>
    </row>
    <row r="132" spans="1:4" x14ac:dyDescent="0.25">
      <c r="A132" s="3" t="s">
        <v>605</v>
      </c>
      <c r="B132" s="3" t="s">
        <v>1773</v>
      </c>
      <c r="C132" s="3" t="s">
        <v>1670</v>
      </c>
      <c r="D132" s="1" t="str">
        <f t="shared" si="2"/>
        <v>Port Harcourt</v>
      </c>
    </row>
    <row r="133" spans="1:4" x14ac:dyDescent="0.25">
      <c r="A133" s="3" t="s">
        <v>240</v>
      </c>
      <c r="B133" s="3" t="s">
        <v>1789</v>
      </c>
      <c r="C133" s="3" t="s">
        <v>1689</v>
      </c>
      <c r="D133" s="1" t="str">
        <f t="shared" si="2"/>
        <v>Abuja</v>
      </c>
    </row>
    <row r="134" spans="1:4" x14ac:dyDescent="0.25">
      <c r="A134" s="3" t="s">
        <v>14</v>
      </c>
      <c r="B134" s="3" t="s">
        <v>1790</v>
      </c>
      <c r="C134" s="3" t="s">
        <v>1857</v>
      </c>
      <c r="D134" s="1" t="str">
        <f t="shared" si="2"/>
        <v>Unknown</v>
      </c>
    </row>
    <row r="135" spans="1:4" x14ac:dyDescent="0.25">
      <c r="A135" s="3" t="s">
        <v>783</v>
      </c>
      <c r="B135" s="3" t="s">
        <v>1791</v>
      </c>
      <c r="C135" s="3" t="s">
        <v>1672</v>
      </c>
      <c r="D135" s="1" t="str">
        <f t="shared" si="2"/>
        <v>Kano</v>
      </c>
    </row>
    <row r="136" spans="1:4" x14ac:dyDescent="0.25">
      <c r="A136" s="3" t="s">
        <v>715</v>
      </c>
      <c r="B136" s="3" t="s">
        <v>1697</v>
      </c>
      <c r="C136" s="3" t="s">
        <v>1661</v>
      </c>
      <c r="D136" s="1" t="str">
        <f t="shared" si="2"/>
        <v>Abuja</v>
      </c>
    </row>
    <row r="137" spans="1:4" x14ac:dyDescent="0.25">
      <c r="A137" s="3" t="s">
        <v>343</v>
      </c>
      <c r="B137" s="3" t="s">
        <v>1792</v>
      </c>
      <c r="C137" s="3" t="s">
        <v>1672</v>
      </c>
      <c r="D137" s="1" t="str">
        <f t="shared" si="2"/>
        <v>Kano</v>
      </c>
    </row>
    <row r="138" spans="1:4" x14ac:dyDescent="0.25">
      <c r="A138" s="3" t="s">
        <v>547</v>
      </c>
      <c r="B138" s="3" t="s">
        <v>1698</v>
      </c>
      <c r="C138" s="3" t="s">
        <v>1681</v>
      </c>
      <c r="D138" s="1" t="str">
        <f t="shared" si="2"/>
        <v>Lagos</v>
      </c>
    </row>
    <row r="139" spans="1:4" x14ac:dyDescent="0.25">
      <c r="A139" s="3" t="s">
        <v>182</v>
      </c>
      <c r="B139" s="3" t="s">
        <v>1793</v>
      </c>
      <c r="C139" s="3" t="s">
        <v>1689</v>
      </c>
      <c r="D139" s="1" t="str">
        <f t="shared" si="2"/>
        <v>Abuja</v>
      </c>
    </row>
    <row r="140" spans="1:4" x14ac:dyDescent="0.25">
      <c r="A140" s="3" t="s">
        <v>153</v>
      </c>
      <c r="B140" s="3" t="s">
        <v>1794</v>
      </c>
      <c r="C140" s="3" t="s">
        <v>1668</v>
      </c>
      <c r="D140" s="1" t="str">
        <f t="shared" si="2"/>
        <v>Kano</v>
      </c>
    </row>
    <row r="141" spans="1:4" x14ac:dyDescent="0.25">
      <c r="A141" s="3" t="s">
        <v>387</v>
      </c>
      <c r="B141" s="3" t="s">
        <v>1795</v>
      </c>
      <c r="C141" s="3" t="s">
        <v>1663</v>
      </c>
      <c r="D141" s="1" t="str">
        <f t="shared" si="2"/>
        <v>Lagos</v>
      </c>
    </row>
    <row r="142" spans="1:4" x14ac:dyDescent="0.25">
      <c r="A142" s="3" t="s">
        <v>62</v>
      </c>
      <c r="B142" s="3" t="s">
        <v>1796</v>
      </c>
      <c r="C142" s="3" t="s">
        <v>1696</v>
      </c>
      <c r="D142" s="1" t="str">
        <f t="shared" si="2"/>
        <v>Port Harcourt</v>
      </c>
    </row>
    <row r="143" spans="1:4" x14ac:dyDescent="0.25">
      <c r="A143" s="3" t="s">
        <v>528</v>
      </c>
      <c r="B143" s="3" t="s">
        <v>1797</v>
      </c>
      <c r="C143" s="3" t="s">
        <v>1693</v>
      </c>
      <c r="D143" s="1" t="str">
        <f t="shared" si="2"/>
        <v>Kano</v>
      </c>
    </row>
    <row r="144" spans="1:4" x14ac:dyDescent="0.25">
      <c r="A144" s="3" t="s">
        <v>31</v>
      </c>
      <c r="B144" s="3" t="s">
        <v>1798</v>
      </c>
      <c r="C144" s="3" t="s">
        <v>1672</v>
      </c>
      <c r="D144" s="1" t="str">
        <f t="shared" si="2"/>
        <v>Kano</v>
      </c>
    </row>
    <row r="145" spans="1:4" x14ac:dyDescent="0.25">
      <c r="A145" s="3" t="s">
        <v>594</v>
      </c>
      <c r="B145" s="3" t="s">
        <v>1799</v>
      </c>
      <c r="C145" s="3" t="s">
        <v>1696</v>
      </c>
      <c r="D145" s="1" t="str">
        <f t="shared" si="2"/>
        <v>Port Harcourt</v>
      </c>
    </row>
    <row r="146" spans="1:4" x14ac:dyDescent="0.25">
      <c r="A146" s="3" t="s">
        <v>76</v>
      </c>
      <c r="B146" s="3" t="s">
        <v>1800</v>
      </c>
      <c r="C146" s="3" t="s">
        <v>1696</v>
      </c>
      <c r="D146" s="1" t="str">
        <f t="shared" si="2"/>
        <v>Port Harcourt</v>
      </c>
    </row>
    <row r="147" spans="1:4" x14ac:dyDescent="0.25">
      <c r="A147" s="3" t="s">
        <v>428</v>
      </c>
      <c r="B147" s="3" t="s">
        <v>1801</v>
      </c>
      <c r="C147" s="3" t="s">
        <v>1674</v>
      </c>
      <c r="D147" s="1" t="str">
        <f t="shared" si="2"/>
        <v>Abuja</v>
      </c>
    </row>
    <row r="148" spans="1:4" x14ac:dyDescent="0.25">
      <c r="A148" s="3" t="s">
        <v>351</v>
      </c>
      <c r="B148" s="3" t="s">
        <v>1802</v>
      </c>
      <c r="C148" s="3" t="s">
        <v>1665</v>
      </c>
      <c r="D148" s="1" t="str">
        <f t="shared" si="2"/>
        <v>Lagos</v>
      </c>
    </row>
    <row r="149" spans="1:4" x14ac:dyDescent="0.25">
      <c r="A149" s="3" t="s">
        <v>83</v>
      </c>
      <c r="B149" s="3" t="s">
        <v>1803</v>
      </c>
      <c r="C149" s="3" t="s">
        <v>1693</v>
      </c>
      <c r="D149" s="1" t="str">
        <f t="shared" si="2"/>
        <v>Kano</v>
      </c>
    </row>
    <row r="150" spans="1:4" x14ac:dyDescent="0.25">
      <c r="A150" s="3" t="s">
        <v>180</v>
      </c>
      <c r="B150" s="3" t="s">
        <v>1804</v>
      </c>
      <c r="C150" s="3" t="s">
        <v>1857</v>
      </c>
      <c r="D150" s="1" t="str">
        <f t="shared" si="2"/>
        <v>Unknown</v>
      </c>
    </row>
    <row r="151" spans="1:4" x14ac:dyDescent="0.25">
      <c r="A151" s="3" t="s">
        <v>176</v>
      </c>
      <c r="B151" s="3" t="s">
        <v>1805</v>
      </c>
      <c r="C151" s="3" t="s">
        <v>1672</v>
      </c>
      <c r="D151" s="1" t="str">
        <f t="shared" si="2"/>
        <v>Kano</v>
      </c>
    </row>
    <row r="152" spans="1:4" x14ac:dyDescent="0.25">
      <c r="A152" s="3" t="s">
        <v>189</v>
      </c>
      <c r="B152" s="3" t="s">
        <v>1806</v>
      </c>
      <c r="C152" s="3" t="s">
        <v>1672</v>
      </c>
      <c r="D152" s="1" t="str">
        <f t="shared" si="2"/>
        <v>Kano</v>
      </c>
    </row>
    <row r="153" spans="1:4" x14ac:dyDescent="0.25">
      <c r="A153" s="3" t="s">
        <v>953</v>
      </c>
      <c r="B153" s="3" t="s">
        <v>1697</v>
      </c>
      <c r="C153" s="3" t="s">
        <v>1663</v>
      </c>
      <c r="D153" s="1" t="str">
        <f t="shared" si="2"/>
        <v>Lagos</v>
      </c>
    </row>
    <row r="154" spans="1:4" x14ac:dyDescent="0.25">
      <c r="A154" s="3" t="s">
        <v>104</v>
      </c>
      <c r="B154" s="3" t="s">
        <v>1709</v>
      </c>
      <c r="C154" s="3" t="s">
        <v>1679</v>
      </c>
      <c r="D154" s="1" t="str">
        <f t="shared" si="2"/>
        <v>Port-Harcourt</v>
      </c>
    </row>
    <row r="155" spans="1:4" x14ac:dyDescent="0.25">
      <c r="A155" s="3" t="s">
        <v>116</v>
      </c>
      <c r="B155" s="3" t="s">
        <v>1807</v>
      </c>
      <c r="C155" s="3" t="s">
        <v>1693</v>
      </c>
      <c r="D155" s="1" t="str">
        <f t="shared" si="2"/>
        <v>Kano</v>
      </c>
    </row>
    <row r="156" spans="1:4" x14ac:dyDescent="0.25">
      <c r="A156" s="3" t="s">
        <v>597</v>
      </c>
      <c r="B156" s="3" t="s">
        <v>1808</v>
      </c>
      <c r="C156" s="3" t="s">
        <v>1674</v>
      </c>
      <c r="D156" s="1" t="str">
        <f t="shared" si="2"/>
        <v>Abuja</v>
      </c>
    </row>
    <row r="157" spans="1:4" x14ac:dyDescent="0.25">
      <c r="A157" s="3" t="s">
        <v>430</v>
      </c>
      <c r="B157" s="3" t="s">
        <v>1809</v>
      </c>
      <c r="C157" s="3" t="s">
        <v>1672</v>
      </c>
      <c r="D157" s="1" t="str">
        <f t="shared" si="2"/>
        <v>Kano</v>
      </c>
    </row>
    <row r="158" spans="1:4" x14ac:dyDescent="0.25">
      <c r="A158" s="3" t="s">
        <v>733</v>
      </c>
      <c r="B158" s="3" t="s">
        <v>1735</v>
      </c>
      <c r="C158" s="3" t="s">
        <v>1696</v>
      </c>
      <c r="D158" s="1" t="str">
        <f t="shared" si="2"/>
        <v>Port Harcourt</v>
      </c>
    </row>
    <row r="159" spans="1:4" x14ac:dyDescent="0.25">
      <c r="A159" s="3" t="s">
        <v>407</v>
      </c>
      <c r="B159" s="3" t="s">
        <v>1810</v>
      </c>
      <c r="C159" s="3" t="s">
        <v>1668</v>
      </c>
      <c r="D159" s="1" t="str">
        <f t="shared" si="2"/>
        <v>Kano</v>
      </c>
    </row>
    <row r="160" spans="1:4" x14ac:dyDescent="0.25">
      <c r="A160" s="3" t="s">
        <v>200</v>
      </c>
      <c r="B160" s="3" t="s">
        <v>1811</v>
      </c>
      <c r="C160" s="3" t="s">
        <v>1663</v>
      </c>
      <c r="D160" s="1" t="str">
        <f t="shared" si="2"/>
        <v>Lagos</v>
      </c>
    </row>
    <row r="161" spans="1:4" x14ac:dyDescent="0.25">
      <c r="A161" s="3" t="s">
        <v>256</v>
      </c>
      <c r="B161" s="3" t="s">
        <v>1812</v>
      </c>
      <c r="C161" s="3" t="s">
        <v>1681</v>
      </c>
      <c r="D161" s="1" t="str">
        <f t="shared" si="2"/>
        <v>Lagos</v>
      </c>
    </row>
    <row r="162" spans="1:4" x14ac:dyDescent="0.25">
      <c r="A162" s="3" t="s">
        <v>143</v>
      </c>
      <c r="B162" s="3" t="s">
        <v>1813</v>
      </c>
      <c r="C162" s="3" t="s">
        <v>1674</v>
      </c>
      <c r="D162" s="1" t="str">
        <f t="shared" si="2"/>
        <v>Abuja</v>
      </c>
    </row>
    <row r="163" spans="1:4" x14ac:dyDescent="0.25">
      <c r="A163" s="3" t="s">
        <v>129</v>
      </c>
      <c r="B163" s="3" t="s">
        <v>1814</v>
      </c>
      <c r="C163" s="3" t="s">
        <v>1696</v>
      </c>
      <c r="D163" s="1" t="str">
        <f t="shared" si="2"/>
        <v>Port Harcourt</v>
      </c>
    </row>
    <row r="164" spans="1:4" x14ac:dyDescent="0.25">
      <c r="A164" s="3" t="s">
        <v>475</v>
      </c>
      <c r="B164" s="3" t="s">
        <v>1758</v>
      </c>
      <c r="C164" s="3" t="s">
        <v>1672</v>
      </c>
      <c r="D164" s="1" t="str">
        <f t="shared" si="2"/>
        <v>Kano</v>
      </c>
    </row>
    <row r="165" spans="1:4" x14ac:dyDescent="0.25">
      <c r="A165" s="3" t="s">
        <v>791</v>
      </c>
      <c r="B165" s="3" t="s">
        <v>1815</v>
      </c>
      <c r="C165" s="3" t="s">
        <v>1696</v>
      </c>
      <c r="D165" s="1" t="str">
        <f t="shared" si="2"/>
        <v>Port Harcourt</v>
      </c>
    </row>
    <row r="166" spans="1:4" x14ac:dyDescent="0.25">
      <c r="A166" s="3" t="s">
        <v>65</v>
      </c>
      <c r="B166" s="3" t="s">
        <v>1685</v>
      </c>
      <c r="C166" s="3" t="s">
        <v>1668</v>
      </c>
      <c r="D166" s="1" t="str">
        <f t="shared" si="2"/>
        <v>Kano</v>
      </c>
    </row>
    <row r="167" spans="1:4" x14ac:dyDescent="0.25">
      <c r="A167" s="3" t="s">
        <v>353</v>
      </c>
      <c r="B167" s="3" t="s">
        <v>1808</v>
      </c>
      <c r="C167" s="3" t="s">
        <v>1659</v>
      </c>
      <c r="D167" s="1" t="str">
        <f t="shared" si="2"/>
        <v>Lagos</v>
      </c>
    </row>
    <row r="168" spans="1:4" x14ac:dyDescent="0.25">
      <c r="A168" s="3" t="s">
        <v>360</v>
      </c>
      <c r="B168" s="3" t="s">
        <v>1720</v>
      </c>
      <c r="C168" s="3" t="s">
        <v>1681</v>
      </c>
      <c r="D168" s="1" t="str">
        <f t="shared" si="2"/>
        <v>Lagos</v>
      </c>
    </row>
    <row r="169" spans="1:4" x14ac:dyDescent="0.25">
      <c r="A169" s="3" t="s">
        <v>226</v>
      </c>
      <c r="B169" s="3" t="s">
        <v>1816</v>
      </c>
      <c r="C169" s="3" t="s">
        <v>1665</v>
      </c>
      <c r="D169" s="1" t="str">
        <f t="shared" si="2"/>
        <v>Lagos</v>
      </c>
    </row>
    <row r="170" spans="1:4" x14ac:dyDescent="0.25">
      <c r="A170" s="3" t="s">
        <v>426</v>
      </c>
      <c r="B170" s="3" t="s">
        <v>1698</v>
      </c>
      <c r="C170" s="3" t="s">
        <v>1693</v>
      </c>
      <c r="D170" s="1" t="str">
        <f t="shared" si="2"/>
        <v>Kano</v>
      </c>
    </row>
    <row r="171" spans="1:4" x14ac:dyDescent="0.25">
      <c r="A171" s="3" t="s">
        <v>81</v>
      </c>
      <c r="B171" s="3" t="s">
        <v>1743</v>
      </c>
      <c r="C171" s="3" t="s">
        <v>1674</v>
      </c>
      <c r="D171" s="1" t="str">
        <f t="shared" si="2"/>
        <v>Abuja</v>
      </c>
    </row>
    <row r="172" spans="1:4" x14ac:dyDescent="0.25">
      <c r="A172" s="3" t="s">
        <v>29</v>
      </c>
      <c r="B172" s="3" t="s">
        <v>1817</v>
      </c>
      <c r="C172" s="3" t="s">
        <v>1670</v>
      </c>
      <c r="D172" s="1" t="str">
        <f t="shared" si="2"/>
        <v>Port Harcourt</v>
      </c>
    </row>
    <row r="173" spans="1:4" x14ac:dyDescent="0.25">
      <c r="A173" s="3" t="s">
        <v>313</v>
      </c>
      <c r="B173" s="3" t="s">
        <v>1818</v>
      </c>
      <c r="C173" s="3" t="s">
        <v>1665</v>
      </c>
      <c r="D173" s="1" t="str">
        <f t="shared" si="2"/>
        <v>Lagos</v>
      </c>
    </row>
    <row r="174" spans="1:4" x14ac:dyDescent="0.25">
      <c r="A174" s="3" t="s">
        <v>102</v>
      </c>
      <c r="B174" s="3" t="s">
        <v>1819</v>
      </c>
      <c r="C174" s="3" t="s">
        <v>1659</v>
      </c>
      <c r="D174" s="1" t="str">
        <f t="shared" si="2"/>
        <v>Lagos</v>
      </c>
    </row>
    <row r="175" spans="1:4" x14ac:dyDescent="0.25">
      <c r="A175" s="3" t="s">
        <v>85</v>
      </c>
      <c r="B175" s="3" t="s">
        <v>1820</v>
      </c>
      <c r="C175" s="3" t="s">
        <v>1693</v>
      </c>
      <c r="D175" s="1" t="str">
        <f t="shared" si="2"/>
        <v>Kano</v>
      </c>
    </row>
    <row r="176" spans="1:4" x14ac:dyDescent="0.25">
      <c r="A176" s="3" t="s">
        <v>504</v>
      </c>
      <c r="B176" s="3" t="s">
        <v>1821</v>
      </c>
      <c r="C176" s="3" t="s">
        <v>1689</v>
      </c>
      <c r="D176" s="1" t="str">
        <f t="shared" si="2"/>
        <v>Abuja</v>
      </c>
    </row>
    <row r="177" spans="1:4" x14ac:dyDescent="0.25">
      <c r="A177" s="3" t="s">
        <v>253</v>
      </c>
      <c r="B177" s="3" t="s">
        <v>1782</v>
      </c>
      <c r="C177" s="3" t="s">
        <v>1681</v>
      </c>
      <c r="D177" s="1" t="str">
        <f t="shared" si="2"/>
        <v>Lagos</v>
      </c>
    </row>
    <row r="178" spans="1:4" x14ac:dyDescent="0.25">
      <c r="A178" s="3" t="s">
        <v>663</v>
      </c>
      <c r="B178" s="3" t="s">
        <v>1822</v>
      </c>
      <c r="C178" s="3" t="s">
        <v>1693</v>
      </c>
      <c r="D178" s="1" t="str">
        <f t="shared" si="2"/>
        <v>Kano</v>
      </c>
    </row>
    <row r="179" spans="1:4" x14ac:dyDescent="0.25">
      <c r="A179" s="3" t="s">
        <v>349</v>
      </c>
      <c r="B179" s="3" t="s">
        <v>1823</v>
      </c>
      <c r="C179" s="3" t="s">
        <v>1670</v>
      </c>
      <c r="D179" s="1" t="str">
        <f t="shared" si="2"/>
        <v>Port Harcourt</v>
      </c>
    </row>
    <row r="180" spans="1:4" x14ac:dyDescent="0.25">
      <c r="A180" s="3" t="s">
        <v>415</v>
      </c>
      <c r="B180" s="3" t="s">
        <v>1824</v>
      </c>
      <c r="C180" s="3" t="s">
        <v>1668</v>
      </c>
      <c r="D180" s="1" t="str">
        <f t="shared" si="2"/>
        <v>Kano</v>
      </c>
    </row>
    <row r="181" spans="1:4" x14ac:dyDescent="0.25">
      <c r="A181" s="3" t="s">
        <v>551</v>
      </c>
      <c r="B181" s="3" t="s">
        <v>1825</v>
      </c>
      <c r="C181" s="3" t="s">
        <v>1693</v>
      </c>
      <c r="D181" s="1" t="str">
        <f t="shared" si="2"/>
        <v>Kano</v>
      </c>
    </row>
    <row r="182" spans="1:4" x14ac:dyDescent="0.25">
      <c r="A182" s="3" t="s">
        <v>661</v>
      </c>
      <c r="B182" s="3" t="s">
        <v>1826</v>
      </c>
      <c r="C182" s="3" t="s">
        <v>1857</v>
      </c>
      <c r="D182" s="1" t="str">
        <f t="shared" si="2"/>
        <v>Unknown</v>
      </c>
    </row>
    <row r="183" spans="1:4" x14ac:dyDescent="0.25">
      <c r="A183" s="3" t="s">
        <v>124</v>
      </c>
      <c r="B183" s="3" t="s">
        <v>1827</v>
      </c>
      <c r="C183" s="3" t="s">
        <v>1672</v>
      </c>
      <c r="D183" s="1" t="str">
        <f t="shared" si="2"/>
        <v>Kano</v>
      </c>
    </row>
    <row r="184" spans="1:4" x14ac:dyDescent="0.25">
      <c r="A184" s="3" t="s">
        <v>423</v>
      </c>
      <c r="B184" s="3" t="s">
        <v>1828</v>
      </c>
      <c r="C184" s="3" t="s">
        <v>1679</v>
      </c>
      <c r="D184" s="1" t="str">
        <f t="shared" si="2"/>
        <v>Port-Harcourt</v>
      </c>
    </row>
    <row r="185" spans="1:4" x14ac:dyDescent="0.25">
      <c r="A185" s="3" t="s">
        <v>454</v>
      </c>
      <c r="B185" s="3" t="s">
        <v>1683</v>
      </c>
      <c r="C185" s="3" t="s">
        <v>1659</v>
      </c>
      <c r="D185" s="1" t="str">
        <f t="shared" si="2"/>
        <v>Lagos</v>
      </c>
    </row>
    <row r="186" spans="1:4" x14ac:dyDescent="0.25">
      <c r="A186" s="3" t="s">
        <v>847</v>
      </c>
      <c r="B186" s="3" t="s">
        <v>1829</v>
      </c>
      <c r="C186" s="3" t="s">
        <v>1674</v>
      </c>
      <c r="D186" s="1" t="str">
        <f t="shared" si="2"/>
        <v>Abuja</v>
      </c>
    </row>
    <row r="187" spans="1:4" x14ac:dyDescent="0.25">
      <c r="A187" s="3" t="s">
        <v>243</v>
      </c>
      <c r="B187" s="3" t="s">
        <v>1830</v>
      </c>
      <c r="C187" s="3" t="s">
        <v>1672</v>
      </c>
      <c r="D187" s="1" t="str">
        <f t="shared" si="2"/>
        <v>Kano</v>
      </c>
    </row>
    <row r="188" spans="1:4" x14ac:dyDescent="0.25">
      <c r="A188" s="3" t="s">
        <v>54</v>
      </c>
      <c r="B188" s="3" t="s">
        <v>1831</v>
      </c>
      <c r="C188" s="3" t="s">
        <v>1670</v>
      </c>
      <c r="D188" s="1" t="str">
        <f t="shared" si="2"/>
        <v>Port Harcourt</v>
      </c>
    </row>
    <row r="189" spans="1:4" x14ac:dyDescent="0.25">
      <c r="A189" s="3" t="s">
        <v>203</v>
      </c>
      <c r="B189" s="3" t="s">
        <v>1832</v>
      </c>
      <c r="C189" s="3" t="s">
        <v>1679</v>
      </c>
      <c r="D189" s="1" t="str">
        <f t="shared" si="2"/>
        <v>Port-Harcourt</v>
      </c>
    </row>
    <row r="190" spans="1:4" x14ac:dyDescent="0.25">
      <c r="A190" s="3" t="s">
        <v>269</v>
      </c>
      <c r="B190" s="3" t="s">
        <v>1833</v>
      </c>
      <c r="C190" s="3" t="s">
        <v>1670</v>
      </c>
      <c r="D190" s="1" t="str">
        <f t="shared" si="2"/>
        <v>Port Harcourt</v>
      </c>
    </row>
    <row r="191" spans="1:4" x14ac:dyDescent="0.25">
      <c r="A191" s="3" t="s">
        <v>778</v>
      </c>
      <c r="B191" s="3" t="s">
        <v>1834</v>
      </c>
      <c r="C191" s="3" t="s">
        <v>1665</v>
      </c>
      <c r="D191" s="1" t="str">
        <f t="shared" si="2"/>
        <v>Lagos</v>
      </c>
    </row>
    <row r="192" spans="1:4" x14ac:dyDescent="0.25">
      <c r="A192" s="3" t="s">
        <v>1090</v>
      </c>
      <c r="B192" s="3" t="s">
        <v>1835</v>
      </c>
      <c r="C192" s="3" t="s">
        <v>1693</v>
      </c>
      <c r="D192" s="1" t="str">
        <f t="shared" si="2"/>
        <v>Kano</v>
      </c>
    </row>
    <row r="193" spans="1:4" x14ac:dyDescent="0.25">
      <c r="A193" s="3" t="s">
        <v>47</v>
      </c>
      <c r="B193" s="3" t="s">
        <v>1836</v>
      </c>
      <c r="C193" s="3" t="s">
        <v>1693</v>
      </c>
      <c r="D193" s="1" t="str">
        <f t="shared" si="2"/>
        <v>Kano</v>
      </c>
    </row>
    <row r="194" spans="1:4" x14ac:dyDescent="0.25">
      <c r="A194" s="3" t="s">
        <v>112</v>
      </c>
      <c r="B194" s="3" t="s">
        <v>1837</v>
      </c>
      <c r="C194" s="3" t="s">
        <v>1668</v>
      </c>
      <c r="D194" s="1" t="str">
        <f t="shared" si="2"/>
        <v>Kano</v>
      </c>
    </row>
    <row r="195" spans="1:4" x14ac:dyDescent="0.25">
      <c r="A195" s="3" t="s">
        <v>230</v>
      </c>
      <c r="B195" s="3" t="s">
        <v>1801</v>
      </c>
      <c r="C195" s="3" t="s">
        <v>1674</v>
      </c>
      <c r="D195" s="1" t="str">
        <f t="shared" ref="D195:D222" si="3">PROPER(TRIM(C195))</f>
        <v>Abuja</v>
      </c>
    </row>
    <row r="196" spans="1:4" x14ac:dyDescent="0.25">
      <c r="A196" s="3" t="s">
        <v>472</v>
      </c>
      <c r="B196" s="3" t="s">
        <v>1838</v>
      </c>
      <c r="C196" s="3" t="s">
        <v>1679</v>
      </c>
      <c r="D196" s="1" t="str">
        <f t="shared" si="3"/>
        <v>Port-Harcourt</v>
      </c>
    </row>
    <row r="197" spans="1:4" x14ac:dyDescent="0.25">
      <c r="A197" s="3" t="s">
        <v>376</v>
      </c>
      <c r="B197" s="3" t="s">
        <v>1839</v>
      </c>
      <c r="C197" s="3" t="s">
        <v>1696</v>
      </c>
      <c r="D197" s="1" t="str">
        <f t="shared" si="3"/>
        <v>Port Harcourt</v>
      </c>
    </row>
    <row r="198" spans="1:4" x14ac:dyDescent="0.25">
      <c r="A198" s="3" t="s">
        <v>100</v>
      </c>
      <c r="B198" s="3" t="s">
        <v>1808</v>
      </c>
      <c r="C198" s="3" t="s">
        <v>1679</v>
      </c>
      <c r="D198" s="1" t="str">
        <f t="shared" si="3"/>
        <v>Port-Harcourt</v>
      </c>
    </row>
    <row r="199" spans="1:4" x14ac:dyDescent="0.25">
      <c r="A199" s="3" t="s">
        <v>719</v>
      </c>
      <c r="B199" s="3" t="s">
        <v>1840</v>
      </c>
      <c r="C199" s="3" t="s">
        <v>1679</v>
      </c>
      <c r="D199" s="1" t="str">
        <f t="shared" si="3"/>
        <v>Port-Harcourt</v>
      </c>
    </row>
    <row r="200" spans="1:4" x14ac:dyDescent="0.25">
      <c r="A200" s="3" t="s">
        <v>70</v>
      </c>
      <c r="B200" s="3" t="s">
        <v>1799</v>
      </c>
      <c r="C200" s="3" t="s">
        <v>1665</v>
      </c>
      <c r="D200" s="1" t="str">
        <f t="shared" si="3"/>
        <v>Lagos</v>
      </c>
    </row>
    <row r="201" spans="1:4" x14ac:dyDescent="0.25">
      <c r="A201" s="3" t="s">
        <v>27</v>
      </c>
      <c r="B201" s="3" t="s">
        <v>1841</v>
      </c>
      <c r="C201" s="3" t="s">
        <v>1689</v>
      </c>
      <c r="D201" s="1" t="str">
        <f t="shared" si="3"/>
        <v>Abuja</v>
      </c>
    </row>
    <row r="202" spans="1:4" x14ac:dyDescent="0.25">
      <c r="A202" s="3" t="s">
        <v>526</v>
      </c>
      <c r="B202" s="3" t="s">
        <v>1842</v>
      </c>
      <c r="C202" s="3" t="s">
        <v>1679</v>
      </c>
      <c r="D202" s="1" t="str">
        <f t="shared" si="3"/>
        <v>Port-Harcourt</v>
      </c>
    </row>
    <row r="203" spans="1:4" x14ac:dyDescent="0.25">
      <c r="A203" s="3" t="s">
        <v>147</v>
      </c>
      <c r="B203" s="3" t="s">
        <v>1843</v>
      </c>
      <c r="C203" s="3" t="s">
        <v>1670</v>
      </c>
      <c r="D203" s="1" t="str">
        <f t="shared" si="3"/>
        <v>Port Harcourt</v>
      </c>
    </row>
    <row r="204" spans="1:4" x14ac:dyDescent="0.25">
      <c r="A204" s="3" t="s">
        <v>469</v>
      </c>
      <c r="B204" s="3" t="s">
        <v>1844</v>
      </c>
      <c r="C204" s="3" t="s">
        <v>1670</v>
      </c>
      <c r="D204" s="1" t="str">
        <f t="shared" si="3"/>
        <v>Port Harcourt</v>
      </c>
    </row>
    <row r="205" spans="1:4" x14ac:dyDescent="0.25">
      <c r="A205" s="3" t="s">
        <v>228</v>
      </c>
      <c r="B205" s="3" t="s">
        <v>1667</v>
      </c>
      <c r="C205" s="3" t="s">
        <v>1674</v>
      </c>
      <c r="D205" s="1" t="str">
        <f t="shared" si="3"/>
        <v>Abuja</v>
      </c>
    </row>
    <row r="206" spans="1:4" x14ac:dyDescent="0.25">
      <c r="A206" s="3" t="s">
        <v>861</v>
      </c>
      <c r="B206" s="3" t="s">
        <v>1739</v>
      </c>
      <c r="C206" s="3" t="s">
        <v>1670</v>
      </c>
      <c r="D206" s="1" t="str">
        <f t="shared" si="3"/>
        <v>Port Harcourt</v>
      </c>
    </row>
    <row r="207" spans="1:4" x14ac:dyDescent="0.25">
      <c r="A207" s="3" t="s">
        <v>398</v>
      </c>
      <c r="B207" s="3" t="s">
        <v>1692</v>
      </c>
      <c r="C207" s="3" t="s">
        <v>1681</v>
      </c>
      <c r="D207" s="1" t="str">
        <f t="shared" si="3"/>
        <v>Lagos</v>
      </c>
    </row>
    <row r="208" spans="1:4" x14ac:dyDescent="0.25">
      <c r="A208" s="3" t="s">
        <v>405</v>
      </c>
      <c r="B208" s="3" t="s">
        <v>1784</v>
      </c>
      <c r="C208" s="3" t="s">
        <v>1672</v>
      </c>
      <c r="D208" s="1" t="str">
        <f t="shared" si="3"/>
        <v>Kano</v>
      </c>
    </row>
    <row r="209" spans="1:4" x14ac:dyDescent="0.25">
      <c r="A209" s="3" t="s">
        <v>371</v>
      </c>
      <c r="B209" s="3" t="s">
        <v>1845</v>
      </c>
      <c r="C209" s="3" t="s">
        <v>1689</v>
      </c>
      <c r="D209" s="1" t="str">
        <f t="shared" si="3"/>
        <v>Abuja</v>
      </c>
    </row>
    <row r="210" spans="1:4" x14ac:dyDescent="0.25">
      <c r="A210" s="3" t="s">
        <v>868</v>
      </c>
      <c r="B210" s="3" t="s">
        <v>1846</v>
      </c>
      <c r="C210" s="3" t="s">
        <v>1681</v>
      </c>
      <c r="D210" s="1" t="str">
        <f t="shared" si="3"/>
        <v>Lagos</v>
      </c>
    </row>
    <row r="211" spans="1:4" x14ac:dyDescent="0.25">
      <c r="A211" s="3" t="s">
        <v>265</v>
      </c>
      <c r="B211" s="3" t="s">
        <v>1847</v>
      </c>
      <c r="C211" s="3" t="s">
        <v>1681</v>
      </c>
      <c r="D211" s="1" t="str">
        <f t="shared" si="3"/>
        <v>Lagos</v>
      </c>
    </row>
    <row r="212" spans="1:4" x14ac:dyDescent="0.25">
      <c r="A212" s="3" t="s">
        <v>108</v>
      </c>
      <c r="B212" s="3" t="s">
        <v>1848</v>
      </c>
      <c r="C212" s="3" t="s">
        <v>1670</v>
      </c>
      <c r="D212" s="1" t="str">
        <f t="shared" si="3"/>
        <v>Port Harcourt</v>
      </c>
    </row>
    <row r="213" spans="1:4" x14ac:dyDescent="0.25">
      <c r="A213" s="3" t="s">
        <v>618</v>
      </c>
      <c r="B213" s="3" t="s">
        <v>1849</v>
      </c>
      <c r="C213" s="3" t="s">
        <v>1693</v>
      </c>
      <c r="D213" s="1" t="str">
        <f t="shared" si="3"/>
        <v>Kano</v>
      </c>
    </row>
    <row r="214" spans="1:4" x14ac:dyDescent="0.25">
      <c r="A214" s="3" t="s">
        <v>165</v>
      </c>
      <c r="B214" s="3" t="s">
        <v>1818</v>
      </c>
      <c r="C214" s="3" t="s">
        <v>1661</v>
      </c>
      <c r="D214" s="1" t="str">
        <f t="shared" si="3"/>
        <v>Abuja</v>
      </c>
    </row>
    <row r="215" spans="1:4" x14ac:dyDescent="0.25">
      <c r="A215" s="3" t="s">
        <v>823</v>
      </c>
      <c r="B215" s="3" t="s">
        <v>1850</v>
      </c>
      <c r="C215" s="3" t="s">
        <v>1672</v>
      </c>
      <c r="D215" s="1" t="str">
        <f t="shared" si="3"/>
        <v>Kano</v>
      </c>
    </row>
    <row r="216" spans="1:4" x14ac:dyDescent="0.25">
      <c r="A216" s="3" t="s">
        <v>250</v>
      </c>
      <c r="B216" s="3" t="s">
        <v>1851</v>
      </c>
      <c r="C216" s="3" t="s">
        <v>1672</v>
      </c>
      <c r="D216" s="1" t="str">
        <f t="shared" si="3"/>
        <v>Kano</v>
      </c>
    </row>
    <row r="217" spans="1:4" x14ac:dyDescent="0.25">
      <c r="A217" s="3" t="s">
        <v>557</v>
      </c>
      <c r="B217" s="3" t="s">
        <v>1830</v>
      </c>
      <c r="C217" s="3" t="s">
        <v>1681</v>
      </c>
      <c r="D217" s="1" t="str">
        <f t="shared" si="3"/>
        <v>Lagos</v>
      </c>
    </row>
    <row r="218" spans="1:4" x14ac:dyDescent="0.25">
      <c r="A218" s="3" t="s">
        <v>400</v>
      </c>
      <c r="B218" s="3" t="s">
        <v>1852</v>
      </c>
      <c r="C218" s="3" t="s">
        <v>1674</v>
      </c>
      <c r="D218" s="1" t="str">
        <f t="shared" si="3"/>
        <v>Abuja</v>
      </c>
    </row>
    <row r="219" spans="1:4" x14ac:dyDescent="0.25">
      <c r="A219" s="3" t="s">
        <v>650</v>
      </c>
      <c r="B219" s="3" t="s">
        <v>1853</v>
      </c>
      <c r="C219" s="3" t="s">
        <v>1689</v>
      </c>
      <c r="D219" s="1" t="str">
        <f t="shared" si="3"/>
        <v>Abuja</v>
      </c>
    </row>
    <row r="220" spans="1:4" x14ac:dyDescent="0.25">
      <c r="A220" s="3" t="s">
        <v>284</v>
      </c>
      <c r="B220" s="3" t="s">
        <v>1854</v>
      </c>
      <c r="C220" s="3" t="s">
        <v>1665</v>
      </c>
      <c r="D220" s="1" t="str">
        <f t="shared" si="3"/>
        <v>Lagos</v>
      </c>
    </row>
    <row r="221" spans="1:4" x14ac:dyDescent="0.25">
      <c r="A221" s="3" t="s">
        <v>245</v>
      </c>
      <c r="B221" s="3" t="s">
        <v>1855</v>
      </c>
      <c r="C221" s="3" t="s">
        <v>1693</v>
      </c>
      <c r="D221" s="1" t="str">
        <f t="shared" si="3"/>
        <v>Kano</v>
      </c>
    </row>
    <row r="222" spans="1:4" x14ac:dyDescent="0.25">
      <c r="A222" s="4"/>
      <c r="B222" s="4"/>
      <c r="C222" s="4" t="s">
        <v>1857</v>
      </c>
      <c r="D222" s="1" t="str">
        <f t="shared" si="3"/>
        <v>Unknown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11"/>
  <sheetViews>
    <sheetView topLeftCell="A2" workbookViewId="0">
      <selection activeCell="D24" sqref="D23:D24"/>
    </sheetView>
  </sheetViews>
  <sheetFormatPr defaultRowHeight="15" x14ac:dyDescent="0.25"/>
  <cols>
    <col min="1" max="1" width="19.140625" customWidth="1"/>
    <col min="2" max="2" width="15.140625" bestFit="1" customWidth="1"/>
  </cols>
  <sheetData>
    <row r="6" spans="1:2" x14ac:dyDescent="0.25">
      <c r="A6" s="9" t="s">
        <v>1896</v>
      </c>
      <c r="B6" t="s">
        <v>1898</v>
      </c>
    </row>
    <row r="7" spans="1:2" x14ac:dyDescent="0.25">
      <c r="A7" s="10" t="s">
        <v>1866</v>
      </c>
      <c r="B7" s="11">
        <v>77063700</v>
      </c>
    </row>
    <row r="8" spans="1:2" x14ac:dyDescent="0.25">
      <c r="A8" s="10" t="s">
        <v>1891</v>
      </c>
      <c r="B8" s="11">
        <v>41511750</v>
      </c>
    </row>
    <row r="9" spans="1:2" x14ac:dyDescent="0.25">
      <c r="A9" s="10" t="s">
        <v>1874</v>
      </c>
      <c r="B9" s="11">
        <v>97387150</v>
      </c>
    </row>
    <row r="10" spans="1:2" x14ac:dyDescent="0.25">
      <c r="A10" s="10" t="s">
        <v>1885</v>
      </c>
      <c r="B10" s="11">
        <v>4671300</v>
      </c>
    </row>
    <row r="11" spans="1:2" x14ac:dyDescent="0.25">
      <c r="A11" s="10" t="s">
        <v>1897</v>
      </c>
      <c r="B11" s="11">
        <v>220633900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7:B12"/>
  <sheetViews>
    <sheetView workbookViewId="0">
      <selection activeCell="L8" sqref="L8"/>
    </sheetView>
  </sheetViews>
  <sheetFormatPr defaultRowHeight="15" x14ac:dyDescent="0.25"/>
  <cols>
    <col min="1" max="1" width="20.28515625" bestFit="1" customWidth="1"/>
    <col min="2" max="2" width="18.7109375" bestFit="1" customWidth="1"/>
  </cols>
  <sheetData>
    <row r="7" spans="1:2" x14ac:dyDescent="0.25">
      <c r="A7" s="9" t="s">
        <v>1896</v>
      </c>
      <c r="B7" t="s">
        <v>1899</v>
      </c>
    </row>
    <row r="8" spans="1:2" x14ac:dyDescent="0.25">
      <c r="A8" s="10" t="s">
        <v>1861</v>
      </c>
      <c r="B8" s="11">
        <v>173460.63197026023</v>
      </c>
    </row>
    <row r="9" spans="1:2" x14ac:dyDescent="0.25">
      <c r="A9" s="10" t="s">
        <v>1859</v>
      </c>
      <c r="B9" s="11">
        <v>156924.27257525083</v>
      </c>
    </row>
    <row r="10" spans="1:2" x14ac:dyDescent="0.25">
      <c r="A10" s="10" t="s">
        <v>1862</v>
      </c>
      <c r="B10" s="11">
        <v>154814.94791666666</v>
      </c>
    </row>
    <row r="11" spans="1:2" x14ac:dyDescent="0.25">
      <c r="A11" s="10" t="s">
        <v>1860</v>
      </c>
      <c r="B11" s="11">
        <v>144434.97134670487</v>
      </c>
    </row>
    <row r="12" spans="1:2" x14ac:dyDescent="0.25">
      <c r="A12" s="10" t="s">
        <v>1897</v>
      </c>
      <c r="B12" s="11">
        <v>156700.21306818182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14"/>
  <sheetViews>
    <sheetView tabSelected="1" workbookViewId="0">
      <selection activeCell="E17" sqref="E17"/>
    </sheetView>
  </sheetViews>
  <sheetFormatPr defaultRowHeight="15" x14ac:dyDescent="0.25"/>
  <cols>
    <col min="1" max="1" width="13.140625" bestFit="1" customWidth="1"/>
    <col min="2" max="2" width="15.140625" bestFit="1" customWidth="1"/>
  </cols>
  <sheetData>
    <row r="1" spans="1:2" x14ac:dyDescent="0.25">
      <c r="A1" s="9" t="s">
        <v>1896</v>
      </c>
      <c r="B1" t="s">
        <v>1898</v>
      </c>
    </row>
    <row r="2" spans="1:2" x14ac:dyDescent="0.25">
      <c r="A2" s="10" t="s">
        <v>1905</v>
      </c>
      <c r="B2" s="11">
        <v>13654760</v>
      </c>
    </row>
    <row r="3" spans="1:2" x14ac:dyDescent="0.25">
      <c r="A3" s="10" t="s">
        <v>1904</v>
      </c>
      <c r="B3" s="11">
        <v>18283590</v>
      </c>
    </row>
    <row r="4" spans="1:2" x14ac:dyDescent="0.25">
      <c r="A4" s="10" t="s">
        <v>1908</v>
      </c>
      <c r="B4" s="11">
        <v>17622095</v>
      </c>
    </row>
    <row r="5" spans="1:2" x14ac:dyDescent="0.25">
      <c r="A5" s="10" t="s">
        <v>1901</v>
      </c>
      <c r="B5" s="11">
        <v>21252425</v>
      </c>
    </row>
    <row r="6" spans="1:2" x14ac:dyDescent="0.25">
      <c r="A6" s="10" t="s">
        <v>1909</v>
      </c>
      <c r="B6" s="11">
        <v>15819920</v>
      </c>
    </row>
    <row r="7" spans="1:2" x14ac:dyDescent="0.25">
      <c r="A7" s="10" t="s">
        <v>1907</v>
      </c>
      <c r="B7" s="11">
        <v>13807625</v>
      </c>
    </row>
    <row r="8" spans="1:2" x14ac:dyDescent="0.25">
      <c r="A8" s="10" t="s">
        <v>1906</v>
      </c>
      <c r="B8" s="11">
        <v>12308670</v>
      </c>
    </row>
    <row r="9" spans="1:2" x14ac:dyDescent="0.25">
      <c r="A9" s="10" t="s">
        <v>1902</v>
      </c>
      <c r="B9" s="11">
        <v>16999595</v>
      </c>
    </row>
    <row r="10" spans="1:2" x14ac:dyDescent="0.25">
      <c r="A10" s="10" t="s">
        <v>1912</v>
      </c>
      <c r="B10" s="11">
        <v>15086885</v>
      </c>
    </row>
    <row r="11" spans="1:2" x14ac:dyDescent="0.25">
      <c r="A11" s="10" t="s">
        <v>1911</v>
      </c>
      <c r="B11" s="11">
        <v>20499015</v>
      </c>
    </row>
    <row r="12" spans="1:2" x14ac:dyDescent="0.25">
      <c r="A12" s="10" t="s">
        <v>1910</v>
      </c>
      <c r="B12" s="11">
        <v>25381815</v>
      </c>
    </row>
    <row r="13" spans="1:2" x14ac:dyDescent="0.25">
      <c r="A13" s="10" t="s">
        <v>1903</v>
      </c>
      <c r="B13" s="11">
        <v>29917505</v>
      </c>
    </row>
    <row r="14" spans="1:2" x14ac:dyDescent="0.25">
      <c r="A14" s="10" t="s">
        <v>1897</v>
      </c>
      <c r="B14" s="11">
        <v>220633900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L1409"/>
  <sheetViews>
    <sheetView zoomScaleNormal="100" workbookViewId="0">
      <selection activeCell="N9" sqref="N9"/>
    </sheetView>
  </sheetViews>
  <sheetFormatPr defaultRowHeight="15" x14ac:dyDescent="0.25"/>
  <cols>
    <col min="1" max="1" width="16.28515625" style="1" customWidth="1"/>
    <col min="2" max="2" width="10.7109375" style="7" bestFit="1" customWidth="1"/>
    <col min="3" max="3" width="12.28515625" style="1" customWidth="1"/>
    <col min="4" max="4" width="13" style="1" customWidth="1"/>
    <col min="5" max="5" width="14.28515625" style="1" customWidth="1"/>
    <col min="6" max="6" width="11" style="1" customWidth="1"/>
    <col min="7" max="7" width="14.7109375" style="1" customWidth="1"/>
    <col min="8" max="8" width="12.28515625" style="1" customWidth="1"/>
    <col min="9" max="9" width="20.28515625" style="1" bestFit="1" customWidth="1"/>
    <col min="10" max="10" width="10.42578125" style="1" customWidth="1"/>
    <col min="11" max="11" width="19.140625" style="1" bestFit="1" customWidth="1"/>
    <col min="12" max="12" width="9.28515625" style="1" customWidth="1"/>
    <col min="13" max="16384" width="9.140625" style="1"/>
  </cols>
  <sheetData>
    <row r="1" spans="1:12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1865</v>
      </c>
      <c r="I1" s="2" t="s">
        <v>1858</v>
      </c>
      <c r="J1" s="2" t="s">
        <v>1895</v>
      </c>
      <c r="K1" s="2" t="s">
        <v>1863</v>
      </c>
      <c r="L1" s="2" t="s">
        <v>1900</v>
      </c>
    </row>
    <row r="2" spans="1:12" x14ac:dyDescent="0.25">
      <c r="A2" s="3" t="s">
        <v>7</v>
      </c>
      <c r="B2" s="6">
        <v>45972</v>
      </c>
      <c r="C2" s="3" t="s">
        <v>8</v>
      </c>
      <c r="D2" s="3" t="s">
        <v>9</v>
      </c>
      <c r="E2" s="3" t="s">
        <v>10</v>
      </c>
      <c r="F2" s="3">
        <v>1</v>
      </c>
      <c r="G2" s="3">
        <v>25</v>
      </c>
      <c r="H2" s="1">
        <f>VLOOKUP(D2,products!A:D,4,FALSE)</f>
        <v>410000</v>
      </c>
      <c r="I2" s="1" t="str">
        <f>VLOOKUP(C2,branches!A:B,2,FALSE)</f>
        <v>Naija Mart GRA</v>
      </c>
      <c r="J2" s="1">
        <f>F2*H2*(1-G2/100)</f>
        <v>307500</v>
      </c>
      <c r="K2" s="1" t="str">
        <f>VLOOKUP(D2,products!A:D,2,FALSE)</f>
        <v>Home Appliances</v>
      </c>
      <c r="L2" s="1" t="str">
        <f>TEXT(B2,"mmm-yyyy")</f>
        <v>Nov-2025</v>
      </c>
    </row>
    <row r="3" spans="1:12" x14ac:dyDescent="0.25">
      <c r="A3" s="3" t="s">
        <v>11</v>
      </c>
      <c r="B3" s="6">
        <v>45692</v>
      </c>
      <c r="C3" s="3" t="s">
        <v>12</v>
      </c>
      <c r="D3" s="3" t="s">
        <v>13</v>
      </c>
      <c r="E3" s="3" t="s">
        <v>14</v>
      </c>
      <c r="F3" s="3">
        <v>1</v>
      </c>
      <c r="G3" s="3">
        <v>0</v>
      </c>
      <c r="H3" s="1">
        <f>VLOOKUP(D3,products!A:D,4,FALSE)</f>
        <v>24000</v>
      </c>
      <c r="I3" s="1" t="str">
        <f>VLOOKUP(C3,branches!A:B,2,FALSE)</f>
        <v>Naija Mart Wuse</v>
      </c>
      <c r="J3" s="1">
        <f t="shared" ref="J3:J66" si="0">F3*H3*(1-G3/100)</f>
        <v>24000</v>
      </c>
      <c r="K3" s="1" t="str">
        <f>VLOOKUP(D3,products!A:D,2,FALSE)</f>
        <v>Home Appliances</v>
      </c>
      <c r="L3" s="1" t="str">
        <f t="shared" ref="L3:L66" si="1">TEXT(B3,"mmm-yyyy")</f>
        <v>Feb-2025</v>
      </c>
    </row>
    <row r="4" spans="1:12" x14ac:dyDescent="0.25">
      <c r="A4" s="3" t="s">
        <v>15</v>
      </c>
      <c r="B4" s="6">
        <v>45983</v>
      </c>
      <c r="C4" s="3" t="s">
        <v>16</v>
      </c>
      <c r="D4" s="3" t="s">
        <v>17</v>
      </c>
      <c r="E4" s="3" t="s">
        <v>18</v>
      </c>
      <c r="F4" s="3">
        <v>2</v>
      </c>
      <c r="G4" s="3">
        <v>0</v>
      </c>
      <c r="H4" s="1">
        <f>VLOOKUP(D4,products!A:D,4,FALSE)</f>
        <v>22000</v>
      </c>
      <c r="I4" s="1" t="str">
        <f>VLOOKUP(C4,branches!A:B,2,FALSE)</f>
        <v>Naija Mart Ikeja</v>
      </c>
      <c r="J4" s="1">
        <f t="shared" si="0"/>
        <v>44000</v>
      </c>
      <c r="K4" s="1" t="str">
        <f>VLOOKUP(D4,products!A:D,2,FALSE)</f>
        <v>Home Appliances</v>
      </c>
      <c r="L4" s="1" t="str">
        <f t="shared" si="1"/>
        <v>Nov-2025</v>
      </c>
    </row>
    <row r="5" spans="1:12" x14ac:dyDescent="0.25">
      <c r="A5" s="3" t="s">
        <v>19</v>
      </c>
      <c r="B5" s="6">
        <v>45927</v>
      </c>
      <c r="C5" s="3" t="s">
        <v>12</v>
      </c>
      <c r="D5" s="3" t="s">
        <v>20</v>
      </c>
      <c r="E5" s="3" t="s">
        <v>21</v>
      </c>
      <c r="F5" s="3">
        <v>1</v>
      </c>
      <c r="G5" s="3">
        <v>0</v>
      </c>
      <c r="H5" s="1">
        <f>VLOOKUP(D5,products!A:D,4,FALSE)</f>
        <v>38000</v>
      </c>
      <c r="I5" s="1" t="str">
        <f>VLOOKUP(C5,branches!A:B,2,FALSE)</f>
        <v>Naija Mart Wuse</v>
      </c>
      <c r="J5" s="1">
        <f t="shared" si="0"/>
        <v>38000</v>
      </c>
      <c r="K5" s="1" t="str">
        <f>VLOOKUP(D5,products!A:D,2,FALSE)</f>
        <v>Electronics</v>
      </c>
      <c r="L5" s="1" t="str">
        <f t="shared" si="1"/>
        <v>Sep-2025</v>
      </c>
    </row>
    <row r="6" spans="1:12" x14ac:dyDescent="0.25">
      <c r="A6" s="3" t="s">
        <v>22</v>
      </c>
      <c r="B6" s="6">
        <v>45781</v>
      </c>
      <c r="C6" s="3" t="s">
        <v>16</v>
      </c>
      <c r="D6" s="3" t="s">
        <v>23</v>
      </c>
      <c r="E6" s="3" t="s">
        <v>24</v>
      </c>
      <c r="F6" s="3">
        <v>2</v>
      </c>
      <c r="G6" s="3">
        <v>0</v>
      </c>
      <c r="H6" s="1">
        <f>VLOOKUP(D6,products!A:D,4,FALSE)</f>
        <v>19500</v>
      </c>
      <c r="I6" s="1" t="str">
        <f>VLOOKUP(C6,branches!A:B,2,FALSE)</f>
        <v>Naija Mart Ikeja</v>
      </c>
      <c r="J6" s="1">
        <f t="shared" si="0"/>
        <v>39000</v>
      </c>
      <c r="K6" s="1" t="str">
        <f>VLOOKUP(D6,products!A:D,2,FALSE)</f>
        <v>Home Appliances</v>
      </c>
      <c r="L6" s="1" t="str">
        <f t="shared" si="1"/>
        <v>May-2025</v>
      </c>
    </row>
    <row r="7" spans="1:12" x14ac:dyDescent="0.25">
      <c r="A7" s="3" t="s">
        <v>25</v>
      </c>
      <c r="B7" s="6">
        <v>45693</v>
      </c>
      <c r="C7" s="3" t="s">
        <v>12</v>
      </c>
      <c r="D7" s="3" t="s">
        <v>26</v>
      </c>
      <c r="E7" s="3" t="s">
        <v>27</v>
      </c>
      <c r="F7" s="3">
        <v>1</v>
      </c>
      <c r="G7" s="3">
        <v>0</v>
      </c>
      <c r="H7" s="1">
        <f>VLOOKUP(D7,products!A:D,4,FALSE)</f>
        <v>145000</v>
      </c>
      <c r="I7" s="1" t="str">
        <f>VLOOKUP(C7,branches!A:B,2,FALSE)</f>
        <v>Naija Mart Wuse</v>
      </c>
      <c r="J7" s="1">
        <f t="shared" si="0"/>
        <v>145000</v>
      </c>
      <c r="K7" s="1" t="str">
        <f>VLOOKUP(D7,products!A:D,2,FALSE)</f>
        <v>Electronics</v>
      </c>
      <c r="L7" s="1" t="str">
        <f t="shared" si="1"/>
        <v>Feb-2025</v>
      </c>
    </row>
    <row r="8" spans="1:12" x14ac:dyDescent="0.25">
      <c r="A8" s="3" t="s">
        <v>28</v>
      </c>
      <c r="B8" s="6">
        <v>45802</v>
      </c>
      <c r="C8" s="3" t="s">
        <v>12</v>
      </c>
      <c r="D8" s="3" t="s">
        <v>26</v>
      </c>
      <c r="E8" s="3" t="s">
        <v>29</v>
      </c>
      <c r="F8" s="3">
        <v>2</v>
      </c>
      <c r="G8" s="3">
        <v>0</v>
      </c>
      <c r="H8" s="1">
        <f>VLOOKUP(D8,products!A:D,4,FALSE)</f>
        <v>145000</v>
      </c>
      <c r="I8" s="1" t="str">
        <f>VLOOKUP(C8,branches!A:B,2,FALSE)</f>
        <v>Naija Mart Wuse</v>
      </c>
      <c r="J8" s="1">
        <f t="shared" si="0"/>
        <v>290000</v>
      </c>
      <c r="K8" s="1" t="str">
        <f>VLOOKUP(D8,products!A:D,2,FALSE)</f>
        <v>Electronics</v>
      </c>
      <c r="L8" s="1" t="str">
        <f t="shared" si="1"/>
        <v>May-2025</v>
      </c>
    </row>
    <row r="9" spans="1:12" x14ac:dyDescent="0.25">
      <c r="A9" s="3" t="s">
        <v>30</v>
      </c>
      <c r="B9" s="6">
        <v>46004</v>
      </c>
      <c r="C9" s="3" t="s">
        <v>8</v>
      </c>
      <c r="D9" s="3" t="s">
        <v>26</v>
      </c>
      <c r="E9" s="3" t="s">
        <v>31</v>
      </c>
      <c r="F9" s="3">
        <v>2</v>
      </c>
      <c r="G9" s="3">
        <v>10</v>
      </c>
      <c r="H9" s="1">
        <f>VLOOKUP(D9,products!A:D,4,FALSE)</f>
        <v>145000</v>
      </c>
      <c r="I9" s="1" t="str">
        <f>VLOOKUP(C9,branches!A:B,2,FALSE)</f>
        <v>Naija Mart GRA</v>
      </c>
      <c r="J9" s="1">
        <f t="shared" si="0"/>
        <v>261000</v>
      </c>
      <c r="K9" s="1" t="str">
        <f>VLOOKUP(D9,products!A:D,2,FALSE)</f>
        <v>Electronics</v>
      </c>
      <c r="L9" s="1" t="str">
        <f t="shared" si="1"/>
        <v>Dec-2025</v>
      </c>
    </row>
    <row r="10" spans="1:12" x14ac:dyDescent="0.25">
      <c r="A10" s="3" t="s">
        <v>32</v>
      </c>
      <c r="B10" s="6">
        <v>45759</v>
      </c>
      <c r="C10" s="3" t="s">
        <v>8</v>
      </c>
      <c r="D10" s="3" t="s">
        <v>33</v>
      </c>
      <c r="E10" s="3" t="s">
        <v>34</v>
      </c>
      <c r="F10" s="3">
        <v>2</v>
      </c>
      <c r="G10" s="3">
        <v>0</v>
      </c>
      <c r="H10" s="1">
        <f>VLOOKUP(D10,products!A:D,4,FALSE)</f>
        <v>245000</v>
      </c>
      <c r="I10" s="1" t="str">
        <f>VLOOKUP(C10,branches!A:B,2,FALSE)</f>
        <v>Naija Mart GRA</v>
      </c>
      <c r="J10" s="1">
        <f t="shared" si="0"/>
        <v>490000</v>
      </c>
      <c r="K10" s="1" t="str">
        <f>VLOOKUP(D10,products!A:D,2,FALSE)</f>
        <v>Generators &amp; Power</v>
      </c>
      <c r="L10" s="1" t="str">
        <f t="shared" si="1"/>
        <v>Apr-2025</v>
      </c>
    </row>
    <row r="11" spans="1:12" x14ac:dyDescent="0.25">
      <c r="A11" s="3" t="s">
        <v>35</v>
      </c>
      <c r="B11" s="6">
        <v>45916</v>
      </c>
      <c r="C11" s="3" t="s">
        <v>36</v>
      </c>
      <c r="D11" s="3" t="s">
        <v>37</v>
      </c>
      <c r="E11" s="3" t="s">
        <v>38</v>
      </c>
      <c r="F11" s="3">
        <v>2</v>
      </c>
      <c r="G11" s="3">
        <v>10</v>
      </c>
      <c r="H11" s="1">
        <f>VLOOKUP(D11,products!A:D,4,FALSE)</f>
        <v>8500</v>
      </c>
      <c r="I11" s="1" t="str">
        <f>VLOOKUP(C11,branches!A:B,2,FALSE)</f>
        <v>Naija Mart Sabon Gari</v>
      </c>
      <c r="J11" s="1">
        <f t="shared" si="0"/>
        <v>15300</v>
      </c>
      <c r="K11" s="1" t="str">
        <f>VLOOKUP(D11,products!A:D,2,FALSE)</f>
        <v>Small Gadgets</v>
      </c>
      <c r="L11" s="1" t="str">
        <f t="shared" si="1"/>
        <v>Sep-2025</v>
      </c>
    </row>
    <row r="12" spans="1:12" x14ac:dyDescent="0.25">
      <c r="A12" s="3" t="s">
        <v>39</v>
      </c>
      <c r="B12" s="6">
        <v>45881</v>
      </c>
      <c r="C12" s="3" t="s">
        <v>12</v>
      </c>
      <c r="D12" s="3" t="s">
        <v>40</v>
      </c>
      <c r="E12" s="3" t="s">
        <v>41</v>
      </c>
      <c r="F12" s="3">
        <v>1</v>
      </c>
      <c r="G12" s="3">
        <v>25</v>
      </c>
      <c r="H12" s="1">
        <f>VLOOKUP(D12,products!A:D,4,FALSE)</f>
        <v>195000</v>
      </c>
      <c r="I12" s="1" t="str">
        <f>VLOOKUP(C12,branches!A:B,2,FALSE)</f>
        <v>Naija Mart Wuse</v>
      </c>
      <c r="J12" s="1">
        <f t="shared" si="0"/>
        <v>146250</v>
      </c>
      <c r="K12" s="1" t="str">
        <f>VLOOKUP(D12,products!A:D,2,FALSE)</f>
        <v>Generators &amp; Power</v>
      </c>
      <c r="L12" s="1" t="str">
        <f t="shared" si="1"/>
        <v>Aug-2025</v>
      </c>
    </row>
    <row r="13" spans="1:12" x14ac:dyDescent="0.25">
      <c r="A13" s="3" t="s">
        <v>42</v>
      </c>
      <c r="B13" s="6">
        <v>46002</v>
      </c>
      <c r="C13" s="3" t="s">
        <v>16</v>
      </c>
      <c r="D13" s="3" t="s">
        <v>43</v>
      </c>
      <c r="E13" s="3" t="s">
        <v>44</v>
      </c>
      <c r="F13" s="3">
        <v>1</v>
      </c>
      <c r="G13" s="3">
        <v>5</v>
      </c>
      <c r="H13" s="1">
        <f>VLOOKUP(D13,products!A:D,4,FALSE)</f>
        <v>74000</v>
      </c>
      <c r="I13" s="1" t="str">
        <f>VLOOKUP(C13,branches!A:B,2,FALSE)</f>
        <v>Naija Mart Ikeja</v>
      </c>
      <c r="J13" s="1">
        <f t="shared" si="0"/>
        <v>70300</v>
      </c>
      <c r="K13" s="1" t="str">
        <f>VLOOKUP(D13,products!A:D,2,FALSE)</f>
        <v>Home Appliances</v>
      </c>
      <c r="L13" s="1" t="str">
        <f t="shared" si="1"/>
        <v>Dec-2025</v>
      </c>
    </row>
    <row r="14" spans="1:12" x14ac:dyDescent="0.25">
      <c r="A14" s="3" t="s">
        <v>45</v>
      </c>
      <c r="B14" s="6">
        <v>46010</v>
      </c>
      <c r="C14" s="3" t="s">
        <v>16</v>
      </c>
      <c r="D14" s="3" t="s">
        <v>46</v>
      </c>
      <c r="E14" s="3" t="s">
        <v>47</v>
      </c>
      <c r="F14" s="3">
        <v>1</v>
      </c>
      <c r="G14" s="3">
        <v>30</v>
      </c>
      <c r="H14" s="1">
        <f>VLOOKUP(D14,products!A:D,4,FALSE)</f>
        <v>62000</v>
      </c>
      <c r="I14" s="1" t="str">
        <f>VLOOKUP(C14,branches!A:B,2,FALSE)</f>
        <v>Naija Mart Ikeja</v>
      </c>
      <c r="J14" s="1">
        <f t="shared" si="0"/>
        <v>43400</v>
      </c>
      <c r="K14" s="1" t="str">
        <f>VLOOKUP(D14,products!A:D,2,FALSE)</f>
        <v>Home Appliances</v>
      </c>
      <c r="L14" s="1" t="str">
        <f t="shared" si="1"/>
        <v>Dec-2025</v>
      </c>
    </row>
    <row r="15" spans="1:12" x14ac:dyDescent="0.25">
      <c r="A15" s="3" t="s">
        <v>48</v>
      </c>
      <c r="B15" s="6">
        <v>45724</v>
      </c>
      <c r="C15" s="3" t="s">
        <v>36</v>
      </c>
      <c r="D15" s="3" t="s">
        <v>49</v>
      </c>
      <c r="E15" s="3" t="s">
        <v>41</v>
      </c>
      <c r="F15" s="3">
        <v>1</v>
      </c>
      <c r="G15" s="3">
        <v>25</v>
      </c>
      <c r="H15" s="1">
        <f>VLOOKUP(D15,products!A:D,4,FALSE)</f>
        <v>28000</v>
      </c>
      <c r="I15" s="1" t="str">
        <f>VLOOKUP(C15,branches!A:B,2,FALSE)</f>
        <v>Naija Mart Sabon Gari</v>
      </c>
      <c r="J15" s="1">
        <f t="shared" si="0"/>
        <v>21000</v>
      </c>
      <c r="K15" s="1" t="str">
        <f>VLOOKUP(D15,products!A:D,2,FALSE)</f>
        <v>Home Appliances</v>
      </c>
      <c r="L15" s="1" t="str">
        <f t="shared" si="1"/>
        <v>Mar-2025</v>
      </c>
    </row>
    <row r="16" spans="1:12" x14ac:dyDescent="0.25">
      <c r="A16" s="3" t="s">
        <v>50</v>
      </c>
      <c r="B16" s="6">
        <v>45882</v>
      </c>
      <c r="C16" s="3" t="s">
        <v>12</v>
      </c>
      <c r="D16" s="3" t="s">
        <v>51</v>
      </c>
      <c r="E16" s="3" t="s">
        <v>52</v>
      </c>
      <c r="F16" s="3">
        <v>2</v>
      </c>
      <c r="G16" s="3">
        <v>5</v>
      </c>
      <c r="H16" s="1">
        <f>VLOOKUP(D16,products!A:D,4,FALSE)</f>
        <v>18000</v>
      </c>
      <c r="I16" s="1" t="str">
        <f>VLOOKUP(C16,branches!A:B,2,FALSE)</f>
        <v>Naija Mart Wuse</v>
      </c>
      <c r="J16" s="1">
        <f t="shared" si="0"/>
        <v>34200</v>
      </c>
      <c r="K16" s="1" t="str">
        <f>VLOOKUP(D16,products!A:D,2,FALSE)</f>
        <v>Small Gadgets</v>
      </c>
      <c r="L16" s="1" t="str">
        <f t="shared" si="1"/>
        <v>Aug-2025</v>
      </c>
    </row>
    <row r="17" spans="1:12" x14ac:dyDescent="0.25">
      <c r="A17" s="3" t="s">
        <v>53</v>
      </c>
      <c r="B17" s="6">
        <v>45705</v>
      </c>
      <c r="C17" s="3" t="s">
        <v>16</v>
      </c>
      <c r="D17" s="3" t="s">
        <v>51</v>
      </c>
      <c r="E17" s="3" t="s">
        <v>54</v>
      </c>
      <c r="F17" s="3">
        <v>2</v>
      </c>
      <c r="G17" s="3">
        <v>0</v>
      </c>
      <c r="H17" s="1">
        <f>VLOOKUP(D17,products!A:D,4,FALSE)</f>
        <v>18000</v>
      </c>
      <c r="I17" s="1" t="str">
        <f>VLOOKUP(C17,branches!A:B,2,FALSE)</f>
        <v>Naija Mart Ikeja</v>
      </c>
      <c r="J17" s="1">
        <f t="shared" si="0"/>
        <v>36000</v>
      </c>
      <c r="K17" s="1" t="str">
        <f>VLOOKUP(D17,products!A:D,2,FALSE)</f>
        <v>Small Gadgets</v>
      </c>
      <c r="L17" s="1" t="str">
        <f t="shared" si="1"/>
        <v>Feb-2025</v>
      </c>
    </row>
    <row r="18" spans="1:12" x14ac:dyDescent="0.25">
      <c r="A18" s="3" t="s">
        <v>55</v>
      </c>
      <c r="B18" s="6">
        <v>45956</v>
      </c>
      <c r="C18" s="3" t="s">
        <v>8</v>
      </c>
      <c r="D18" s="3" t="s">
        <v>56</v>
      </c>
      <c r="E18" s="3" t="s">
        <v>57</v>
      </c>
      <c r="F18" s="3">
        <v>1</v>
      </c>
      <c r="G18" s="3">
        <v>0</v>
      </c>
      <c r="H18" s="1">
        <f>VLOOKUP(D18,products!A:D,4,FALSE)</f>
        <v>285000</v>
      </c>
      <c r="I18" s="1" t="str">
        <f>VLOOKUP(C18,branches!A:B,2,FALSE)</f>
        <v>Naija Mart GRA</v>
      </c>
      <c r="J18" s="1">
        <f t="shared" si="0"/>
        <v>285000</v>
      </c>
      <c r="K18" s="1" t="str">
        <f>VLOOKUP(D18,products!A:D,2,FALSE)</f>
        <v>Home Appliances</v>
      </c>
      <c r="L18" s="1" t="str">
        <f t="shared" si="1"/>
        <v>Oct-2025</v>
      </c>
    </row>
    <row r="19" spans="1:12" x14ac:dyDescent="0.25">
      <c r="A19" s="3" t="s">
        <v>58</v>
      </c>
      <c r="B19" s="6">
        <v>45996</v>
      </c>
      <c r="C19" s="3" t="s">
        <v>16</v>
      </c>
      <c r="D19" s="3" t="s">
        <v>59</v>
      </c>
      <c r="E19" s="3" t="s">
        <v>60</v>
      </c>
      <c r="F19" s="3">
        <v>1</v>
      </c>
      <c r="G19" s="3">
        <v>10</v>
      </c>
      <c r="H19" s="1">
        <f>VLOOKUP(D19,products!A:D,4,FALSE)</f>
        <v>15000</v>
      </c>
      <c r="I19" s="1" t="str">
        <f>VLOOKUP(C19,branches!A:B,2,FALSE)</f>
        <v>Naija Mart Ikeja</v>
      </c>
      <c r="J19" s="1">
        <f t="shared" si="0"/>
        <v>13500</v>
      </c>
      <c r="K19" s="1" t="str">
        <f>VLOOKUP(D19,products!A:D,2,FALSE)</f>
        <v>Home Appliances</v>
      </c>
      <c r="L19" s="1" t="str">
        <f t="shared" si="1"/>
        <v>Dec-2025</v>
      </c>
    </row>
    <row r="20" spans="1:12" x14ac:dyDescent="0.25">
      <c r="A20" s="3" t="s">
        <v>61</v>
      </c>
      <c r="B20" s="6">
        <v>45957</v>
      </c>
      <c r="C20" s="3" t="s">
        <v>12</v>
      </c>
      <c r="D20" s="3" t="s">
        <v>46</v>
      </c>
      <c r="E20" s="3" t="s">
        <v>62</v>
      </c>
      <c r="F20" s="3">
        <v>2</v>
      </c>
      <c r="G20" s="3">
        <v>0</v>
      </c>
      <c r="H20" s="1">
        <f>VLOOKUP(D20,products!A:D,4,FALSE)</f>
        <v>62000</v>
      </c>
      <c r="I20" s="1" t="str">
        <f>VLOOKUP(C20,branches!A:B,2,FALSE)</f>
        <v>Naija Mart Wuse</v>
      </c>
      <c r="J20" s="1">
        <f t="shared" si="0"/>
        <v>124000</v>
      </c>
      <c r="K20" s="1" t="str">
        <f>VLOOKUP(D20,products!A:D,2,FALSE)</f>
        <v>Home Appliances</v>
      </c>
      <c r="L20" s="1" t="str">
        <f t="shared" si="1"/>
        <v>Oct-2025</v>
      </c>
    </row>
    <row r="21" spans="1:12" x14ac:dyDescent="0.25">
      <c r="A21" s="3" t="s">
        <v>63</v>
      </c>
      <c r="B21" s="6">
        <v>46003</v>
      </c>
      <c r="C21" s="3" t="s">
        <v>16</v>
      </c>
      <c r="D21" s="3" t="s">
        <v>64</v>
      </c>
      <c r="E21" s="3" t="s">
        <v>65</v>
      </c>
      <c r="F21" s="3">
        <v>1</v>
      </c>
      <c r="G21" s="3">
        <v>25</v>
      </c>
      <c r="H21" s="1">
        <f>VLOOKUP(D21,products!A:D,4,FALSE)</f>
        <v>175000</v>
      </c>
      <c r="I21" s="1" t="str">
        <f>VLOOKUP(C21,branches!A:B,2,FALSE)</f>
        <v>Naija Mart Ikeja</v>
      </c>
      <c r="J21" s="1">
        <f t="shared" si="0"/>
        <v>131250</v>
      </c>
      <c r="K21" s="1" t="str">
        <f>VLOOKUP(D21,products!A:D,2,FALSE)</f>
        <v>Generators &amp; Power</v>
      </c>
      <c r="L21" s="1" t="str">
        <f t="shared" si="1"/>
        <v>Dec-2025</v>
      </c>
    </row>
    <row r="22" spans="1:12" x14ac:dyDescent="0.25">
      <c r="A22" s="3" t="s">
        <v>66</v>
      </c>
      <c r="B22" s="6">
        <v>45954</v>
      </c>
      <c r="C22" s="3" t="s">
        <v>36</v>
      </c>
      <c r="D22" s="3" t="s">
        <v>59</v>
      </c>
      <c r="E22" s="3" t="s">
        <v>67</v>
      </c>
      <c r="F22" s="3">
        <v>1</v>
      </c>
      <c r="G22" s="3">
        <v>0</v>
      </c>
      <c r="H22" s="1">
        <f>VLOOKUP(D22,products!A:D,4,FALSE)</f>
        <v>15000</v>
      </c>
      <c r="I22" s="1" t="str">
        <f>VLOOKUP(C22,branches!A:B,2,FALSE)</f>
        <v>Naija Mart Sabon Gari</v>
      </c>
      <c r="J22" s="1">
        <f t="shared" si="0"/>
        <v>15000</v>
      </c>
      <c r="K22" s="1" t="str">
        <f>VLOOKUP(D22,products!A:D,2,FALSE)</f>
        <v>Home Appliances</v>
      </c>
      <c r="L22" s="1" t="str">
        <f t="shared" si="1"/>
        <v>Oct-2025</v>
      </c>
    </row>
    <row r="23" spans="1:12" x14ac:dyDescent="0.25">
      <c r="A23" s="3" t="s">
        <v>68</v>
      </c>
      <c r="B23" s="6">
        <v>46010</v>
      </c>
      <c r="C23" s="3" t="s">
        <v>8</v>
      </c>
      <c r="D23" s="3" t="s">
        <v>69</v>
      </c>
      <c r="E23" s="3" t="s">
        <v>70</v>
      </c>
      <c r="F23" s="3">
        <v>1</v>
      </c>
      <c r="G23" s="3">
        <v>5</v>
      </c>
      <c r="H23" s="1">
        <f>VLOOKUP(D23,products!A:D,4,FALSE)</f>
        <v>45000</v>
      </c>
      <c r="I23" s="1" t="str">
        <f>VLOOKUP(C23,branches!A:B,2,FALSE)</f>
        <v>Naija Mart GRA</v>
      </c>
      <c r="J23" s="1">
        <f t="shared" si="0"/>
        <v>42750</v>
      </c>
      <c r="K23" s="1" t="str">
        <f>VLOOKUP(D23,products!A:D,2,FALSE)</f>
        <v>Electronics</v>
      </c>
      <c r="L23" s="1" t="str">
        <f t="shared" si="1"/>
        <v>Dec-2025</v>
      </c>
    </row>
    <row r="24" spans="1:12" x14ac:dyDescent="0.25">
      <c r="A24" s="3" t="s">
        <v>71</v>
      </c>
      <c r="B24" s="6">
        <v>46015</v>
      </c>
      <c r="C24" s="3" t="s">
        <v>36</v>
      </c>
      <c r="D24" s="3" t="s">
        <v>40</v>
      </c>
      <c r="E24" s="3" t="s">
        <v>72</v>
      </c>
      <c r="F24" s="3">
        <v>1</v>
      </c>
      <c r="G24" s="3">
        <v>10</v>
      </c>
      <c r="H24" s="1">
        <f>VLOOKUP(D24,products!A:D,4,FALSE)</f>
        <v>195000</v>
      </c>
      <c r="I24" s="1" t="str">
        <f>VLOOKUP(C24,branches!A:B,2,FALSE)</f>
        <v>Naija Mart Sabon Gari</v>
      </c>
      <c r="J24" s="1">
        <f t="shared" si="0"/>
        <v>175500</v>
      </c>
      <c r="K24" s="1" t="str">
        <f>VLOOKUP(D24,products!A:D,2,FALSE)</f>
        <v>Generators &amp; Power</v>
      </c>
      <c r="L24" s="1" t="str">
        <f t="shared" si="1"/>
        <v>Dec-2025</v>
      </c>
    </row>
    <row r="25" spans="1:12" x14ac:dyDescent="0.25">
      <c r="A25" s="3" t="s">
        <v>73</v>
      </c>
      <c r="B25" s="6">
        <v>45826</v>
      </c>
      <c r="C25" s="3" t="s">
        <v>16</v>
      </c>
      <c r="D25" s="3" t="s">
        <v>26</v>
      </c>
      <c r="E25" s="3" t="s">
        <v>74</v>
      </c>
      <c r="F25" s="3">
        <v>1</v>
      </c>
      <c r="G25" s="3">
        <v>0</v>
      </c>
      <c r="H25" s="1">
        <f>VLOOKUP(D25,products!A:D,4,FALSE)</f>
        <v>145000</v>
      </c>
      <c r="I25" s="1" t="str">
        <f>VLOOKUP(C25,branches!A:B,2,FALSE)</f>
        <v>Naija Mart Ikeja</v>
      </c>
      <c r="J25" s="1">
        <f t="shared" si="0"/>
        <v>145000</v>
      </c>
      <c r="K25" s="1" t="str">
        <f>VLOOKUP(D25,products!A:D,2,FALSE)</f>
        <v>Electronics</v>
      </c>
      <c r="L25" s="1" t="str">
        <f t="shared" si="1"/>
        <v>Jun-2025</v>
      </c>
    </row>
    <row r="26" spans="1:12" x14ac:dyDescent="0.25">
      <c r="A26" s="3" t="s">
        <v>75</v>
      </c>
      <c r="B26" s="6">
        <v>45699</v>
      </c>
      <c r="C26" s="3" t="s">
        <v>16</v>
      </c>
      <c r="D26" s="3" t="s">
        <v>59</v>
      </c>
      <c r="E26" s="3" t="s">
        <v>76</v>
      </c>
      <c r="F26" s="3">
        <v>2</v>
      </c>
      <c r="G26" s="3">
        <v>10</v>
      </c>
      <c r="H26" s="1">
        <f>VLOOKUP(D26,products!A:D,4,FALSE)</f>
        <v>15000</v>
      </c>
      <c r="I26" s="1" t="str">
        <f>VLOOKUP(C26,branches!A:B,2,FALSE)</f>
        <v>Naija Mart Ikeja</v>
      </c>
      <c r="J26" s="1">
        <f t="shared" si="0"/>
        <v>27000</v>
      </c>
      <c r="K26" s="1" t="str">
        <f>VLOOKUP(D26,products!A:D,2,FALSE)</f>
        <v>Home Appliances</v>
      </c>
      <c r="L26" s="1" t="str">
        <f t="shared" si="1"/>
        <v>Feb-2025</v>
      </c>
    </row>
    <row r="27" spans="1:12" x14ac:dyDescent="0.25">
      <c r="A27" s="3" t="s">
        <v>77</v>
      </c>
      <c r="B27" s="6">
        <v>45852</v>
      </c>
      <c r="C27" s="3" t="s">
        <v>8</v>
      </c>
      <c r="D27" s="3" t="s">
        <v>64</v>
      </c>
      <c r="E27" s="3" t="s">
        <v>78</v>
      </c>
      <c r="F27" s="3">
        <v>1</v>
      </c>
      <c r="G27" s="3">
        <v>5</v>
      </c>
      <c r="H27" s="1">
        <f>VLOOKUP(D27,products!A:D,4,FALSE)</f>
        <v>175000</v>
      </c>
      <c r="I27" s="1" t="str">
        <f>VLOOKUP(C27,branches!A:B,2,FALSE)</f>
        <v>Naija Mart GRA</v>
      </c>
      <c r="J27" s="1">
        <f t="shared" si="0"/>
        <v>166250</v>
      </c>
      <c r="K27" s="1" t="str">
        <f>VLOOKUP(D27,products!A:D,2,FALSE)</f>
        <v>Generators &amp; Power</v>
      </c>
      <c r="L27" s="1" t="str">
        <f t="shared" si="1"/>
        <v>Jul-2025</v>
      </c>
    </row>
    <row r="28" spans="1:12" x14ac:dyDescent="0.25">
      <c r="A28" s="3" t="s">
        <v>79</v>
      </c>
      <c r="B28" s="6">
        <v>45985</v>
      </c>
      <c r="C28" s="3" t="s">
        <v>16</v>
      </c>
      <c r="D28" s="3" t="s">
        <v>80</v>
      </c>
      <c r="E28" s="3" t="s">
        <v>81</v>
      </c>
      <c r="F28" s="3">
        <v>1</v>
      </c>
      <c r="G28" s="3">
        <v>15</v>
      </c>
      <c r="H28" s="1">
        <f>VLOOKUP(D28,products!A:D,4,FALSE)</f>
        <v>265000</v>
      </c>
      <c r="I28" s="1" t="str">
        <f>VLOOKUP(C28,branches!A:B,2,FALSE)</f>
        <v>Naija Mart Ikeja</v>
      </c>
      <c r="J28" s="1">
        <f t="shared" si="0"/>
        <v>225250</v>
      </c>
      <c r="K28" s="1" t="str">
        <f>VLOOKUP(D28,products!A:D,2,FALSE)</f>
        <v>Home Appliances</v>
      </c>
      <c r="L28" s="1" t="str">
        <f t="shared" si="1"/>
        <v>Nov-2025</v>
      </c>
    </row>
    <row r="29" spans="1:12" x14ac:dyDescent="0.25">
      <c r="A29" s="3" t="s">
        <v>82</v>
      </c>
      <c r="B29" s="6">
        <v>45889</v>
      </c>
      <c r="C29" s="3" t="s">
        <v>8</v>
      </c>
      <c r="D29" s="3" t="s">
        <v>46</v>
      </c>
      <c r="E29" s="3" t="s">
        <v>83</v>
      </c>
      <c r="F29" s="3">
        <v>2</v>
      </c>
      <c r="G29" s="3">
        <v>0</v>
      </c>
      <c r="H29" s="1">
        <f>VLOOKUP(D29,products!A:D,4,FALSE)</f>
        <v>62000</v>
      </c>
      <c r="I29" s="1" t="str">
        <f>VLOOKUP(C29,branches!A:B,2,FALSE)</f>
        <v>Naija Mart GRA</v>
      </c>
      <c r="J29" s="1">
        <f t="shared" si="0"/>
        <v>124000</v>
      </c>
      <c r="K29" s="1" t="str">
        <f>VLOOKUP(D29,products!A:D,2,FALSE)</f>
        <v>Home Appliances</v>
      </c>
      <c r="L29" s="1" t="str">
        <f t="shared" si="1"/>
        <v>Aug-2025</v>
      </c>
    </row>
    <row r="30" spans="1:12" x14ac:dyDescent="0.25">
      <c r="A30" s="3" t="s">
        <v>84</v>
      </c>
      <c r="B30" s="6">
        <v>46016</v>
      </c>
      <c r="C30" s="3" t="s">
        <v>16</v>
      </c>
      <c r="D30" s="3" t="s">
        <v>64</v>
      </c>
      <c r="E30" s="3" t="s">
        <v>85</v>
      </c>
      <c r="F30" s="3">
        <v>1</v>
      </c>
      <c r="G30" s="3">
        <v>0</v>
      </c>
      <c r="H30" s="1">
        <f>VLOOKUP(D30,products!A:D,4,FALSE)</f>
        <v>175000</v>
      </c>
      <c r="I30" s="1" t="str">
        <f>VLOOKUP(C30,branches!A:B,2,FALSE)</f>
        <v>Naija Mart Ikeja</v>
      </c>
      <c r="J30" s="1">
        <f t="shared" si="0"/>
        <v>175000</v>
      </c>
      <c r="K30" s="1" t="str">
        <f>VLOOKUP(D30,products!A:D,2,FALSE)</f>
        <v>Generators &amp; Power</v>
      </c>
      <c r="L30" s="1" t="str">
        <f t="shared" si="1"/>
        <v>Dec-2025</v>
      </c>
    </row>
    <row r="31" spans="1:12" x14ac:dyDescent="0.25">
      <c r="A31" s="3" t="s">
        <v>86</v>
      </c>
      <c r="B31" s="6">
        <v>46018</v>
      </c>
      <c r="C31" s="3" t="s">
        <v>16</v>
      </c>
      <c r="D31" s="3" t="s">
        <v>26</v>
      </c>
      <c r="E31" s="3" t="s">
        <v>87</v>
      </c>
      <c r="F31" s="3">
        <v>1</v>
      </c>
      <c r="G31" s="3">
        <v>0</v>
      </c>
      <c r="H31" s="1">
        <f>VLOOKUP(D31,products!A:D,4,FALSE)</f>
        <v>145000</v>
      </c>
      <c r="I31" s="1" t="str">
        <f>VLOOKUP(C31,branches!A:B,2,FALSE)</f>
        <v>Naija Mart Ikeja</v>
      </c>
      <c r="J31" s="1">
        <f t="shared" si="0"/>
        <v>145000</v>
      </c>
      <c r="K31" s="1" t="str">
        <f>VLOOKUP(D31,products!A:D,2,FALSE)</f>
        <v>Electronics</v>
      </c>
      <c r="L31" s="1" t="str">
        <f t="shared" si="1"/>
        <v>Dec-2025</v>
      </c>
    </row>
    <row r="32" spans="1:12" x14ac:dyDescent="0.25">
      <c r="A32" s="3" t="s">
        <v>88</v>
      </c>
      <c r="B32" s="6">
        <v>45669</v>
      </c>
      <c r="C32" s="3" t="s">
        <v>16</v>
      </c>
      <c r="D32" s="3" t="s">
        <v>17</v>
      </c>
      <c r="E32" s="3" t="s">
        <v>89</v>
      </c>
      <c r="F32" s="3">
        <v>1</v>
      </c>
      <c r="G32" s="3">
        <v>10</v>
      </c>
      <c r="H32" s="1">
        <f>VLOOKUP(D32,products!A:D,4,FALSE)</f>
        <v>22000</v>
      </c>
      <c r="I32" s="1" t="str">
        <f>VLOOKUP(C32,branches!A:B,2,FALSE)</f>
        <v>Naija Mart Ikeja</v>
      </c>
      <c r="J32" s="1">
        <f t="shared" si="0"/>
        <v>19800</v>
      </c>
      <c r="K32" s="1" t="str">
        <f>VLOOKUP(D32,products!A:D,2,FALSE)</f>
        <v>Home Appliances</v>
      </c>
      <c r="L32" s="1" t="str">
        <f t="shared" si="1"/>
        <v>Jan-2025</v>
      </c>
    </row>
    <row r="33" spans="1:12" x14ac:dyDescent="0.25">
      <c r="A33" s="3" t="s">
        <v>90</v>
      </c>
      <c r="B33" s="6">
        <v>45780</v>
      </c>
      <c r="C33" s="3" t="s">
        <v>16</v>
      </c>
      <c r="D33" s="3" t="s">
        <v>91</v>
      </c>
      <c r="E33" s="3" t="s">
        <v>92</v>
      </c>
      <c r="F33" s="3">
        <v>1</v>
      </c>
      <c r="G33" s="3">
        <v>0</v>
      </c>
      <c r="H33" s="1">
        <f>VLOOKUP(D33,products!A:D,4,FALSE)</f>
        <v>5200</v>
      </c>
      <c r="I33" s="1" t="str">
        <f>VLOOKUP(C33,branches!A:B,2,FALSE)</f>
        <v>Naija Mart Ikeja</v>
      </c>
      <c r="J33" s="1">
        <f t="shared" si="0"/>
        <v>5200</v>
      </c>
      <c r="K33" s="1" t="str">
        <f>VLOOKUP(D33,products!A:D,2,FALSE)</f>
        <v>Small Gadgets</v>
      </c>
      <c r="L33" s="1" t="str">
        <f t="shared" si="1"/>
        <v>May-2025</v>
      </c>
    </row>
    <row r="34" spans="1:12" x14ac:dyDescent="0.25">
      <c r="A34" s="3" t="s">
        <v>93</v>
      </c>
      <c r="B34" s="6">
        <v>45829</v>
      </c>
      <c r="C34" s="3" t="s">
        <v>12</v>
      </c>
      <c r="D34" s="3" t="s">
        <v>94</v>
      </c>
      <c r="E34" s="3" t="s">
        <v>95</v>
      </c>
      <c r="F34" s="3">
        <v>1</v>
      </c>
      <c r="G34" s="3">
        <v>5</v>
      </c>
      <c r="H34" s="1">
        <f>VLOOKUP(D34,products!A:D,4,FALSE)</f>
        <v>320000</v>
      </c>
      <c r="I34" s="1" t="str">
        <f>VLOOKUP(C34,branches!A:B,2,FALSE)</f>
        <v>Naija Mart Wuse</v>
      </c>
      <c r="J34" s="1">
        <f t="shared" si="0"/>
        <v>304000</v>
      </c>
      <c r="K34" s="1" t="str">
        <f>VLOOKUP(D34,products!A:D,2,FALSE)</f>
        <v>Electronics</v>
      </c>
      <c r="L34" s="1" t="str">
        <f t="shared" si="1"/>
        <v>Jun-2025</v>
      </c>
    </row>
    <row r="35" spans="1:12" x14ac:dyDescent="0.25">
      <c r="A35" s="3" t="s">
        <v>96</v>
      </c>
      <c r="B35" s="6">
        <v>45967</v>
      </c>
      <c r="C35" s="3" t="s">
        <v>16</v>
      </c>
      <c r="D35" s="3" t="s">
        <v>97</v>
      </c>
      <c r="E35" s="3" t="s">
        <v>98</v>
      </c>
      <c r="F35" s="3">
        <v>1</v>
      </c>
      <c r="G35" s="3">
        <v>25</v>
      </c>
      <c r="H35" s="1">
        <f>VLOOKUP(D35,products!A:D,4,FALSE)</f>
        <v>21000</v>
      </c>
      <c r="I35" s="1" t="str">
        <f>VLOOKUP(C35,branches!A:B,2,FALSE)</f>
        <v>Naija Mart Ikeja</v>
      </c>
      <c r="J35" s="1">
        <f t="shared" si="0"/>
        <v>15750</v>
      </c>
      <c r="K35" s="1" t="str">
        <f>VLOOKUP(D35,products!A:D,2,FALSE)</f>
        <v>Small Gadgets</v>
      </c>
      <c r="L35" s="1" t="str">
        <f t="shared" si="1"/>
        <v>Nov-2025</v>
      </c>
    </row>
    <row r="36" spans="1:12" x14ac:dyDescent="0.25">
      <c r="A36" s="3" t="s">
        <v>99</v>
      </c>
      <c r="B36" s="6">
        <v>45822</v>
      </c>
      <c r="C36" s="3" t="s">
        <v>12</v>
      </c>
      <c r="D36" s="3" t="s">
        <v>64</v>
      </c>
      <c r="E36" s="3" t="s">
        <v>100</v>
      </c>
      <c r="F36" s="3">
        <v>1</v>
      </c>
      <c r="G36" s="3">
        <v>0</v>
      </c>
      <c r="H36" s="1">
        <f>VLOOKUP(D36,products!A:D,4,FALSE)</f>
        <v>175000</v>
      </c>
      <c r="I36" s="1" t="str">
        <f>VLOOKUP(C36,branches!A:B,2,FALSE)</f>
        <v>Naija Mart Wuse</v>
      </c>
      <c r="J36" s="1">
        <f t="shared" si="0"/>
        <v>175000</v>
      </c>
      <c r="K36" s="1" t="str">
        <f>VLOOKUP(D36,products!A:D,2,FALSE)</f>
        <v>Generators &amp; Power</v>
      </c>
      <c r="L36" s="1" t="str">
        <f t="shared" si="1"/>
        <v>Jun-2025</v>
      </c>
    </row>
    <row r="37" spans="1:12" x14ac:dyDescent="0.25">
      <c r="A37" s="3" t="s">
        <v>101</v>
      </c>
      <c r="B37" s="6">
        <v>45921</v>
      </c>
      <c r="C37" s="3" t="s">
        <v>12</v>
      </c>
      <c r="D37" s="3" t="s">
        <v>59</v>
      </c>
      <c r="E37" s="3" t="s">
        <v>102</v>
      </c>
      <c r="F37" s="3">
        <v>1</v>
      </c>
      <c r="G37" s="3">
        <v>0</v>
      </c>
      <c r="H37" s="1">
        <f>VLOOKUP(D37,products!A:D,4,FALSE)</f>
        <v>15000</v>
      </c>
      <c r="I37" s="1" t="str">
        <f>VLOOKUP(C37,branches!A:B,2,FALSE)</f>
        <v>Naija Mart Wuse</v>
      </c>
      <c r="J37" s="1">
        <f t="shared" si="0"/>
        <v>15000</v>
      </c>
      <c r="K37" s="1" t="str">
        <f>VLOOKUP(D37,products!A:D,2,FALSE)</f>
        <v>Home Appliances</v>
      </c>
      <c r="L37" s="1" t="str">
        <f t="shared" si="1"/>
        <v>Sep-2025</v>
      </c>
    </row>
    <row r="38" spans="1:12" x14ac:dyDescent="0.25">
      <c r="A38" s="3" t="s">
        <v>103</v>
      </c>
      <c r="B38" s="6">
        <v>45945</v>
      </c>
      <c r="C38" s="3" t="s">
        <v>16</v>
      </c>
      <c r="D38" s="3" t="s">
        <v>26</v>
      </c>
      <c r="E38" s="3" t="s">
        <v>104</v>
      </c>
      <c r="F38" s="3">
        <v>1</v>
      </c>
      <c r="G38" s="3">
        <v>5</v>
      </c>
      <c r="H38" s="1">
        <f>VLOOKUP(D38,products!A:D,4,FALSE)</f>
        <v>145000</v>
      </c>
      <c r="I38" s="1" t="str">
        <f>VLOOKUP(C38,branches!A:B,2,FALSE)</f>
        <v>Naija Mart Ikeja</v>
      </c>
      <c r="J38" s="1">
        <f t="shared" si="0"/>
        <v>137750</v>
      </c>
      <c r="K38" s="1" t="str">
        <f>VLOOKUP(D38,products!A:D,2,FALSE)</f>
        <v>Electronics</v>
      </c>
      <c r="L38" s="1" t="str">
        <f t="shared" si="1"/>
        <v>Oct-2025</v>
      </c>
    </row>
    <row r="39" spans="1:12" x14ac:dyDescent="0.25">
      <c r="A39" s="3" t="s">
        <v>105</v>
      </c>
      <c r="B39" s="6">
        <v>45724</v>
      </c>
      <c r="C39" s="3" t="s">
        <v>16</v>
      </c>
      <c r="D39" s="3" t="s">
        <v>20</v>
      </c>
      <c r="E39" s="3" t="s">
        <v>106</v>
      </c>
      <c r="F39" s="3">
        <v>2</v>
      </c>
      <c r="G39" s="3">
        <v>0</v>
      </c>
      <c r="H39" s="1">
        <f>VLOOKUP(D39,products!A:D,4,FALSE)</f>
        <v>38000</v>
      </c>
      <c r="I39" s="1" t="str">
        <f>VLOOKUP(C39,branches!A:B,2,FALSE)</f>
        <v>Naija Mart Ikeja</v>
      </c>
      <c r="J39" s="1">
        <f t="shared" si="0"/>
        <v>76000</v>
      </c>
      <c r="K39" s="1" t="str">
        <f>VLOOKUP(D39,products!A:D,2,FALSE)</f>
        <v>Electronics</v>
      </c>
      <c r="L39" s="1" t="str">
        <f t="shared" si="1"/>
        <v>Mar-2025</v>
      </c>
    </row>
    <row r="40" spans="1:12" x14ac:dyDescent="0.25">
      <c r="A40" s="3" t="s">
        <v>107</v>
      </c>
      <c r="B40" s="6">
        <v>45672</v>
      </c>
      <c r="C40" s="3" t="s">
        <v>16</v>
      </c>
      <c r="D40" s="3" t="s">
        <v>49</v>
      </c>
      <c r="E40" s="3" t="s">
        <v>108</v>
      </c>
      <c r="F40" s="3">
        <v>1</v>
      </c>
      <c r="G40" s="3">
        <v>5</v>
      </c>
      <c r="H40" s="1">
        <f>VLOOKUP(D40,products!A:D,4,FALSE)</f>
        <v>28000</v>
      </c>
      <c r="I40" s="1" t="str">
        <f>VLOOKUP(C40,branches!A:B,2,FALSE)</f>
        <v>Naija Mart Ikeja</v>
      </c>
      <c r="J40" s="1">
        <f t="shared" si="0"/>
        <v>26600</v>
      </c>
      <c r="K40" s="1" t="str">
        <f>VLOOKUP(D40,products!A:D,2,FALSE)</f>
        <v>Home Appliances</v>
      </c>
      <c r="L40" s="1" t="str">
        <f t="shared" si="1"/>
        <v>Jan-2025</v>
      </c>
    </row>
    <row r="41" spans="1:12" x14ac:dyDescent="0.25">
      <c r="A41" s="3" t="s">
        <v>109</v>
      </c>
      <c r="B41" s="6">
        <v>45795</v>
      </c>
      <c r="C41" s="3" t="s">
        <v>16</v>
      </c>
      <c r="D41" s="3" t="s">
        <v>33</v>
      </c>
      <c r="E41" s="3" t="s">
        <v>110</v>
      </c>
      <c r="F41" s="3">
        <v>1</v>
      </c>
      <c r="G41" s="3">
        <v>5</v>
      </c>
      <c r="H41" s="1">
        <f>VLOOKUP(D41,products!A:D,4,FALSE)</f>
        <v>245000</v>
      </c>
      <c r="I41" s="1" t="str">
        <f>VLOOKUP(C41,branches!A:B,2,FALSE)</f>
        <v>Naija Mart Ikeja</v>
      </c>
      <c r="J41" s="1">
        <f t="shared" si="0"/>
        <v>232750</v>
      </c>
      <c r="K41" s="1" t="str">
        <f>VLOOKUP(D41,products!A:D,2,FALSE)</f>
        <v>Generators &amp; Power</v>
      </c>
      <c r="L41" s="1" t="str">
        <f t="shared" si="1"/>
        <v>May-2025</v>
      </c>
    </row>
    <row r="42" spans="1:12" x14ac:dyDescent="0.25">
      <c r="A42" s="3" t="s">
        <v>111</v>
      </c>
      <c r="B42" s="6">
        <v>45976</v>
      </c>
      <c r="C42" s="3" t="s">
        <v>16</v>
      </c>
      <c r="D42" s="3" t="s">
        <v>9</v>
      </c>
      <c r="E42" s="3" t="s">
        <v>112</v>
      </c>
      <c r="F42" s="3">
        <v>1</v>
      </c>
      <c r="G42" s="3">
        <v>10</v>
      </c>
      <c r="H42" s="1">
        <f>VLOOKUP(D42,products!A:D,4,FALSE)</f>
        <v>410000</v>
      </c>
      <c r="I42" s="1" t="str">
        <f>VLOOKUP(C42,branches!A:B,2,FALSE)</f>
        <v>Naija Mart Ikeja</v>
      </c>
      <c r="J42" s="1">
        <f t="shared" si="0"/>
        <v>369000</v>
      </c>
      <c r="K42" s="1" t="str">
        <f>VLOOKUP(D42,products!A:D,2,FALSE)</f>
        <v>Home Appliances</v>
      </c>
      <c r="L42" s="1" t="str">
        <f t="shared" si="1"/>
        <v>Nov-2025</v>
      </c>
    </row>
    <row r="43" spans="1:12" x14ac:dyDescent="0.25">
      <c r="A43" s="3" t="s">
        <v>113</v>
      </c>
      <c r="B43" s="6">
        <v>45714</v>
      </c>
      <c r="C43" s="3" t="s">
        <v>8</v>
      </c>
      <c r="D43" s="3" t="s">
        <v>23</v>
      </c>
      <c r="E43" s="3" t="s">
        <v>114</v>
      </c>
      <c r="F43" s="3">
        <v>1</v>
      </c>
      <c r="G43" s="3">
        <v>15</v>
      </c>
      <c r="H43" s="1">
        <f>VLOOKUP(D43,products!A:D,4,FALSE)</f>
        <v>19500</v>
      </c>
      <c r="I43" s="1" t="str">
        <f>VLOOKUP(C43,branches!A:B,2,FALSE)</f>
        <v>Naija Mart GRA</v>
      </c>
      <c r="J43" s="1">
        <f t="shared" si="0"/>
        <v>16575</v>
      </c>
      <c r="K43" s="1" t="str">
        <f>VLOOKUP(D43,products!A:D,2,FALSE)</f>
        <v>Home Appliances</v>
      </c>
      <c r="L43" s="1" t="str">
        <f t="shared" si="1"/>
        <v>Feb-2025</v>
      </c>
    </row>
    <row r="44" spans="1:12" x14ac:dyDescent="0.25">
      <c r="A44" s="3" t="s">
        <v>115</v>
      </c>
      <c r="B44" s="6">
        <v>45916</v>
      </c>
      <c r="C44" s="3" t="s">
        <v>36</v>
      </c>
      <c r="D44" s="3" t="s">
        <v>23</v>
      </c>
      <c r="E44" s="3" t="s">
        <v>116</v>
      </c>
      <c r="F44" s="3">
        <v>2</v>
      </c>
      <c r="G44" s="3">
        <v>0</v>
      </c>
      <c r="H44" s="1">
        <f>VLOOKUP(D44,products!A:D,4,FALSE)</f>
        <v>19500</v>
      </c>
      <c r="I44" s="1" t="str">
        <f>VLOOKUP(C44,branches!A:B,2,FALSE)</f>
        <v>Naija Mart Sabon Gari</v>
      </c>
      <c r="J44" s="1">
        <f t="shared" si="0"/>
        <v>39000</v>
      </c>
      <c r="K44" s="1" t="str">
        <f>VLOOKUP(D44,products!A:D,2,FALSE)</f>
        <v>Home Appliances</v>
      </c>
      <c r="L44" s="1" t="str">
        <f t="shared" si="1"/>
        <v>Sep-2025</v>
      </c>
    </row>
    <row r="45" spans="1:12" x14ac:dyDescent="0.25">
      <c r="A45" s="3" t="s">
        <v>117</v>
      </c>
      <c r="B45" s="6">
        <v>45847</v>
      </c>
      <c r="C45" s="3" t="s">
        <v>16</v>
      </c>
      <c r="D45" s="3" t="s">
        <v>80</v>
      </c>
      <c r="E45" s="3" t="s">
        <v>118</v>
      </c>
      <c r="F45" s="3">
        <v>1</v>
      </c>
      <c r="G45" s="3">
        <v>20</v>
      </c>
      <c r="H45" s="1">
        <f>VLOOKUP(D45,products!A:D,4,FALSE)</f>
        <v>265000</v>
      </c>
      <c r="I45" s="1" t="str">
        <f>VLOOKUP(C45,branches!A:B,2,FALSE)</f>
        <v>Naija Mart Ikeja</v>
      </c>
      <c r="J45" s="1">
        <f t="shared" si="0"/>
        <v>212000</v>
      </c>
      <c r="K45" s="1" t="str">
        <f>VLOOKUP(D45,products!A:D,2,FALSE)</f>
        <v>Home Appliances</v>
      </c>
      <c r="L45" s="1" t="str">
        <f t="shared" si="1"/>
        <v>Jul-2025</v>
      </c>
    </row>
    <row r="46" spans="1:12" x14ac:dyDescent="0.25">
      <c r="A46" s="3" t="s">
        <v>119</v>
      </c>
      <c r="B46" s="6">
        <v>45987</v>
      </c>
      <c r="C46" s="3" t="s">
        <v>8</v>
      </c>
      <c r="D46" s="3" t="s">
        <v>40</v>
      </c>
      <c r="E46" s="3" t="s">
        <v>120</v>
      </c>
      <c r="F46" s="3">
        <v>1</v>
      </c>
      <c r="G46" s="3">
        <v>0</v>
      </c>
      <c r="H46" s="1">
        <f>VLOOKUP(D46,products!A:D,4,FALSE)</f>
        <v>195000</v>
      </c>
      <c r="I46" s="1" t="str">
        <f>VLOOKUP(C46,branches!A:B,2,FALSE)</f>
        <v>Naija Mart GRA</v>
      </c>
      <c r="J46" s="1">
        <f t="shared" si="0"/>
        <v>195000</v>
      </c>
      <c r="K46" s="1" t="str">
        <f>VLOOKUP(D46,products!A:D,2,FALSE)</f>
        <v>Generators &amp; Power</v>
      </c>
      <c r="L46" s="1" t="str">
        <f t="shared" si="1"/>
        <v>Nov-2025</v>
      </c>
    </row>
    <row r="47" spans="1:12" x14ac:dyDescent="0.25">
      <c r="A47" s="3" t="s">
        <v>121</v>
      </c>
      <c r="B47" s="6">
        <v>46003</v>
      </c>
      <c r="C47" s="3" t="s">
        <v>8</v>
      </c>
      <c r="D47" s="3" t="s">
        <v>46</v>
      </c>
      <c r="E47" s="3" t="s">
        <v>122</v>
      </c>
      <c r="F47" s="3">
        <v>1</v>
      </c>
      <c r="G47" s="3">
        <v>0</v>
      </c>
      <c r="H47" s="1">
        <f>VLOOKUP(D47,products!A:D,4,FALSE)</f>
        <v>62000</v>
      </c>
      <c r="I47" s="1" t="str">
        <f>VLOOKUP(C47,branches!A:B,2,FALSE)</f>
        <v>Naija Mart GRA</v>
      </c>
      <c r="J47" s="1">
        <f t="shared" si="0"/>
        <v>62000</v>
      </c>
      <c r="K47" s="1" t="str">
        <f>VLOOKUP(D47,products!A:D,2,FALSE)</f>
        <v>Home Appliances</v>
      </c>
      <c r="L47" s="1" t="str">
        <f t="shared" si="1"/>
        <v>Dec-2025</v>
      </c>
    </row>
    <row r="48" spans="1:12" x14ac:dyDescent="0.25">
      <c r="A48" s="3" t="s">
        <v>123</v>
      </c>
      <c r="B48" s="6">
        <v>45988</v>
      </c>
      <c r="C48" s="3" t="s">
        <v>8</v>
      </c>
      <c r="D48" s="3" t="s">
        <v>43</v>
      </c>
      <c r="E48" s="3" t="s">
        <v>124</v>
      </c>
      <c r="F48" s="3">
        <v>2</v>
      </c>
      <c r="G48" s="3">
        <v>0</v>
      </c>
      <c r="H48" s="1">
        <f>VLOOKUP(D48,products!A:D,4,FALSE)</f>
        <v>74000</v>
      </c>
      <c r="I48" s="1" t="str">
        <f>VLOOKUP(C48,branches!A:B,2,FALSE)</f>
        <v>Naija Mart GRA</v>
      </c>
      <c r="J48" s="1">
        <f t="shared" si="0"/>
        <v>148000</v>
      </c>
      <c r="K48" s="1" t="str">
        <f>VLOOKUP(D48,products!A:D,2,FALSE)</f>
        <v>Home Appliances</v>
      </c>
      <c r="L48" s="1" t="str">
        <f t="shared" si="1"/>
        <v>Nov-2025</v>
      </c>
    </row>
    <row r="49" spans="1:12" x14ac:dyDescent="0.25">
      <c r="A49" s="3" t="s">
        <v>125</v>
      </c>
      <c r="B49" s="6">
        <v>45935</v>
      </c>
      <c r="C49" s="3" t="s">
        <v>12</v>
      </c>
      <c r="D49" s="3" t="s">
        <v>126</v>
      </c>
      <c r="E49" s="3" t="s">
        <v>127</v>
      </c>
      <c r="F49" s="3">
        <v>1</v>
      </c>
      <c r="G49" s="3">
        <v>5</v>
      </c>
      <c r="H49" s="1">
        <f>VLOOKUP(D49,products!A:D,4,FALSE)</f>
        <v>185000</v>
      </c>
      <c r="I49" s="1" t="str">
        <f>VLOOKUP(C49,branches!A:B,2,FALSE)</f>
        <v>Naija Mart Wuse</v>
      </c>
      <c r="J49" s="1">
        <f t="shared" si="0"/>
        <v>175750</v>
      </c>
      <c r="K49" s="1" t="str">
        <f>VLOOKUP(D49,products!A:D,2,FALSE)</f>
        <v>Electronics</v>
      </c>
      <c r="L49" s="1" t="str">
        <f t="shared" si="1"/>
        <v>Oct-2025</v>
      </c>
    </row>
    <row r="50" spans="1:12" x14ac:dyDescent="0.25">
      <c r="A50" s="3" t="s">
        <v>128</v>
      </c>
      <c r="B50" s="6">
        <v>46008</v>
      </c>
      <c r="C50" s="3" t="s">
        <v>36</v>
      </c>
      <c r="D50" s="3" t="s">
        <v>59</v>
      </c>
      <c r="E50" s="3" t="s">
        <v>129</v>
      </c>
      <c r="F50" s="3">
        <v>1</v>
      </c>
      <c r="G50" s="3">
        <v>5</v>
      </c>
      <c r="H50" s="1">
        <f>VLOOKUP(D50,products!A:D,4,FALSE)</f>
        <v>15000</v>
      </c>
      <c r="I50" s="1" t="str">
        <f>VLOOKUP(C50,branches!A:B,2,FALSE)</f>
        <v>Naija Mart Sabon Gari</v>
      </c>
      <c r="J50" s="1">
        <f t="shared" si="0"/>
        <v>14250</v>
      </c>
      <c r="K50" s="1" t="str">
        <f>VLOOKUP(D50,products!A:D,2,FALSE)</f>
        <v>Home Appliances</v>
      </c>
      <c r="L50" s="1" t="str">
        <f t="shared" si="1"/>
        <v>Dec-2025</v>
      </c>
    </row>
    <row r="51" spans="1:12" x14ac:dyDescent="0.25">
      <c r="A51" s="3" t="s">
        <v>130</v>
      </c>
      <c r="B51" s="6">
        <v>46011</v>
      </c>
      <c r="C51" s="3" t="s">
        <v>8</v>
      </c>
      <c r="D51" s="3" t="s">
        <v>94</v>
      </c>
      <c r="E51" s="3" t="s">
        <v>70</v>
      </c>
      <c r="F51" s="3">
        <v>1</v>
      </c>
      <c r="G51" s="3">
        <v>20</v>
      </c>
      <c r="H51" s="1">
        <f>VLOOKUP(D51,products!A:D,4,FALSE)</f>
        <v>320000</v>
      </c>
      <c r="I51" s="1" t="str">
        <f>VLOOKUP(C51,branches!A:B,2,FALSE)</f>
        <v>Naija Mart GRA</v>
      </c>
      <c r="J51" s="1">
        <f t="shared" si="0"/>
        <v>256000</v>
      </c>
      <c r="K51" s="1" t="str">
        <f>VLOOKUP(D51,products!A:D,2,FALSE)</f>
        <v>Electronics</v>
      </c>
      <c r="L51" s="1" t="str">
        <f t="shared" si="1"/>
        <v>Dec-2025</v>
      </c>
    </row>
    <row r="52" spans="1:12" x14ac:dyDescent="0.25">
      <c r="A52" s="3" t="s">
        <v>131</v>
      </c>
      <c r="B52" s="6">
        <v>46003</v>
      </c>
      <c r="C52" s="3" t="s">
        <v>12</v>
      </c>
      <c r="D52" s="3" t="s">
        <v>13</v>
      </c>
      <c r="E52" s="3" t="s">
        <v>38</v>
      </c>
      <c r="F52" s="3">
        <v>1</v>
      </c>
      <c r="G52" s="3">
        <v>0</v>
      </c>
      <c r="H52" s="1">
        <f>VLOOKUP(D52,products!A:D,4,FALSE)</f>
        <v>24000</v>
      </c>
      <c r="I52" s="1" t="str">
        <f>VLOOKUP(C52,branches!A:B,2,FALSE)</f>
        <v>Naija Mart Wuse</v>
      </c>
      <c r="J52" s="1">
        <f t="shared" si="0"/>
        <v>24000</v>
      </c>
      <c r="K52" s="1" t="str">
        <f>VLOOKUP(D52,products!A:D,2,FALSE)</f>
        <v>Home Appliances</v>
      </c>
      <c r="L52" s="1" t="str">
        <f t="shared" si="1"/>
        <v>Dec-2025</v>
      </c>
    </row>
    <row r="53" spans="1:12" x14ac:dyDescent="0.25">
      <c r="A53" s="3" t="s">
        <v>132</v>
      </c>
      <c r="B53" s="6">
        <v>45853</v>
      </c>
      <c r="C53" s="3" t="s">
        <v>16</v>
      </c>
      <c r="D53" s="3" t="s">
        <v>49</v>
      </c>
      <c r="E53" s="3" t="s">
        <v>72</v>
      </c>
      <c r="F53" s="3">
        <v>5</v>
      </c>
      <c r="G53" s="3">
        <v>0</v>
      </c>
      <c r="H53" s="1">
        <f>VLOOKUP(D53,products!A:D,4,FALSE)</f>
        <v>28000</v>
      </c>
      <c r="I53" s="1" t="str">
        <f>VLOOKUP(C53,branches!A:B,2,FALSE)</f>
        <v>Naija Mart Ikeja</v>
      </c>
      <c r="J53" s="1">
        <f t="shared" si="0"/>
        <v>140000</v>
      </c>
      <c r="K53" s="1" t="str">
        <f>VLOOKUP(D53,products!A:D,2,FALSE)</f>
        <v>Home Appliances</v>
      </c>
      <c r="L53" s="1" t="str">
        <f t="shared" si="1"/>
        <v>Jul-2025</v>
      </c>
    </row>
    <row r="54" spans="1:12" x14ac:dyDescent="0.25">
      <c r="A54" s="3" t="s">
        <v>133</v>
      </c>
      <c r="B54" s="6">
        <v>45743</v>
      </c>
      <c r="C54" s="3" t="s">
        <v>12</v>
      </c>
      <c r="D54" s="3" t="s">
        <v>13</v>
      </c>
      <c r="E54" s="3" t="s">
        <v>134</v>
      </c>
      <c r="F54" s="3">
        <v>5</v>
      </c>
      <c r="G54" s="3">
        <v>5</v>
      </c>
      <c r="H54" s="1">
        <f>VLOOKUP(D54,products!A:D,4,FALSE)</f>
        <v>24000</v>
      </c>
      <c r="I54" s="1" t="str">
        <f>VLOOKUP(C54,branches!A:B,2,FALSE)</f>
        <v>Naija Mart Wuse</v>
      </c>
      <c r="J54" s="1">
        <f t="shared" si="0"/>
        <v>114000</v>
      </c>
      <c r="K54" s="1" t="str">
        <f>VLOOKUP(D54,products!A:D,2,FALSE)</f>
        <v>Home Appliances</v>
      </c>
      <c r="L54" s="1" t="str">
        <f t="shared" si="1"/>
        <v>Mar-2025</v>
      </c>
    </row>
    <row r="55" spans="1:12" x14ac:dyDescent="0.25">
      <c r="A55" s="3" t="s">
        <v>135</v>
      </c>
      <c r="B55" s="6">
        <v>45941</v>
      </c>
      <c r="C55" s="3" t="s">
        <v>36</v>
      </c>
      <c r="D55" s="3" t="s">
        <v>43</v>
      </c>
      <c r="E55" s="3" t="s">
        <v>136</v>
      </c>
      <c r="F55" s="3">
        <v>1</v>
      </c>
      <c r="G55" s="3">
        <v>30</v>
      </c>
      <c r="H55" s="1">
        <f>VLOOKUP(D55,products!A:D,4,FALSE)</f>
        <v>74000</v>
      </c>
      <c r="I55" s="1" t="str">
        <f>VLOOKUP(C55,branches!A:B,2,FALSE)</f>
        <v>Naija Mart Sabon Gari</v>
      </c>
      <c r="J55" s="1">
        <f t="shared" si="0"/>
        <v>51800</v>
      </c>
      <c r="K55" s="1" t="str">
        <f>VLOOKUP(D55,products!A:D,2,FALSE)</f>
        <v>Home Appliances</v>
      </c>
      <c r="L55" s="1" t="str">
        <f t="shared" si="1"/>
        <v>Oct-2025</v>
      </c>
    </row>
    <row r="56" spans="1:12" x14ac:dyDescent="0.25">
      <c r="A56" s="3" t="s">
        <v>137</v>
      </c>
      <c r="B56" s="6">
        <v>45989</v>
      </c>
      <c r="C56" s="3" t="s">
        <v>12</v>
      </c>
      <c r="D56" s="3" t="s">
        <v>43</v>
      </c>
      <c r="E56" s="3" t="s">
        <v>138</v>
      </c>
      <c r="F56" s="3">
        <v>1</v>
      </c>
      <c r="G56" s="3">
        <v>10</v>
      </c>
      <c r="H56" s="1">
        <f>VLOOKUP(D56,products!A:D,4,FALSE)</f>
        <v>74000</v>
      </c>
      <c r="I56" s="1" t="str">
        <f>VLOOKUP(C56,branches!A:B,2,FALSE)</f>
        <v>Naija Mart Wuse</v>
      </c>
      <c r="J56" s="1">
        <f t="shared" si="0"/>
        <v>66600</v>
      </c>
      <c r="K56" s="1" t="str">
        <f>VLOOKUP(D56,products!A:D,2,FALSE)</f>
        <v>Home Appliances</v>
      </c>
      <c r="L56" s="1" t="str">
        <f t="shared" si="1"/>
        <v>Nov-2025</v>
      </c>
    </row>
    <row r="57" spans="1:12" x14ac:dyDescent="0.25">
      <c r="A57" s="3" t="s">
        <v>139</v>
      </c>
      <c r="B57" s="6">
        <v>45913</v>
      </c>
      <c r="C57" s="3" t="s">
        <v>16</v>
      </c>
      <c r="D57" s="3" t="s">
        <v>43</v>
      </c>
      <c r="E57" s="3" t="s">
        <v>110</v>
      </c>
      <c r="F57" s="3">
        <v>2</v>
      </c>
      <c r="G57" s="3">
        <v>10</v>
      </c>
      <c r="H57" s="1">
        <f>VLOOKUP(D57,products!A:D,4,FALSE)</f>
        <v>74000</v>
      </c>
      <c r="I57" s="1" t="str">
        <f>VLOOKUP(C57,branches!A:B,2,FALSE)</f>
        <v>Naija Mart Ikeja</v>
      </c>
      <c r="J57" s="1">
        <f t="shared" si="0"/>
        <v>133200</v>
      </c>
      <c r="K57" s="1" t="str">
        <f>VLOOKUP(D57,products!A:D,2,FALSE)</f>
        <v>Home Appliances</v>
      </c>
      <c r="L57" s="1" t="str">
        <f t="shared" si="1"/>
        <v>Sep-2025</v>
      </c>
    </row>
    <row r="58" spans="1:12" x14ac:dyDescent="0.25">
      <c r="A58" s="3" t="s">
        <v>140</v>
      </c>
      <c r="B58" s="6">
        <v>45958</v>
      </c>
      <c r="C58" s="3" t="s">
        <v>16</v>
      </c>
      <c r="D58" s="3" t="s">
        <v>80</v>
      </c>
      <c r="E58" s="3" t="s">
        <v>141</v>
      </c>
      <c r="F58" s="3">
        <v>2</v>
      </c>
      <c r="G58" s="3">
        <v>10</v>
      </c>
      <c r="H58" s="1">
        <f>VLOOKUP(D58,products!A:D,4,FALSE)</f>
        <v>265000</v>
      </c>
      <c r="I58" s="1" t="str">
        <f>VLOOKUP(C58,branches!A:B,2,FALSE)</f>
        <v>Naija Mart Ikeja</v>
      </c>
      <c r="J58" s="1">
        <f t="shared" si="0"/>
        <v>477000</v>
      </c>
      <c r="K58" s="1" t="str">
        <f>VLOOKUP(D58,products!A:D,2,FALSE)</f>
        <v>Home Appliances</v>
      </c>
      <c r="L58" s="1" t="str">
        <f t="shared" si="1"/>
        <v>Oct-2025</v>
      </c>
    </row>
    <row r="59" spans="1:12" x14ac:dyDescent="0.25">
      <c r="A59" s="3" t="s">
        <v>142</v>
      </c>
      <c r="B59" s="6">
        <v>46011</v>
      </c>
      <c r="C59" s="3" t="s">
        <v>16</v>
      </c>
      <c r="D59" s="3" t="s">
        <v>49</v>
      </c>
      <c r="E59" s="3" t="s">
        <v>143</v>
      </c>
      <c r="F59" s="3">
        <v>1</v>
      </c>
      <c r="G59" s="3">
        <v>5</v>
      </c>
      <c r="H59" s="1">
        <f>VLOOKUP(D59,products!A:D,4,FALSE)</f>
        <v>28000</v>
      </c>
      <c r="I59" s="1" t="str">
        <f>VLOOKUP(C59,branches!A:B,2,FALSE)</f>
        <v>Naija Mart Ikeja</v>
      </c>
      <c r="J59" s="1">
        <f t="shared" si="0"/>
        <v>26600</v>
      </c>
      <c r="K59" s="1" t="str">
        <f>VLOOKUP(D59,products!A:D,2,FALSE)</f>
        <v>Home Appliances</v>
      </c>
      <c r="L59" s="1" t="str">
        <f t="shared" si="1"/>
        <v>Dec-2025</v>
      </c>
    </row>
    <row r="60" spans="1:12" x14ac:dyDescent="0.25">
      <c r="A60" s="3" t="s">
        <v>144</v>
      </c>
      <c r="B60" s="6">
        <v>45678</v>
      </c>
      <c r="C60" s="3" t="s">
        <v>36</v>
      </c>
      <c r="D60" s="3" t="s">
        <v>33</v>
      </c>
      <c r="E60" s="3" t="s">
        <v>145</v>
      </c>
      <c r="F60" s="3">
        <v>2</v>
      </c>
      <c r="G60" s="3">
        <v>20</v>
      </c>
      <c r="H60" s="1">
        <f>VLOOKUP(D60,products!A:D,4,FALSE)</f>
        <v>245000</v>
      </c>
      <c r="I60" s="1" t="str">
        <f>VLOOKUP(C60,branches!A:B,2,FALSE)</f>
        <v>Naija Mart Sabon Gari</v>
      </c>
      <c r="J60" s="1">
        <f t="shared" si="0"/>
        <v>392000</v>
      </c>
      <c r="K60" s="1" t="str">
        <f>VLOOKUP(D60,products!A:D,2,FALSE)</f>
        <v>Generators &amp; Power</v>
      </c>
      <c r="L60" s="1" t="str">
        <f t="shared" si="1"/>
        <v>Jan-2025</v>
      </c>
    </row>
    <row r="61" spans="1:12" x14ac:dyDescent="0.25">
      <c r="A61" s="3" t="s">
        <v>146</v>
      </c>
      <c r="B61" s="6">
        <v>45784</v>
      </c>
      <c r="C61" s="3" t="s">
        <v>12</v>
      </c>
      <c r="D61" s="3" t="s">
        <v>43</v>
      </c>
      <c r="E61" s="3" t="s">
        <v>147</v>
      </c>
      <c r="F61" s="3">
        <v>1</v>
      </c>
      <c r="G61" s="3">
        <v>15</v>
      </c>
      <c r="H61" s="1">
        <f>VLOOKUP(D61,products!A:D,4,FALSE)</f>
        <v>74000</v>
      </c>
      <c r="I61" s="1" t="str">
        <f>VLOOKUP(C61,branches!A:B,2,FALSE)</f>
        <v>Naija Mart Wuse</v>
      </c>
      <c r="J61" s="1">
        <f t="shared" si="0"/>
        <v>62900</v>
      </c>
      <c r="K61" s="1" t="str">
        <f>VLOOKUP(D61,products!A:D,2,FALSE)</f>
        <v>Home Appliances</v>
      </c>
      <c r="L61" s="1" t="str">
        <f t="shared" si="1"/>
        <v>May-2025</v>
      </c>
    </row>
    <row r="62" spans="1:12" x14ac:dyDescent="0.25">
      <c r="A62" s="3" t="s">
        <v>148</v>
      </c>
      <c r="B62" s="6">
        <v>45683</v>
      </c>
      <c r="C62" s="3" t="s">
        <v>16</v>
      </c>
      <c r="D62" s="3" t="s">
        <v>149</v>
      </c>
      <c r="E62" s="3" t="s">
        <v>150</v>
      </c>
      <c r="F62" s="3">
        <v>1</v>
      </c>
      <c r="G62" s="3">
        <v>0</v>
      </c>
      <c r="H62" s="1">
        <f>VLOOKUP(D62,products!A:D,4,FALSE)</f>
        <v>6500</v>
      </c>
      <c r="I62" s="1" t="str">
        <f>VLOOKUP(C62,branches!A:B,2,FALSE)</f>
        <v>Naija Mart Ikeja</v>
      </c>
      <c r="J62" s="1">
        <f t="shared" si="0"/>
        <v>6500</v>
      </c>
      <c r="K62" s="1" t="str">
        <f>VLOOKUP(D62,products!A:D,2,FALSE)</f>
        <v>Small Gadgets</v>
      </c>
      <c r="L62" s="1" t="str">
        <f t="shared" si="1"/>
        <v>Jan-2025</v>
      </c>
    </row>
    <row r="63" spans="1:12" x14ac:dyDescent="0.25">
      <c r="A63" s="3" t="s">
        <v>151</v>
      </c>
      <c r="B63" s="6">
        <v>45824</v>
      </c>
      <c r="C63" s="3" t="s">
        <v>12</v>
      </c>
      <c r="D63" s="3" t="s">
        <v>40</v>
      </c>
      <c r="E63" s="3" t="s">
        <v>34</v>
      </c>
      <c r="F63" s="3">
        <v>1</v>
      </c>
      <c r="G63" s="3">
        <v>0</v>
      </c>
      <c r="H63" s="1">
        <f>VLOOKUP(D63,products!A:D,4,FALSE)</f>
        <v>195000</v>
      </c>
      <c r="I63" s="1" t="str">
        <f>VLOOKUP(C63,branches!A:B,2,FALSE)</f>
        <v>Naija Mart Wuse</v>
      </c>
      <c r="J63" s="1">
        <f t="shared" si="0"/>
        <v>195000</v>
      </c>
      <c r="K63" s="1" t="str">
        <f>VLOOKUP(D63,products!A:D,2,FALSE)</f>
        <v>Generators &amp; Power</v>
      </c>
      <c r="L63" s="1" t="str">
        <f t="shared" si="1"/>
        <v>Jun-2025</v>
      </c>
    </row>
    <row r="64" spans="1:12" x14ac:dyDescent="0.25">
      <c r="A64" s="3" t="s">
        <v>152</v>
      </c>
      <c r="B64" s="6">
        <v>45964</v>
      </c>
      <c r="C64" s="3" t="s">
        <v>12</v>
      </c>
      <c r="D64" s="3" t="s">
        <v>26</v>
      </c>
      <c r="E64" s="3" t="s">
        <v>153</v>
      </c>
      <c r="F64" s="3">
        <v>1</v>
      </c>
      <c r="G64" s="3">
        <v>20</v>
      </c>
      <c r="H64" s="1">
        <f>VLOOKUP(D64,products!A:D,4,FALSE)</f>
        <v>145000</v>
      </c>
      <c r="I64" s="1" t="str">
        <f>VLOOKUP(C64,branches!A:B,2,FALSE)</f>
        <v>Naija Mart Wuse</v>
      </c>
      <c r="J64" s="1">
        <f t="shared" si="0"/>
        <v>116000</v>
      </c>
      <c r="K64" s="1" t="str">
        <f>VLOOKUP(D64,products!A:D,2,FALSE)</f>
        <v>Electronics</v>
      </c>
      <c r="L64" s="1" t="str">
        <f t="shared" si="1"/>
        <v>Nov-2025</v>
      </c>
    </row>
    <row r="65" spans="1:12" x14ac:dyDescent="0.25">
      <c r="A65" s="3" t="s">
        <v>154</v>
      </c>
      <c r="B65" s="6">
        <v>45772</v>
      </c>
      <c r="C65" s="3" t="s">
        <v>12</v>
      </c>
      <c r="D65" s="3" t="s">
        <v>17</v>
      </c>
      <c r="E65" s="3" t="s">
        <v>127</v>
      </c>
      <c r="F65" s="3">
        <v>3</v>
      </c>
      <c r="G65" s="3">
        <v>0</v>
      </c>
      <c r="H65" s="1">
        <f>VLOOKUP(D65,products!A:D,4,FALSE)</f>
        <v>22000</v>
      </c>
      <c r="I65" s="1" t="str">
        <f>VLOOKUP(C65,branches!A:B,2,FALSE)</f>
        <v>Naija Mart Wuse</v>
      </c>
      <c r="J65" s="1">
        <f t="shared" si="0"/>
        <v>66000</v>
      </c>
      <c r="K65" s="1" t="str">
        <f>VLOOKUP(D65,products!A:D,2,FALSE)</f>
        <v>Home Appliances</v>
      </c>
      <c r="L65" s="1" t="str">
        <f t="shared" si="1"/>
        <v>Apr-2025</v>
      </c>
    </row>
    <row r="66" spans="1:12" x14ac:dyDescent="0.25">
      <c r="A66" s="3" t="s">
        <v>155</v>
      </c>
      <c r="B66" s="6">
        <v>45738</v>
      </c>
      <c r="C66" s="3" t="s">
        <v>16</v>
      </c>
      <c r="D66" s="3" t="s">
        <v>20</v>
      </c>
      <c r="E66" s="3" t="s">
        <v>60</v>
      </c>
      <c r="F66" s="3">
        <v>1</v>
      </c>
      <c r="G66" s="3">
        <v>0</v>
      </c>
      <c r="H66" s="1">
        <f>VLOOKUP(D66,products!A:D,4,FALSE)</f>
        <v>38000</v>
      </c>
      <c r="I66" s="1" t="str">
        <f>VLOOKUP(C66,branches!A:B,2,FALSE)</f>
        <v>Naija Mart Ikeja</v>
      </c>
      <c r="J66" s="1">
        <f t="shared" si="0"/>
        <v>38000</v>
      </c>
      <c r="K66" s="1" t="str">
        <f>VLOOKUP(D66,products!A:D,2,FALSE)</f>
        <v>Electronics</v>
      </c>
      <c r="L66" s="1" t="str">
        <f t="shared" si="1"/>
        <v>Mar-2025</v>
      </c>
    </row>
    <row r="67" spans="1:12" x14ac:dyDescent="0.25">
      <c r="A67" s="3" t="s">
        <v>156</v>
      </c>
      <c r="B67" s="6">
        <v>45784</v>
      </c>
      <c r="C67" s="3" t="s">
        <v>16</v>
      </c>
      <c r="D67" s="3" t="s">
        <v>43</v>
      </c>
      <c r="E67" s="3" t="s">
        <v>157</v>
      </c>
      <c r="F67" s="3">
        <v>2</v>
      </c>
      <c r="G67" s="3">
        <v>0</v>
      </c>
      <c r="H67" s="1">
        <f>VLOOKUP(D67,products!A:D,4,FALSE)</f>
        <v>74000</v>
      </c>
      <c r="I67" s="1" t="str">
        <f>VLOOKUP(C67,branches!A:B,2,FALSE)</f>
        <v>Naija Mart Ikeja</v>
      </c>
      <c r="J67" s="1">
        <f t="shared" ref="J67:J130" si="2">F67*H67*(1-G67/100)</f>
        <v>148000</v>
      </c>
      <c r="K67" s="1" t="str">
        <f>VLOOKUP(D67,products!A:D,2,FALSE)</f>
        <v>Home Appliances</v>
      </c>
      <c r="L67" s="1" t="str">
        <f t="shared" ref="L67:L130" si="3">TEXT(B67,"mmm-yyyy")</f>
        <v>May-2025</v>
      </c>
    </row>
    <row r="68" spans="1:12" x14ac:dyDescent="0.25">
      <c r="A68" s="3" t="s">
        <v>158</v>
      </c>
      <c r="B68" s="6">
        <v>45906</v>
      </c>
      <c r="C68" s="3" t="s">
        <v>36</v>
      </c>
      <c r="D68" s="3" t="s">
        <v>149</v>
      </c>
      <c r="E68" s="3" t="s">
        <v>159</v>
      </c>
      <c r="F68" s="3">
        <v>2</v>
      </c>
      <c r="G68" s="3">
        <v>0</v>
      </c>
      <c r="H68" s="1">
        <f>VLOOKUP(D68,products!A:D,4,FALSE)</f>
        <v>6500</v>
      </c>
      <c r="I68" s="1" t="str">
        <f>VLOOKUP(C68,branches!A:B,2,FALSE)</f>
        <v>Naija Mart Sabon Gari</v>
      </c>
      <c r="J68" s="1">
        <f t="shared" si="2"/>
        <v>13000</v>
      </c>
      <c r="K68" s="1" t="str">
        <f>VLOOKUP(D68,products!A:D,2,FALSE)</f>
        <v>Small Gadgets</v>
      </c>
      <c r="L68" s="1" t="str">
        <f t="shared" si="3"/>
        <v>Sep-2025</v>
      </c>
    </row>
    <row r="69" spans="1:12" x14ac:dyDescent="0.25">
      <c r="A69" s="3" t="s">
        <v>160</v>
      </c>
      <c r="B69" s="6">
        <v>45735</v>
      </c>
      <c r="C69" s="3" t="s">
        <v>36</v>
      </c>
      <c r="D69" s="3" t="s">
        <v>80</v>
      </c>
      <c r="E69" s="3" t="s">
        <v>161</v>
      </c>
      <c r="F69" s="3">
        <v>1</v>
      </c>
      <c r="G69" s="3">
        <v>0</v>
      </c>
      <c r="H69" s="1">
        <f>VLOOKUP(D69,products!A:D,4,FALSE)</f>
        <v>265000</v>
      </c>
      <c r="I69" s="1" t="str">
        <f>VLOOKUP(C69,branches!A:B,2,FALSE)</f>
        <v>Naija Mart Sabon Gari</v>
      </c>
      <c r="J69" s="1">
        <f t="shared" si="2"/>
        <v>265000</v>
      </c>
      <c r="K69" s="1" t="str">
        <f>VLOOKUP(D69,products!A:D,2,FALSE)</f>
        <v>Home Appliances</v>
      </c>
      <c r="L69" s="1" t="str">
        <f t="shared" si="3"/>
        <v>Mar-2025</v>
      </c>
    </row>
    <row r="70" spans="1:12" x14ac:dyDescent="0.25">
      <c r="A70" s="3" t="s">
        <v>162</v>
      </c>
      <c r="B70" s="6">
        <v>45671</v>
      </c>
      <c r="C70" s="3" t="s">
        <v>36</v>
      </c>
      <c r="D70" s="3" t="s">
        <v>37</v>
      </c>
      <c r="E70" s="3" t="s">
        <v>163</v>
      </c>
      <c r="F70" s="3">
        <v>1</v>
      </c>
      <c r="G70" s="3">
        <v>25</v>
      </c>
      <c r="H70" s="1">
        <f>VLOOKUP(D70,products!A:D,4,FALSE)</f>
        <v>8500</v>
      </c>
      <c r="I70" s="1" t="str">
        <f>VLOOKUP(C70,branches!A:B,2,FALSE)</f>
        <v>Naija Mart Sabon Gari</v>
      </c>
      <c r="J70" s="1">
        <f t="shared" si="2"/>
        <v>6375</v>
      </c>
      <c r="K70" s="1" t="str">
        <f>VLOOKUP(D70,products!A:D,2,FALSE)</f>
        <v>Small Gadgets</v>
      </c>
      <c r="L70" s="1" t="str">
        <f t="shared" si="3"/>
        <v>Jan-2025</v>
      </c>
    </row>
    <row r="71" spans="1:12" x14ac:dyDescent="0.25">
      <c r="A71" s="3" t="s">
        <v>164</v>
      </c>
      <c r="B71" s="6">
        <v>45773</v>
      </c>
      <c r="C71" s="3" t="s">
        <v>12</v>
      </c>
      <c r="D71" s="3" t="s">
        <v>13</v>
      </c>
      <c r="E71" s="3" t="s">
        <v>165</v>
      </c>
      <c r="F71" s="3">
        <v>1</v>
      </c>
      <c r="G71" s="3">
        <v>0</v>
      </c>
      <c r="H71" s="1">
        <f>VLOOKUP(D71,products!A:D,4,FALSE)</f>
        <v>24000</v>
      </c>
      <c r="I71" s="1" t="str">
        <f>VLOOKUP(C71,branches!A:B,2,FALSE)</f>
        <v>Naija Mart Wuse</v>
      </c>
      <c r="J71" s="1">
        <f t="shared" si="2"/>
        <v>24000</v>
      </c>
      <c r="K71" s="1" t="str">
        <f>VLOOKUP(D71,products!A:D,2,FALSE)</f>
        <v>Home Appliances</v>
      </c>
      <c r="L71" s="1" t="str">
        <f t="shared" si="3"/>
        <v>Apr-2025</v>
      </c>
    </row>
    <row r="72" spans="1:12" x14ac:dyDescent="0.25">
      <c r="A72" s="3" t="s">
        <v>166</v>
      </c>
      <c r="B72" s="6">
        <v>45874</v>
      </c>
      <c r="C72" s="3" t="s">
        <v>36</v>
      </c>
      <c r="D72" s="3" t="s">
        <v>20</v>
      </c>
      <c r="E72" s="3" t="s">
        <v>167</v>
      </c>
      <c r="F72" s="3">
        <v>1</v>
      </c>
      <c r="G72" s="3">
        <v>0</v>
      </c>
      <c r="H72" s="1">
        <f>VLOOKUP(D72,products!A:D,4,FALSE)</f>
        <v>38000</v>
      </c>
      <c r="I72" s="1" t="str">
        <f>VLOOKUP(C72,branches!A:B,2,FALSE)</f>
        <v>Naija Mart Sabon Gari</v>
      </c>
      <c r="J72" s="1">
        <f t="shared" si="2"/>
        <v>38000</v>
      </c>
      <c r="K72" s="1" t="str">
        <f>VLOOKUP(D72,products!A:D,2,FALSE)</f>
        <v>Electronics</v>
      </c>
      <c r="L72" s="1" t="str">
        <f t="shared" si="3"/>
        <v>Aug-2025</v>
      </c>
    </row>
    <row r="73" spans="1:12" x14ac:dyDescent="0.25">
      <c r="A73" s="3" t="s">
        <v>168</v>
      </c>
      <c r="B73" s="6">
        <v>45981</v>
      </c>
      <c r="C73" s="3" t="s">
        <v>12</v>
      </c>
      <c r="D73" s="3" t="s">
        <v>17</v>
      </c>
      <c r="E73" s="3" t="s">
        <v>169</v>
      </c>
      <c r="F73" s="3">
        <v>2</v>
      </c>
      <c r="G73" s="3">
        <v>5</v>
      </c>
      <c r="H73" s="1">
        <f>VLOOKUP(D73,products!A:D,4,FALSE)</f>
        <v>22000</v>
      </c>
      <c r="I73" s="1" t="str">
        <f>VLOOKUP(C73,branches!A:B,2,FALSE)</f>
        <v>Naija Mart Wuse</v>
      </c>
      <c r="J73" s="1">
        <f t="shared" si="2"/>
        <v>41800</v>
      </c>
      <c r="K73" s="1" t="str">
        <f>VLOOKUP(D73,products!A:D,2,FALSE)</f>
        <v>Home Appliances</v>
      </c>
      <c r="L73" s="1" t="str">
        <f t="shared" si="3"/>
        <v>Nov-2025</v>
      </c>
    </row>
    <row r="74" spans="1:12" x14ac:dyDescent="0.25">
      <c r="A74" s="3" t="s">
        <v>170</v>
      </c>
      <c r="B74" s="6">
        <v>45661</v>
      </c>
      <c r="C74" s="3" t="s">
        <v>8</v>
      </c>
      <c r="D74" s="3" t="s">
        <v>64</v>
      </c>
      <c r="E74" s="3" t="s">
        <v>134</v>
      </c>
      <c r="F74" s="3">
        <v>1</v>
      </c>
      <c r="G74" s="3">
        <v>20</v>
      </c>
      <c r="H74" s="1">
        <f>VLOOKUP(D74,products!A:D,4,FALSE)</f>
        <v>175000</v>
      </c>
      <c r="I74" s="1" t="str">
        <f>VLOOKUP(C74,branches!A:B,2,FALSE)</f>
        <v>Naija Mart GRA</v>
      </c>
      <c r="J74" s="1">
        <f t="shared" si="2"/>
        <v>140000</v>
      </c>
      <c r="K74" s="1" t="str">
        <f>VLOOKUP(D74,products!A:D,2,FALSE)</f>
        <v>Generators &amp; Power</v>
      </c>
      <c r="L74" s="1" t="str">
        <f t="shared" si="3"/>
        <v>Jan-2025</v>
      </c>
    </row>
    <row r="75" spans="1:12" x14ac:dyDescent="0.25">
      <c r="A75" s="3" t="s">
        <v>171</v>
      </c>
      <c r="B75" s="6">
        <v>45915</v>
      </c>
      <c r="C75" s="3" t="s">
        <v>16</v>
      </c>
      <c r="D75" s="3" t="s">
        <v>126</v>
      </c>
      <c r="E75" s="3" t="s">
        <v>145</v>
      </c>
      <c r="F75" s="3">
        <v>1</v>
      </c>
      <c r="G75" s="3">
        <v>0</v>
      </c>
      <c r="H75" s="1">
        <f>VLOOKUP(D75,products!A:D,4,FALSE)</f>
        <v>185000</v>
      </c>
      <c r="I75" s="1" t="str">
        <f>VLOOKUP(C75,branches!A:B,2,FALSE)</f>
        <v>Naija Mart Ikeja</v>
      </c>
      <c r="J75" s="1">
        <f t="shared" si="2"/>
        <v>185000</v>
      </c>
      <c r="K75" s="1" t="str">
        <f>VLOOKUP(D75,products!A:D,2,FALSE)</f>
        <v>Electronics</v>
      </c>
      <c r="L75" s="1" t="str">
        <f t="shared" si="3"/>
        <v>Sep-2025</v>
      </c>
    </row>
    <row r="76" spans="1:12" x14ac:dyDescent="0.25">
      <c r="A76" s="3" t="s">
        <v>172</v>
      </c>
      <c r="B76" s="6">
        <v>45758</v>
      </c>
      <c r="C76" s="3" t="s">
        <v>8</v>
      </c>
      <c r="D76" s="3" t="s">
        <v>20</v>
      </c>
      <c r="E76" s="3" t="s">
        <v>24</v>
      </c>
      <c r="F76" s="3">
        <v>1</v>
      </c>
      <c r="G76" s="3">
        <v>25</v>
      </c>
      <c r="H76" s="1">
        <f>VLOOKUP(D76,products!A:D,4,FALSE)</f>
        <v>38000</v>
      </c>
      <c r="I76" s="1" t="str">
        <f>VLOOKUP(C76,branches!A:B,2,FALSE)</f>
        <v>Naija Mart GRA</v>
      </c>
      <c r="J76" s="1">
        <f t="shared" si="2"/>
        <v>28500</v>
      </c>
      <c r="K76" s="1" t="str">
        <f>VLOOKUP(D76,products!A:D,2,FALSE)</f>
        <v>Electronics</v>
      </c>
      <c r="L76" s="1" t="str">
        <f t="shared" si="3"/>
        <v>Apr-2025</v>
      </c>
    </row>
    <row r="77" spans="1:12" x14ac:dyDescent="0.25">
      <c r="A77" s="3" t="s">
        <v>173</v>
      </c>
      <c r="B77" s="6">
        <v>45801</v>
      </c>
      <c r="C77" s="3" t="s">
        <v>36</v>
      </c>
      <c r="D77" s="3" t="s">
        <v>26</v>
      </c>
      <c r="E77" s="3" t="s">
        <v>174</v>
      </c>
      <c r="F77" s="3">
        <v>1</v>
      </c>
      <c r="G77" s="3">
        <v>10</v>
      </c>
      <c r="H77" s="1">
        <f>VLOOKUP(D77,products!A:D,4,FALSE)</f>
        <v>145000</v>
      </c>
      <c r="I77" s="1" t="str">
        <f>VLOOKUP(C77,branches!A:B,2,FALSE)</f>
        <v>Naija Mart Sabon Gari</v>
      </c>
      <c r="J77" s="1">
        <f t="shared" si="2"/>
        <v>130500</v>
      </c>
      <c r="K77" s="1" t="str">
        <f>VLOOKUP(D77,products!A:D,2,FALSE)</f>
        <v>Electronics</v>
      </c>
      <c r="L77" s="1" t="str">
        <f t="shared" si="3"/>
        <v>May-2025</v>
      </c>
    </row>
    <row r="78" spans="1:12" x14ac:dyDescent="0.25">
      <c r="A78" s="3" t="s">
        <v>175</v>
      </c>
      <c r="B78" s="6">
        <v>45968</v>
      </c>
      <c r="C78" s="3" t="s">
        <v>36</v>
      </c>
      <c r="D78" s="3" t="s">
        <v>59</v>
      </c>
      <c r="E78" s="3" t="s">
        <v>176</v>
      </c>
      <c r="F78" s="3">
        <v>5</v>
      </c>
      <c r="G78" s="3">
        <v>0</v>
      </c>
      <c r="H78" s="1">
        <f>VLOOKUP(D78,products!A:D,4,FALSE)</f>
        <v>15000</v>
      </c>
      <c r="I78" s="1" t="str">
        <f>VLOOKUP(C78,branches!A:B,2,FALSE)</f>
        <v>Naija Mart Sabon Gari</v>
      </c>
      <c r="J78" s="1">
        <f t="shared" si="2"/>
        <v>75000</v>
      </c>
      <c r="K78" s="1" t="str">
        <f>VLOOKUP(D78,products!A:D,2,FALSE)</f>
        <v>Home Appliances</v>
      </c>
      <c r="L78" s="1" t="str">
        <f t="shared" si="3"/>
        <v>Nov-2025</v>
      </c>
    </row>
    <row r="79" spans="1:12" x14ac:dyDescent="0.25">
      <c r="A79" s="3" t="s">
        <v>177</v>
      </c>
      <c r="B79" s="6">
        <v>45701</v>
      </c>
      <c r="C79" s="3" t="s">
        <v>8</v>
      </c>
      <c r="D79" s="3" t="s">
        <v>43</v>
      </c>
      <c r="E79" s="3" t="s">
        <v>178</v>
      </c>
      <c r="F79" s="3">
        <v>2</v>
      </c>
      <c r="G79" s="3">
        <v>5</v>
      </c>
      <c r="H79" s="1">
        <f>VLOOKUP(D79,products!A:D,4,FALSE)</f>
        <v>74000</v>
      </c>
      <c r="I79" s="1" t="str">
        <f>VLOOKUP(C79,branches!A:B,2,FALSE)</f>
        <v>Naija Mart GRA</v>
      </c>
      <c r="J79" s="1">
        <f t="shared" si="2"/>
        <v>140600</v>
      </c>
      <c r="K79" s="1" t="str">
        <f>VLOOKUP(D79,products!A:D,2,FALSE)</f>
        <v>Home Appliances</v>
      </c>
      <c r="L79" s="1" t="str">
        <f t="shared" si="3"/>
        <v>Feb-2025</v>
      </c>
    </row>
    <row r="80" spans="1:12" x14ac:dyDescent="0.25">
      <c r="A80" s="3" t="s">
        <v>179</v>
      </c>
      <c r="B80" s="6">
        <v>45720</v>
      </c>
      <c r="C80" s="3" t="s">
        <v>36</v>
      </c>
      <c r="D80" s="3" t="s">
        <v>126</v>
      </c>
      <c r="E80" s="3" t="s">
        <v>180</v>
      </c>
      <c r="F80" s="3">
        <v>1</v>
      </c>
      <c r="G80" s="3">
        <v>0</v>
      </c>
      <c r="H80" s="1">
        <f>VLOOKUP(D80,products!A:D,4,FALSE)</f>
        <v>185000</v>
      </c>
      <c r="I80" s="1" t="str">
        <f>VLOOKUP(C80,branches!A:B,2,FALSE)</f>
        <v>Naija Mart Sabon Gari</v>
      </c>
      <c r="J80" s="1">
        <f t="shared" si="2"/>
        <v>185000</v>
      </c>
      <c r="K80" s="1" t="str">
        <f>VLOOKUP(D80,products!A:D,2,FALSE)</f>
        <v>Electronics</v>
      </c>
      <c r="L80" s="1" t="str">
        <f t="shared" si="3"/>
        <v>Mar-2025</v>
      </c>
    </row>
    <row r="81" spans="1:12" x14ac:dyDescent="0.25">
      <c r="A81" s="3" t="s">
        <v>181</v>
      </c>
      <c r="B81" s="6">
        <v>45985</v>
      </c>
      <c r="C81" s="3" t="s">
        <v>16</v>
      </c>
      <c r="D81" s="3" t="s">
        <v>40</v>
      </c>
      <c r="E81" s="3" t="s">
        <v>182</v>
      </c>
      <c r="F81" s="3">
        <v>1</v>
      </c>
      <c r="G81" s="3">
        <v>5</v>
      </c>
      <c r="H81" s="1">
        <f>VLOOKUP(D81,products!A:D,4,FALSE)</f>
        <v>195000</v>
      </c>
      <c r="I81" s="1" t="str">
        <f>VLOOKUP(C81,branches!A:B,2,FALSE)</f>
        <v>Naija Mart Ikeja</v>
      </c>
      <c r="J81" s="1">
        <f t="shared" si="2"/>
        <v>185250</v>
      </c>
      <c r="K81" s="1" t="str">
        <f>VLOOKUP(D81,products!A:D,2,FALSE)</f>
        <v>Generators &amp; Power</v>
      </c>
      <c r="L81" s="1" t="str">
        <f t="shared" si="3"/>
        <v>Nov-2025</v>
      </c>
    </row>
    <row r="82" spans="1:12" x14ac:dyDescent="0.25">
      <c r="A82" s="3" t="s">
        <v>183</v>
      </c>
      <c r="B82" s="6">
        <v>45709</v>
      </c>
      <c r="C82" s="3" t="s">
        <v>8</v>
      </c>
      <c r="D82" s="3" t="s">
        <v>13</v>
      </c>
      <c r="E82" s="3" t="s">
        <v>184</v>
      </c>
      <c r="F82" s="3">
        <v>2</v>
      </c>
      <c r="G82" s="3">
        <v>5</v>
      </c>
      <c r="H82" s="1">
        <f>VLOOKUP(D82,products!A:D,4,FALSE)</f>
        <v>24000</v>
      </c>
      <c r="I82" s="1" t="str">
        <f>VLOOKUP(C82,branches!A:B,2,FALSE)</f>
        <v>Naija Mart GRA</v>
      </c>
      <c r="J82" s="1">
        <f t="shared" si="2"/>
        <v>45600</v>
      </c>
      <c r="K82" s="1" t="str">
        <f>VLOOKUP(D82,products!A:D,2,FALSE)</f>
        <v>Home Appliances</v>
      </c>
      <c r="L82" s="1" t="str">
        <f t="shared" si="3"/>
        <v>Feb-2025</v>
      </c>
    </row>
    <row r="83" spans="1:12" x14ac:dyDescent="0.25">
      <c r="A83" s="3" t="s">
        <v>185</v>
      </c>
      <c r="B83" s="6">
        <v>46012</v>
      </c>
      <c r="C83" s="3" t="s">
        <v>36</v>
      </c>
      <c r="D83" s="3" t="s">
        <v>91</v>
      </c>
      <c r="E83" s="3" t="s">
        <v>186</v>
      </c>
      <c r="F83" s="3">
        <v>1</v>
      </c>
      <c r="G83" s="3">
        <v>0</v>
      </c>
      <c r="H83" s="1">
        <f>VLOOKUP(D83,products!A:D,4,FALSE)</f>
        <v>5200</v>
      </c>
      <c r="I83" s="1" t="str">
        <f>VLOOKUP(C83,branches!A:B,2,FALSE)</f>
        <v>Naija Mart Sabon Gari</v>
      </c>
      <c r="J83" s="1">
        <f t="shared" si="2"/>
        <v>5200</v>
      </c>
      <c r="K83" s="1" t="str">
        <f>VLOOKUP(D83,products!A:D,2,FALSE)</f>
        <v>Small Gadgets</v>
      </c>
      <c r="L83" s="1" t="str">
        <f t="shared" si="3"/>
        <v>Dec-2025</v>
      </c>
    </row>
    <row r="84" spans="1:12" x14ac:dyDescent="0.25">
      <c r="A84" s="3" t="s">
        <v>187</v>
      </c>
      <c r="B84" s="6">
        <v>45750</v>
      </c>
      <c r="C84" s="3" t="s">
        <v>8</v>
      </c>
      <c r="D84" s="3" t="s">
        <v>80</v>
      </c>
      <c r="E84" s="3" t="s">
        <v>136</v>
      </c>
      <c r="F84" s="3">
        <v>1</v>
      </c>
      <c r="G84" s="3">
        <v>5</v>
      </c>
      <c r="H84" s="1">
        <f>VLOOKUP(D84,products!A:D,4,FALSE)</f>
        <v>265000</v>
      </c>
      <c r="I84" s="1" t="str">
        <f>VLOOKUP(C84,branches!A:B,2,FALSE)</f>
        <v>Naija Mart GRA</v>
      </c>
      <c r="J84" s="1">
        <f t="shared" si="2"/>
        <v>251750</v>
      </c>
      <c r="K84" s="1" t="str">
        <f>VLOOKUP(D84,products!A:D,2,FALSE)</f>
        <v>Home Appliances</v>
      </c>
      <c r="L84" s="1" t="str">
        <f t="shared" si="3"/>
        <v>Apr-2025</v>
      </c>
    </row>
    <row r="85" spans="1:12" x14ac:dyDescent="0.25">
      <c r="A85" s="3" t="s">
        <v>188</v>
      </c>
      <c r="B85" s="6">
        <v>45980</v>
      </c>
      <c r="C85" s="3" t="s">
        <v>16</v>
      </c>
      <c r="D85" s="3" t="s">
        <v>91</v>
      </c>
      <c r="E85" s="3" t="s">
        <v>189</v>
      </c>
      <c r="F85" s="3">
        <v>1</v>
      </c>
      <c r="G85" s="3">
        <v>5</v>
      </c>
      <c r="H85" s="1">
        <f>VLOOKUP(D85,products!A:D,4,FALSE)</f>
        <v>5200</v>
      </c>
      <c r="I85" s="1" t="str">
        <f>VLOOKUP(C85,branches!A:B,2,FALSE)</f>
        <v>Naija Mart Ikeja</v>
      </c>
      <c r="J85" s="1">
        <f t="shared" si="2"/>
        <v>4940</v>
      </c>
      <c r="K85" s="1" t="str">
        <f>VLOOKUP(D85,products!A:D,2,FALSE)</f>
        <v>Small Gadgets</v>
      </c>
      <c r="L85" s="1" t="str">
        <f t="shared" si="3"/>
        <v>Nov-2025</v>
      </c>
    </row>
    <row r="86" spans="1:12" x14ac:dyDescent="0.25">
      <c r="A86" s="3" t="s">
        <v>190</v>
      </c>
      <c r="B86" s="6">
        <v>46012</v>
      </c>
      <c r="C86" s="3" t="s">
        <v>8</v>
      </c>
      <c r="D86" s="3" t="s">
        <v>20</v>
      </c>
      <c r="E86" s="3" t="s">
        <v>191</v>
      </c>
      <c r="F86" s="3">
        <v>1</v>
      </c>
      <c r="G86" s="3">
        <v>0</v>
      </c>
      <c r="H86" s="1">
        <f>VLOOKUP(D86,products!A:D,4,FALSE)</f>
        <v>38000</v>
      </c>
      <c r="I86" s="1" t="str">
        <f>VLOOKUP(C86,branches!A:B,2,FALSE)</f>
        <v>Naija Mart GRA</v>
      </c>
      <c r="J86" s="1">
        <f t="shared" si="2"/>
        <v>38000</v>
      </c>
      <c r="K86" s="1" t="str">
        <f>VLOOKUP(D86,products!A:D,2,FALSE)</f>
        <v>Electronics</v>
      </c>
      <c r="L86" s="1" t="str">
        <f t="shared" si="3"/>
        <v>Dec-2025</v>
      </c>
    </row>
    <row r="87" spans="1:12" x14ac:dyDescent="0.25">
      <c r="A87" s="3" t="s">
        <v>192</v>
      </c>
      <c r="B87" s="6">
        <v>45799</v>
      </c>
      <c r="C87" s="3" t="s">
        <v>16</v>
      </c>
      <c r="D87" s="3" t="s">
        <v>46</v>
      </c>
      <c r="E87" s="3" t="s">
        <v>112</v>
      </c>
      <c r="F87" s="3">
        <v>1</v>
      </c>
      <c r="G87" s="3">
        <v>5</v>
      </c>
      <c r="H87" s="1">
        <f>VLOOKUP(D87,products!A:D,4,FALSE)</f>
        <v>62000</v>
      </c>
      <c r="I87" s="1" t="str">
        <f>VLOOKUP(C87,branches!A:B,2,FALSE)</f>
        <v>Naija Mart Ikeja</v>
      </c>
      <c r="J87" s="1">
        <f t="shared" si="2"/>
        <v>58900</v>
      </c>
      <c r="K87" s="1" t="str">
        <f>VLOOKUP(D87,products!A:D,2,FALSE)</f>
        <v>Home Appliances</v>
      </c>
      <c r="L87" s="1" t="str">
        <f t="shared" si="3"/>
        <v>May-2025</v>
      </c>
    </row>
    <row r="88" spans="1:12" x14ac:dyDescent="0.25">
      <c r="A88" s="3" t="s">
        <v>193</v>
      </c>
      <c r="B88" s="6">
        <v>45715</v>
      </c>
      <c r="C88" s="3" t="s">
        <v>16</v>
      </c>
      <c r="D88" s="3" t="s">
        <v>23</v>
      </c>
      <c r="E88" s="3" t="s">
        <v>194</v>
      </c>
      <c r="F88" s="3">
        <v>1</v>
      </c>
      <c r="G88" s="3">
        <v>0</v>
      </c>
      <c r="H88" s="1">
        <f>VLOOKUP(D88,products!A:D,4,FALSE)</f>
        <v>19500</v>
      </c>
      <c r="I88" s="1" t="str">
        <f>VLOOKUP(C88,branches!A:B,2,FALSE)</f>
        <v>Naija Mart Ikeja</v>
      </c>
      <c r="J88" s="1">
        <f t="shared" si="2"/>
        <v>19500</v>
      </c>
      <c r="K88" s="1" t="str">
        <f>VLOOKUP(D88,products!A:D,2,FALSE)</f>
        <v>Home Appliances</v>
      </c>
      <c r="L88" s="1" t="str">
        <f t="shared" si="3"/>
        <v>Feb-2025</v>
      </c>
    </row>
    <row r="89" spans="1:12" x14ac:dyDescent="0.25">
      <c r="A89" s="3" t="s">
        <v>195</v>
      </c>
      <c r="B89" s="6">
        <v>45984</v>
      </c>
      <c r="C89" s="3" t="s">
        <v>16</v>
      </c>
      <c r="D89" s="3" t="s">
        <v>40</v>
      </c>
      <c r="E89" s="3" t="s">
        <v>110</v>
      </c>
      <c r="F89" s="3">
        <v>1</v>
      </c>
      <c r="G89" s="3">
        <v>5</v>
      </c>
      <c r="H89" s="1">
        <f>VLOOKUP(D89,products!A:D,4,FALSE)</f>
        <v>195000</v>
      </c>
      <c r="I89" s="1" t="str">
        <f>VLOOKUP(C89,branches!A:B,2,FALSE)</f>
        <v>Naija Mart Ikeja</v>
      </c>
      <c r="J89" s="1">
        <f t="shared" si="2"/>
        <v>185250</v>
      </c>
      <c r="K89" s="1" t="str">
        <f>VLOOKUP(D89,products!A:D,2,FALSE)</f>
        <v>Generators &amp; Power</v>
      </c>
      <c r="L89" s="1" t="str">
        <f t="shared" si="3"/>
        <v>Nov-2025</v>
      </c>
    </row>
    <row r="90" spans="1:12" x14ac:dyDescent="0.25">
      <c r="A90" s="3" t="s">
        <v>196</v>
      </c>
      <c r="B90" s="6">
        <v>45727</v>
      </c>
      <c r="C90" s="3" t="s">
        <v>16</v>
      </c>
      <c r="D90" s="3" t="s">
        <v>197</v>
      </c>
      <c r="E90" s="3" t="s">
        <v>198</v>
      </c>
      <c r="F90" s="3">
        <v>1</v>
      </c>
      <c r="G90" s="3">
        <v>5</v>
      </c>
      <c r="H90" s="1">
        <f>VLOOKUP(D90,products!A:D,4,FALSE)</f>
        <v>78000</v>
      </c>
      <c r="I90" s="1" t="str">
        <f>VLOOKUP(C90,branches!A:B,2,FALSE)</f>
        <v>Naija Mart Ikeja</v>
      </c>
      <c r="J90" s="1">
        <f t="shared" si="2"/>
        <v>74100</v>
      </c>
      <c r="K90" s="1" t="str">
        <f>VLOOKUP(D90,products!A:D,2,FALSE)</f>
        <v>Electronics</v>
      </c>
      <c r="L90" s="1" t="str">
        <f t="shared" si="3"/>
        <v>Mar-2025</v>
      </c>
    </row>
    <row r="91" spans="1:12" x14ac:dyDescent="0.25">
      <c r="A91" s="3" t="s">
        <v>199</v>
      </c>
      <c r="B91" s="6">
        <v>45969</v>
      </c>
      <c r="C91" s="3" t="s">
        <v>12</v>
      </c>
      <c r="D91" s="3" t="s">
        <v>17</v>
      </c>
      <c r="E91" s="3" t="s">
        <v>200</v>
      </c>
      <c r="F91" s="3">
        <v>1</v>
      </c>
      <c r="G91" s="3">
        <v>0</v>
      </c>
      <c r="H91" s="1">
        <f>VLOOKUP(D91,products!A:D,4,FALSE)</f>
        <v>22000</v>
      </c>
      <c r="I91" s="1" t="str">
        <f>VLOOKUP(C91,branches!A:B,2,FALSE)</f>
        <v>Naija Mart Wuse</v>
      </c>
      <c r="J91" s="1">
        <f t="shared" si="2"/>
        <v>22000</v>
      </c>
      <c r="K91" s="1" t="str">
        <f>VLOOKUP(D91,products!A:D,2,FALSE)</f>
        <v>Home Appliances</v>
      </c>
      <c r="L91" s="1" t="str">
        <f t="shared" si="3"/>
        <v>Nov-2025</v>
      </c>
    </row>
    <row r="92" spans="1:12" x14ac:dyDescent="0.25">
      <c r="A92" s="3" t="s">
        <v>201</v>
      </c>
      <c r="B92" s="6">
        <v>45946</v>
      </c>
      <c r="C92" s="3" t="s">
        <v>12</v>
      </c>
      <c r="D92" s="3" t="s">
        <v>80</v>
      </c>
      <c r="E92" s="3" t="s">
        <v>102</v>
      </c>
      <c r="F92" s="3">
        <v>1</v>
      </c>
      <c r="G92" s="3">
        <v>0</v>
      </c>
      <c r="H92" s="1">
        <f>VLOOKUP(D92,products!A:D,4,FALSE)</f>
        <v>265000</v>
      </c>
      <c r="I92" s="1" t="str">
        <f>VLOOKUP(C92,branches!A:B,2,FALSE)</f>
        <v>Naija Mart Wuse</v>
      </c>
      <c r="J92" s="1">
        <f t="shared" si="2"/>
        <v>265000</v>
      </c>
      <c r="K92" s="1" t="str">
        <f>VLOOKUP(D92,products!A:D,2,FALSE)</f>
        <v>Home Appliances</v>
      </c>
      <c r="L92" s="1" t="str">
        <f t="shared" si="3"/>
        <v>Oct-2025</v>
      </c>
    </row>
    <row r="93" spans="1:12" x14ac:dyDescent="0.25">
      <c r="A93" s="3" t="s">
        <v>202</v>
      </c>
      <c r="B93" s="6">
        <v>45710</v>
      </c>
      <c r="C93" s="3" t="s">
        <v>12</v>
      </c>
      <c r="D93" s="3" t="s">
        <v>64</v>
      </c>
      <c r="E93" s="3" t="s">
        <v>203</v>
      </c>
      <c r="F93" s="3">
        <v>1</v>
      </c>
      <c r="G93" s="3">
        <v>10</v>
      </c>
      <c r="H93" s="1">
        <f>VLOOKUP(D93,products!A:D,4,FALSE)</f>
        <v>175000</v>
      </c>
      <c r="I93" s="1" t="str">
        <f>VLOOKUP(C93,branches!A:B,2,FALSE)</f>
        <v>Naija Mart Wuse</v>
      </c>
      <c r="J93" s="1">
        <f t="shared" si="2"/>
        <v>157500</v>
      </c>
      <c r="K93" s="1" t="str">
        <f>VLOOKUP(D93,products!A:D,2,FALSE)</f>
        <v>Generators &amp; Power</v>
      </c>
      <c r="L93" s="1" t="str">
        <f t="shared" si="3"/>
        <v>Feb-2025</v>
      </c>
    </row>
    <row r="94" spans="1:12" x14ac:dyDescent="0.25">
      <c r="A94" s="3" t="s">
        <v>204</v>
      </c>
      <c r="B94" s="6">
        <v>45730</v>
      </c>
      <c r="C94" s="3" t="s">
        <v>16</v>
      </c>
      <c r="D94" s="3" t="s">
        <v>20</v>
      </c>
      <c r="E94" s="3" t="s">
        <v>205</v>
      </c>
      <c r="F94" s="3">
        <v>5</v>
      </c>
      <c r="G94" s="3">
        <v>0</v>
      </c>
      <c r="H94" s="1">
        <f>VLOOKUP(D94,products!A:D,4,FALSE)</f>
        <v>38000</v>
      </c>
      <c r="I94" s="1" t="str">
        <f>VLOOKUP(C94,branches!A:B,2,FALSE)</f>
        <v>Naija Mart Ikeja</v>
      </c>
      <c r="J94" s="1">
        <f t="shared" si="2"/>
        <v>190000</v>
      </c>
      <c r="K94" s="1" t="str">
        <f>VLOOKUP(D94,products!A:D,2,FALSE)</f>
        <v>Electronics</v>
      </c>
      <c r="L94" s="1" t="str">
        <f t="shared" si="3"/>
        <v>Mar-2025</v>
      </c>
    </row>
    <row r="95" spans="1:12" x14ac:dyDescent="0.25">
      <c r="A95" s="3" t="s">
        <v>206</v>
      </c>
      <c r="B95" s="6">
        <v>45706</v>
      </c>
      <c r="C95" s="3" t="s">
        <v>36</v>
      </c>
      <c r="D95" s="3" t="s">
        <v>9</v>
      </c>
      <c r="E95" s="3" t="s">
        <v>207</v>
      </c>
      <c r="F95" s="3">
        <v>1</v>
      </c>
      <c r="G95" s="3">
        <v>0</v>
      </c>
      <c r="H95" s="1">
        <f>VLOOKUP(D95,products!A:D,4,FALSE)</f>
        <v>410000</v>
      </c>
      <c r="I95" s="1" t="str">
        <f>VLOOKUP(C95,branches!A:B,2,FALSE)</f>
        <v>Naija Mart Sabon Gari</v>
      </c>
      <c r="J95" s="1">
        <f t="shared" si="2"/>
        <v>410000</v>
      </c>
      <c r="K95" s="1" t="str">
        <f>VLOOKUP(D95,products!A:D,2,FALSE)</f>
        <v>Home Appliances</v>
      </c>
      <c r="L95" s="1" t="str">
        <f t="shared" si="3"/>
        <v>Feb-2025</v>
      </c>
    </row>
    <row r="96" spans="1:12" x14ac:dyDescent="0.25">
      <c r="A96" s="3" t="s">
        <v>208</v>
      </c>
      <c r="B96" s="6">
        <v>45786</v>
      </c>
      <c r="C96" s="3" t="s">
        <v>12</v>
      </c>
      <c r="D96" s="3" t="s">
        <v>94</v>
      </c>
      <c r="E96" s="3" t="s">
        <v>209</v>
      </c>
      <c r="F96" s="3">
        <v>5</v>
      </c>
      <c r="G96" s="3">
        <v>25</v>
      </c>
      <c r="H96" s="1">
        <f>VLOOKUP(D96,products!A:D,4,FALSE)</f>
        <v>320000</v>
      </c>
      <c r="I96" s="1" t="str">
        <f>VLOOKUP(C96,branches!A:B,2,FALSE)</f>
        <v>Naija Mart Wuse</v>
      </c>
      <c r="J96" s="1">
        <f t="shared" si="2"/>
        <v>1200000</v>
      </c>
      <c r="K96" s="1" t="str">
        <f>VLOOKUP(D96,products!A:D,2,FALSE)</f>
        <v>Electronics</v>
      </c>
      <c r="L96" s="1" t="str">
        <f t="shared" si="3"/>
        <v>May-2025</v>
      </c>
    </row>
    <row r="97" spans="1:12" x14ac:dyDescent="0.25">
      <c r="A97" s="3" t="s">
        <v>210</v>
      </c>
      <c r="B97" s="6">
        <v>45761</v>
      </c>
      <c r="C97" s="3" t="s">
        <v>12</v>
      </c>
      <c r="D97" s="3" t="s">
        <v>51</v>
      </c>
      <c r="E97" s="3" t="s">
        <v>211</v>
      </c>
      <c r="F97" s="3">
        <v>1</v>
      </c>
      <c r="G97" s="3">
        <v>5</v>
      </c>
      <c r="H97" s="1">
        <f>VLOOKUP(D97,products!A:D,4,FALSE)</f>
        <v>18000</v>
      </c>
      <c r="I97" s="1" t="str">
        <f>VLOOKUP(C97,branches!A:B,2,FALSE)</f>
        <v>Naija Mart Wuse</v>
      </c>
      <c r="J97" s="1">
        <f t="shared" si="2"/>
        <v>17100</v>
      </c>
      <c r="K97" s="1" t="str">
        <f>VLOOKUP(D97,products!A:D,2,FALSE)</f>
        <v>Small Gadgets</v>
      </c>
      <c r="L97" s="1" t="str">
        <f t="shared" si="3"/>
        <v>Apr-2025</v>
      </c>
    </row>
    <row r="98" spans="1:12" x14ac:dyDescent="0.25">
      <c r="A98" s="3" t="s">
        <v>212</v>
      </c>
      <c r="B98" s="6">
        <v>45758</v>
      </c>
      <c r="C98" s="3" t="s">
        <v>8</v>
      </c>
      <c r="D98" s="3" t="s">
        <v>33</v>
      </c>
      <c r="E98" s="3" t="s">
        <v>213</v>
      </c>
      <c r="F98" s="3">
        <v>1</v>
      </c>
      <c r="G98" s="3">
        <v>20</v>
      </c>
      <c r="H98" s="1">
        <f>VLOOKUP(D98,products!A:D,4,FALSE)</f>
        <v>245000</v>
      </c>
      <c r="I98" s="1" t="str">
        <f>VLOOKUP(C98,branches!A:B,2,FALSE)</f>
        <v>Naija Mart GRA</v>
      </c>
      <c r="J98" s="1">
        <f t="shared" si="2"/>
        <v>196000</v>
      </c>
      <c r="K98" s="1" t="str">
        <f>VLOOKUP(D98,products!A:D,2,FALSE)</f>
        <v>Generators &amp; Power</v>
      </c>
      <c r="L98" s="1" t="str">
        <f t="shared" si="3"/>
        <v>Apr-2025</v>
      </c>
    </row>
    <row r="99" spans="1:12" x14ac:dyDescent="0.25">
      <c r="A99" s="3" t="s">
        <v>214</v>
      </c>
      <c r="B99" s="6">
        <v>45789</v>
      </c>
      <c r="C99" s="3" t="s">
        <v>16</v>
      </c>
      <c r="D99" s="3" t="s">
        <v>94</v>
      </c>
      <c r="E99" s="3" t="s">
        <v>215</v>
      </c>
      <c r="F99" s="3">
        <v>2</v>
      </c>
      <c r="G99" s="3">
        <v>15</v>
      </c>
      <c r="H99" s="1">
        <f>VLOOKUP(D99,products!A:D,4,FALSE)</f>
        <v>320000</v>
      </c>
      <c r="I99" s="1" t="str">
        <f>VLOOKUP(C99,branches!A:B,2,FALSE)</f>
        <v>Naija Mart Ikeja</v>
      </c>
      <c r="J99" s="1">
        <f t="shared" si="2"/>
        <v>544000</v>
      </c>
      <c r="K99" s="1" t="str">
        <f>VLOOKUP(D99,products!A:D,2,FALSE)</f>
        <v>Electronics</v>
      </c>
      <c r="L99" s="1" t="str">
        <f t="shared" si="3"/>
        <v>May-2025</v>
      </c>
    </row>
    <row r="100" spans="1:12" x14ac:dyDescent="0.25">
      <c r="A100" s="3" t="s">
        <v>216</v>
      </c>
      <c r="B100" s="6">
        <v>45673</v>
      </c>
      <c r="C100" s="3" t="s">
        <v>12</v>
      </c>
      <c r="D100" s="3" t="s">
        <v>17</v>
      </c>
      <c r="E100" s="3" t="s">
        <v>217</v>
      </c>
      <c r="F100" s="3">
        <v>1</v>
      </c>
      <c r="G100" s="3">
        <v>5</v>
      </c>
      <c r="H100" s="1">
        <f>VLOOKUP(D100,products!A:D,4,FALSE)</f>
        <v>22000</v>
      </c>
      <c r="I100" s="1" t="str">
        <f>VLOOKUP(C100,branches!A:B,2,FALSE)</f>
        <v>Naija Mart Wuse</v>
      </c>
      <c r="J100" s="1">
        <f t="shared" si="2"/>
        <v>20900</v>
      </c>
      <c r="K100" s="1" t="str">
        <f>VLOOKUP(D100,products!A:D,2,FALSE)</f>
        <v>Home Appliances</v>
      </c>
      <c r="L100" s="1" t="str">
        <f t="shared" si="3"/>
        <v>Jan-2025</v>
      </c>
    </row>
    <row r="101" spans="1:12" x14ac:dyDescent="0.25">
      <c r="A101" s="3" t="s">
        <v>218</v>
      </c>
      <c r="B101" s="6">
        <v>45813</v>
      </c>
      <c r="C101" s="3" t="s">
        <v>8</v>
      </c>
      <c r="D101" s="3" t="s">
        <v>97</v>
      </c>
      <c r="E101" s="3" t="s">
        <v>219</v>
      </c>
      <c r="F101" s="3">
        <v>2</v>
      </c>
      <c r="G101" s="3">
        <v>5</v>
      </c>
      <c r="H101" s="1">
        <f>VLOOKUP(D101,products!A:D,4,FALSE)</f>
        <v>21000</v>
      </c>
      <c r="I101" s="1" t="str">
        <f>VLOOKUP(C101,branches!A:B,2,FALSE)</f>
        <v>Naija Mart GRA</v>
      </c>
      <c r="J101" s="1">
        <f t="shared" si="2"/>
        <v>39900</v>
      </c>
      <c r="K101" s="1" t="str">
        <f>VLOOKUP(D101,products!A:D,2,FALSE)</f>
        <v>Small Gadgets</v>
      </c>
      <c r="L101" s="1" t="str">
        <f t="shared" si="3"/>
        <v>Jun-2025</v>
      </c>
    </row>
    <row r="102" spans="1:12" x14ac:dyDescent="0.25">
      <c r="A102" s="3" t="s">
        <v>220</v>
      </c>
      <c r="B102" s="6">
        <v>45672</v>
      </c>
      <c r="C102" s="3" t="s">
        <v>12</v>
      </c>
      <c r="D102" s="3" t="s">
        <v>91</v>
      </c>
      <c r="E102" s="3" t="s">
        <v>180</v>
      </c>
      <c r="F102" s="3">
        <v>1</v>
      </c>
      <c r="G102" s="3">
        <v>0</v>
      </c>
      <c r="H102" s="1">
        <f>VLOOKUP(D102,products!A:D,4,FALSE)</f>
        <v>5200</v>
      </c>
      <c r="I102" s="1" t="str">
        <f>VLOOKUP(C102,branches!A:B,2,FALSE)</f>
        <v>Naija Mart Wuse</v>
      </c>
      <c r="J102" s="1">
        <f t="shared" si="2"/>
        <v>5200</v>
      </c>
      <c r="K102" s="1" t="str">
        <f>VLOOKUP(D102,products!A:D,2,FALSE)</f>
        <v>Small Gadgets</v>
      </c>
      <c r="L102" s="1" t="str">
        <f t="shared" si="3"/>
        <v>Jan-2025</v>
      </c>
    </row>
    <row r="103" spans="1:12" x14ac:dyDescent="0.25">
      <c r="A103" s="3" t="s">
        <v>221</v>
      </c>
      <c r="B103" s="6">
        <v>45983</v>
      </c>
      <c r="C103" s="3" t="s">
        <v>8</v>
      </c>
      <c r="D103" s="3" t="s">
        <v>17</v>
      </c>
      <c r="E103" s="3" t="s">
        <v>92</v>
      </c>
      <c r="F103" s="3">
        <v>1</v>
      </c>
      <c r="G103" s="3">
        <v>10</v>
      </c>
      <c r="H103" s="1">
        <f>VLOOKUP(D103,products!A:D,4,FALSE)</f>
        <v>22000</v>
      </c>
      <c r="I103" s="1" t="str">
        <f>VLOOKUP(C103,branches!A:B,2,FALSE)</f>
        <v>Naija Mart GRA</v>
      </c>
      <c r="J103" s="1">
        <f t="shared" si="2"/>
        <v>19800</v>
      </c>
      <c r="K103" s="1" t="str">
        <f>VLOOKUP(D103,products!A:D,2,FALSE)</f>
        <v>Home Appliances</v>
      </c>
      <c r="L103" s="1" t="str">
        <f t="shared" si="3"/>
        <v>Nov-2025</v>
      </c>
    </row>
    <row r="104" spans="1:12" x14ac:dyDescent="0.25">
      <c r="A104" s="3" t="s">
        <v>222</v>
      </c>
      <c r="B104" s="6">
        <v>45701</v>
      </c>
      <c r="C104" s="3" t="s">
        <v>36</v>
      </c>
      <c r="D104" s="3" t="s">
        <v>43</v>
      </c>
      <c r="E104" s="3" t="s">
        <v>169</v>
      </c>
      <c r="F104" s="3">
        <v>1</v>
      </c>
      <c r="G104" s="3">
        <v>20</v>
      </c>
      <c r="H104" s="1">
        <f>VLOOKUP(D104,products!A:D,4,FALSE)</f>
        <v>74000</v>
      </c>
      <c r="I104" s="1" t="str">
        <f>VLOOKUP(C104,branches!A:B,2,FALSE)</f>
        <v>Naija Mart Sabon Gari</v>
      </c>
      <c r="J104" s="1">
        <f t="shared" si="2"/>
        <v>59200</v>
      </c>
      <c r="K104" s="1" t="str">
        <f>VLOOKUP(D104,products!A:D,2,FALSE)</f>
        <v>Home Appliances</v>
      </c>
      <c r="L104" s="1" t="str">
        <f t="shared" si="3"/>
        <v>Feb-2025</v>
      </c>
    </row>
    <row r="105" spans="1:12" x14ac:dyDescent="0.25">
      <c r="A105" s="3" t="s">
        <v>223</v>
      </c>
      <c r="B105" s="6">
        <v>45890</v>
      </c>
      <c r="C105" s="3" t="s">
        <v>8</v>
      </c>
      <c r="D105" s="3" t="s">
        <v>13</v>
      </c>
      <c r="E105" s="3" t="s">
        <v>224</v>
      </c>
      <c r="F105" s="3">
        <v>1</v>
      </c>
      <c r="G105" s="3">
        <v>0</v>
      </c>
      <c r="H105" s="1">
        <f>VLOOKUP(D105,products!A:D,4,FALSE)</f>
        <v>24000</v>
      </c>
      <c r="I105" s="1" t="str">
        <f>VLOOKUP(C105,branches!A:B,2,FALSE)</f>
        <v>Naija Mart GRA</v>
      </c>
      <c r="J105" s="1">
        <f t="shared" si="2"/>
        <v>24000</v>
      </c>
      <c r="K105" s="1" t="str">
        <f>VLOOKUP(D105,products!A:D,2,FALSE)</f>
        <v>Home Appliances</v>
      </c>
      <c r="L105" s="1" t="str">
        <f t="shared" si="3"/>
        <v>Aug-2025</v>
      </c>
    </row>
    <row r="106" spans="1:12" x14ac:dyDescent="0.25">
      <c r="A106" s="3" t="s">
        <v>225</v>
      </c>
      <c r="B106" s="6">
        <v>45927</v>
      </c>
      <c r="C106" s="3" t="s">
        <v>8</v>
      </c>
      <c r="D106" s="3" t="s">
        <v>59</v>
      </c>
      <c r="E106" s="3" t="s">
        <v>226</v>
      </c>
      <c r="F106" s="3">
        <v>1</v>
      </c>
      <c r="G106" s="3">
        <v>15</v>
      </c>
      <c r="H106" s="1">
        <f>VLOOKUP(D106,products!A:D,4,FALSE)</f>
        <v>15000</v>
      </c>
      <c r="I106" s="1" t="str">
        <f>VLOOKUP(C106,branches!A:B,2,FALSE)</f>
        <v>Naija Mart GRA</v>
      </c>
      <c r="J106" s="1">
        <f t="shared" si="2"/>
        <v>12750</v>
      </c>
      <c r="K106" s="1" t="str">
        <f>VLOOKUP(D106,products!A:D,2,FALSE)</f>
        <v>Home Appliances</v>
      </c>
      <c r="L106" s="1" t="str">
        <f t="shared" si="3"/>
        <v>Sep-2025</v>
      </c>
    </row>
    <row r="107" spans="1:12" x14ac:dyDescent="0.25">
      <c r="A107" s="3" t="s">
        <v>227</v>
      </c>
      <c r="B107" s="6">
        <v>45758</v>
      </c>
      <c r="C107" s="3" t="s">
        <v>12</v>
      </c>
      <c r="D107" s="3" t="s">
        <v>26</v>
      </c>
      <c r="E107" s="3" t="s">
        <v>228</v>
      </c>
      <c r="F107" s="3">
        <v>2</v>
      </c>
      <c r="G107" s="3">
        <v>5</v>
      </c>
      <c r="H107" s="1">
        <f>VLOOKUP(D107,products!A:D,4,FALSE)</f>
        <v>145000</v>
      </c>
      <c r="I107" s="1" t="str">
        <f>VLOOKUP(C107,branches!A:B,2,FALSE)</f>
        <v>Naija Mart Wuse</v>
      </c>
      <c r="J107" s="1">
        <f t="shared" si="2"/>
        <v>275500</v>
      </c>
      <c r="K107" s="1" t="str">
        <f>VLOOKUP(D107,products!A:D,2,FALSE)</f>
        <v>Electronics</v>
      </c>
      <c r="L107" s="1" t="str">
        <f t="shared" si="3"/>
        <v>Apr-2025</v>
      </c>
    </row>
    <row r="108" spans="1:12" x14ac:dyDescent="0.25">
      <c r="A108" s="3" t="s">
        <v>229</v>
      </c>
      <c r="B108" s="6">
        <v>46019</v>
      </c>
      <c r="C108" s="3" t="s">
        <v>12</v>
      </c>
      <c r="D108" s="3" t="s">
        <v>149</v>
      </c>
      <c r="E108" s="3" t="s">
        <v>230</v>
      </c>
      <c r="F108" s="3">
        <v>1</v>
      </c>
      <c r="G108" s="3">
        <v>0</v>
      </c>
      <c r="H108" s="1">
        <f>VLOOKUP(D108,products!A:D,4,FALSE)</f>
        <v>6500</v>
      </c>
      <c r="I108" s="1" t="str">
        <f>VLOOKUP(C108,branches!A:B,2,FALSE)</f>
        <v>Naija Mart Wuse</v>
      </c>
      <c r="J108" s="1">
        <f t="shared" si="2"/>
        <v>6500</v>
      </c>
      <c r="K108" s="1" t="str">
        <f>VLOOKUP(D108,products!A:D,2,FALSE)</f>
        <v>Small Gadgets</v>
      </c>
      <c r="L108" s="1" t="str">
        <f t="shared" si="3"/>
        <v>Dec-2025</v>
      </c>
    </row>
    <row r="109" spans="1:12" x14ac:dyDescent="0.25">
      <c r="A109" s="3" t="s">
        <v>231</v>
      </c>
      <c r="B109" s="6">
        <v>45933</v>
      </c>
      <c r="C109" s="3" t="s">
        <v>12</v>
      </c>
      <c r="D109" s="3" t="s">
        <v>26</v>
      </c>
      <c r="E109" s="3" t="s">
        <v>52</v>
      </c>
      <c r="F109" s="3">
        <v>1</v>
      </c>
      <c r="G109" s="3">
        <v>10</v>
      </c>
      <c r="H109" s="1">
        <f>VLOOKUP(D109,products!A:D,4,FALSE)</f>
        <v>145000</v>
      </c>
      <c r="I109" s="1" t="str">
        <f>VLOOKUP(C109,branches!A:B,2,FALSE)</f>
        <v>Naija Mart Wuse</v>
      </c>
      <c r="J109" s="1">
        <f t="shared" si="2"/>
        <v>130500</v>
      </c>
      <c r="K109" s="1" t="str">
        <f>VLOOKUP(D109,products!A:D,2,FALSE)</f>
        <v>Electronics</v>
      </c>
      <c r="L109" s="1" t="str">
        <f t="shared" si="3"/>
        <v>Oct-2025</v>
      </c>
    </row>
    <row r="110" spans="1:12" x14ac:dyDescent="0.25">
      <c r="A110" s="3" t="s">
        <v>232</v>
      </c>
      <c r="B110" s="6">
        <v>45761</v>
      </c>
      <c r="C110" s="3" t="s">
        <v>12</v>
      </c>
      <c r="D110" s="3" t="s">
        <v>13</v>
      </c>
      <c r="E110" s="3" t="s">
        <v>203</v>
      </c>
      <c r="F110" s="3">
        <v>1</v>
      </c>
      <c r="G110" s="3">
        <v>0</v>
      </c>
      <c r="H110" s="1">
        <f>VLOOKUP(D110,products!A:D,4,FALSE)</f>
        <v>24000</v>
      </c>
      <c r="I110" s="1" t="str">
        <f>VLOOKUP(C110,branches!A:B,2,FALSE)</f>
        <v>Naija Mart Wuse</v>
      </c>
      <c r="J110" s="1">
        <f t="shared" si="2"/>
        <v>24000</v>
      </c>
      <c r="K110" s="1" t="str">
        <f>VLOOKUP(D110,products!A:D,2,FALSE)</f>
        <v>Home Appliances</v>
      </c>
      <c r="L110" s="1" t="str">
        <f t="shared" si="3"/>
        <v>Apr-2025</v>
      </c>
    </row>
    <row r="111" spans="1:12" x14ac:dyDescent="0.25">
      <c r="A111" s="3" t="s">
        <v>233</v>
      </c>
      <c r="B111" s="6">
        <v>46013</v>
      </c>
      <c r="C111" s="3" t="s">
        <v>8</v>
      </c>
      <c r="D111" s="3" t="s">
        <v>69</v>
      </c>
      <c r="E111" s="3" t="s">
        <v>234</v>
      </c>
      <c r="F111" s="3">
        <v>1</v>
      </c>
      <c r="G111" s="3">
        <v>0</v>
      </c>
      <c r="H111" s="1">
        <f>VLOOKUP(D111,products!A:D,4,FALSE)</f>
        <v>45000</v>
      </c>
      <c r="I111" s="1" t="str">
        <f>VLOOKUP(C111,branches!A:B,2,FALSE)</f>
        <v>Naija Mart GRA</v>
      </c>
      <c r="J111" s="1">
        <f t="shared" si="2"/>
        <v>45000</v>
      </c>
      <c r="K111" s="1" t="str">
        <f>VLOOKUP(D111,products!A:D,2,FALSE)</f>
        <v>Electronics</v>
      </c>
      <c r="L111" s="1" t="str">
        <f t="shared" si="3"/>
        <v>Dec-2025</v>
      </c>
    </row>
    <row r="112" spans="1:12" x14ac:dyDescent="0.25">
      <c r="A112" s="3" t="s">
        <v>235</v>
      </c>
      <c r="B112" s="6">
        <v>45974</v>
      </c>
      <c r="C112" s="3" t="s">
        <v>16</v>
      </c>
      <c r="D112" s="3" t="s">
        <v>69</v>
      </c>
      <c r="E112" s="3" t="s">
        <v>60</v>
      </c>
      <c r="F112" s="3">
        <v>3</v>
      </c>
      <c r="G112" s="3">
        <v>15</v>
      </c>
      <c r="H112" s="1">
        <f>VLOOKUP(D112,products!A:D,4,FALSE)</f>
        <v>45000</v>
      </c>
      <c r="I112" s="1" t="str">
        <f>VLOOKUP(C112,branches!A:B,2,FALSE)</f>
        <v>Naija Mart Ikeja</v>
      </c>
      <c r="J112" s="1">
        <f t="shared" si="2"/>
        <v>114750</v>
      </c>
      <c r="K112" s="1" t="str">
        <f>VLOOKUP(D112,products!A:D,2,FALSE)</f>
        <v>Electronics</v>
      </c>
      <c r="L112" s="1" t="str">
        <f t="shared" si="3"/>
        <v>Nov-2025</v>
      </c>
    </row>
    <row r="113" spans="1:12" x14ac:dyDescent="0.25">
      <c r="A113" s="3" t="s">
        <v>236</v>
      </c>
      <c r="B113" s="6">
        <v>45893</v>
      </c>
      <c r="C113" s="3" t="s">
        <v>8</v>
      </c>
      <c r="D113" s="3" t="s">
        <v>69</v>
      </c>
      <c r="E113" s="3" t="s">
        <v>129</v>
      </c>
      <c r="F113" s="3">
        <v>1</v>
      </c>
      <c r="G113" s="3">
        <v>0</v>
      </c>
      <c r="H113" s="1">
        <f>VLOOKUP(D113,products!A:D,4,FALSE)</f>
        <v>45000</v>
      </c>
      <c r="I113" s="1" t="str">
        <f>VLOOKUP(C113,branches!A:B,2,FALSE)</f>
        <v>Naija Mart GRA</v>
      </c>
      <c r="J113" s="1">
        <f t="shared" si="2"/>
        <v>45000</v>
      </c>
      <c r="K113" s="1" t="str">
        <f>VLOOKUP(D113,products!A:D,2,FALSE)</f>
        <v>Electronics</v>
      </c>
      <c r="L113" s="1" t="str">
        <f t="shared" si="3"/>
        <v>Aug-2025</v>
      </c>
    </row>
    <row r="114" spans="1:12" x14ac:dyDescent="0.25">
      <c r="A114" s="3" t="s">
        <v>237</v>
      </c>
      <c r="B114" s="6">
        <v>45917</v>
      </c>
      <c r="C114" s="3" t="s">
        <v>12</v>
      </c>
      <c r="D114" s="3" t="s">
        <v>59</v>
      </c>
      <c r="E114" s="3" t="s">
        <v>238</v>
      </c>
      <c r="F114" s="3">
        <v>2</v>
      </c>
      <c r="G114" s="3">
        <v>0</v>
      </c>
      <c r="H114" s="1">
        <f>VLOOKUP(D114,products!A:D,4,FALSE)</f>
        <v>15000</v>
      </c>
      <c r="I114" s="1" t="str">
        <f>VLOOKUP(C114,branches!A:B,2,FALSE)</f>
        <v>Naija Mart Wuse</v>
      </c>
      <c r="J114" s="1">
        <f t="shared" si="2"/>
        <v>30000</v>
      </c>
      <c r="K114" s="1" t="str">
        <f>VLOOKUP(D114,products!A:D,2,FALSE)</f>
        <v>Home Appliances</v>
      </c>
      <c r="L114" s="1" t="str">
        <f t="shared" si="3"/>
        <v>Sep-2025</v>
      </c>
    </row>
    <row r="115" spans="1:12" x14ac:dyDescent="0.25">
      <c r="A115" s="3" t="s">
        <v>239</v>
      </c>
      <c r="B115" s="6">
        <v>45741</v>
      </c>
      <c r="C115" s="3" t="s">
        <v>16</v>
      </c>
      <c r="D115" s="3" t="s">
        <v>13</v>
      </c>
      <c r="E115" s="3" t="s">
        <v>240</v>
      </c>
      <c r="F115" s="3">
        <v>1</v>
      </c>
      <c r="G115" s="3">
        <v>5</v>
      </c>
      <c r="H115" s="1">
        <f>VLOOKUP(D115,products!A:D,4,FALSE)</f>
        <v>24000</v>
      </c>
      <c r="I115" s="1" t="str">
        <f>VLOOKUP(C115,branches!A:B,2,FALSE)</f>
        <v>Naija Mart Ikeja</v>
      </c>
      <c r="J115" s="1">
        <f t="shared" si="2"/>
        <v>22800</v>
      </c>
      <c r="K115" s="1" t="str">
        <f>VLOOKUP(D115,products!A:D,2,FALSE)</f>
        <v>Home Appliances</v>
      </c>
      <c r="L115" s="1" t="str">
        <f t="shared" si="3"/>
        <v>Mar-2025</v>
      </c>
    </row>
    <row r="116" spans="1:12" x14ac:dyDescent="0.25">
      <c r="A116" s="3" t="s">
        <v>241</v>
      </c>
      <c r="B116" s="6">
        <v>45970</v>
      </c>
      <c r="C116" s="3" t="s">
        <v>8</v>
      </c>
      <c r="D116" s="3" t="s">
        <v>94</v>
      </c>
      <c r="E116" s="3" t="s">
        <v>150</v>
      </c>
      <c r="F116" s="3">
        <v>1</v>
      </c>
      <c r="G116" s="3">
        <v>10</v>
      </c>
      <c r="H116" s="1">
        <f>VLOOKUP(D116,products!A:D,4,FALSE)</f>
        <v>320000</v>
      </c>
      <c r="I116" s="1" t="str">
        <f>VLOOKUP(C116,branches!A:B,2,FALSE)</f>
        <v>Naija Mart GRA</v>
      </c>
      <c r="J116" s="1">
        <f t="shared" si="2"/>
        <v>288000</v>
      </c>
      <c r="K116" s="1" t="str">
        <f>VLOOKUP(D116,products!A:D,2,FALSE)</f>
        <v>Electronics</v>
      </c>
      <c r="L116" s="1" t="str">
        <f t="shared" si="3"/>
        <v>Nov-2025</v>
      </c>
    </row>
    <row r="117" spans="1:12" x14ac:dyDescent="0.25">
      <c r="A117" s="3" t="s">
        <v>242</v>
      </c>
      <c r="B117" s="6">
        <v>45796</v>
      </c>
      <c r="C117" s="3" t="s">
        <v>12</v>
      </c>
      <c r="D117" s="3" t="s">
        <v>20</v>
      </c>
      <c r="E117" s="3" t="s">
        <v>243</v>
      </c>
      <c r="F117" s="3">
        <v>1</v>
      </c>
      <c r="G117" s="3">
        <v>0</v>
      </c>
      <c r="H117" s="1">
        <f>VLOOKUP(D117,products!A:D,4,FALSE)</f>
        <v>38000</v>
      </c>
      <c r="I117" s="1" t="str">
        <f>VLOOKUP(C117,branches!A:B,2,FALSE)</f>
        <v>Naija Mart Wuse</v>
      </c>
      <c r="J117" s="1">
        <f t="shared" si="2"/>
        <v>38000</v>
      </c>
      <c r="K117" s="1" t="str">
        <f>VLOOKUP(D117,products!A:D,2,FALSE)</f>
        <v>Electronics</v>
      </c>
      <c r="L117" s="1" t="str">
        <f t="shared" si="3"/>
        <v>May-2025</v>
      </c>
    </row>
    <row r="118" spans="1:12" x14ac:dyDescent="0.25">
      <c r="A118" s="3" t="s">
        <v>244</v>
      </c>
      <c r="B118" s="6">
        <v>45947</v>
      </c>
      <c r="C118" s="3" t="s">
        <v>36</v>
      </c>
      <c r="D118" s="3" t="s">
        <v>149</v>
      </c>
      <c r="E118" s="3" t="s">
        <v>245</v>
      </c>
      <c r="F118" s="3">
        <v>1</v>
      </c>
      <c r="G118" s="3">
        <v>0</v>
      </c>
      <c r="H118" s="1">
        <f>VLOOKUP(D118,products!A:D,4,FALSE)</f>
        <v>6500</v>
      </c>
      <c r="I118" s="1" t="str">
        <f>VLOOKUP(C118,branches!A:B,2,FALSE)</f>
        <v>Naija Mart Sabon Gari</v>
      </c>
      <c r="J118" s="1">
        <f t="shared" si="2"/>
        <v>6500</v>
      </c>
      <c r="K118" s="1" t="str">
        <f>VLOOKUP(D118,products!A:D,2,FALSE)</f>
        <v>Small Gadgets</v>
      </c>
      <c r="L118" s="1" t="str">
        <f t="shared" si="3"/>
        <v>Oct-2025</v>
      </c>
    </row>
    <row r="119" spans="1:12" x14ac:dyDescent="0.25">
      <c r="A119" s="3" t="s">
        <v>246</v>
      </c>
      <c r="B119" s="6">
        <v>45735</v>
      </c>
      <c r="C119" s="3" t="s">
        <v>16</v>
      </c>
      <c r="D119" s="3" t="s">
        <v>17</v>
      </c>
      <c r="E119" s="3" t="s">
        <v>138</v>
      </c>
      <c r="F119" s="3">
        <v>1</v>
      </c>
      <c r="G119" s="3">
        <v>0</v>
      </c>
      <c r="H119" s="1">
        <f>VLOOKUP(D119,products!A:D,4,FALSE)</f>
        <v>22000</v>
      </c>
      <c r="I119" s="1" t="str">
        <f>VLOOKUP(C119,branches!A:B,2,FALSE)</f>
        <v>Naija Mart Ikeja</v>
      </c>
      <c r="J119" s="1">
        <f t="shared" si="2"/>
        <v>22000</v>
      </c>
      <c r="K119" s="1" t="str">
        <f>VLOOKUP(D119,products!A:D,2,FALSE)</f>
        <v>Home Appliances</v>
      </c>
      <c r="L119" s="1" t="str">
        <f t="shared" si="3"/>
        <v>Mar-2025</v>
      </c>
    </row>
    <row r="120" spans="1:12" x14ac:dyDescent="0.25">
      <c r="A120" s="3" t="s">
        <v>247</v>
      </c>
      <c r="B120" s="6">
        <v>45783</v>
      </c>
      <c r="C120" s="3" t="s">
        <v>16</v>
      </c>
      <c r="D120" s="3" t="s">
        <v>51</v>
      </c>
      <c r="E120" s="3" t="s">
        <v>41</v>
      </c>
      <c r="F120" s="3">
        <v>1</v>
      </c>
      <c r="G120" s="3">
        <v>5</v>
      </c>
      <c r="H120" s="1">
        <f>VLOOKUP(D120,products!A:D,4,FALSE)</f>
        <v>18000</v>
      </c>
      <c r="I120" s="1" t="str">
        <f>VLOOKUP(C120,branches!A:B,2,FALSE)</f>
        <v>Naija Mart Ikeja</v>
      </c>
      <c r="J120" s="1">
        <f t="shared" si="2"/>
        <v>17100</v>
      </c>
      <c r="K120" s="1" t="str">
        <f>VLOOKUP(D120,products!A:D,2,FALSE)</f>
        <v>Small Gadgets</v>
      </c>
      <c r="L120" s="1" t="str">
        <f t="shared" si="3"/>
        <v>May-2025</v>
      </c>
    </row>
    <row r="121" spans="1:12" x14ac:dyDescent="0.25">
      <c r="A121" s="3" t="s">
        <v>248</v>
      </c>
      <c r="B121" s="6">
        <v>45699</v>
      </c>
      <c r="C121" s="3" t="s">
        <v>12</v>
      </c>
      <c r="D121" s="3" t="s">
        <v>59</v>
      </c>
      <c r="E121" s="3" t="s">
        <v>157</v>
      </c>
      <c r="F121" s="3">
        <v>1</v>
      </c>
      <c r="G121" s="3">
        <v>10</v>
      </c>
      <c r="H121" s="1">
        <f>VLOOKUP(D121,products!A:D,4,FALSE)</f>
        <v>15000</v>
      </c>
      <c r="I121" s="1" t="str">
        <f>VLOOKUP(C121,branches!A:B,2,FALSE)</f>
        <v>Naija Mart Wuse</v>
      </c>
      <c r="J121" s="1">
        <f t="shared" si="2"/>
        <v>13500</v>
      </c>
      <c r="K121" s="1" t="str">
        <f>VLOOKUP(D121,products!A:D,2,FALSE)</f>
        <v>Home Appliances</v>
      </c>
      <c r="L121" s="1" t="str">
        <f t="shared" si="3"/>
        <v>Feb-2025</v>
      </c>
    </row>
    <row r="122" spans="1:12" x14ac:dyDescent="0.25">
      <c r="A122" s="3" t="s">
        <v>249</v>
      </c>
      <c r="B122" s="6">
        <v>45952</v>
      </c>
      <c r="C122" s="3" t="s">
        <v>16</v>
      </c>
      <c r="D122" s="3" t="s">
        <v>80</v>
      </c>
      <c r="E122" s="3" t="s">
        <v>250</v>
      </c>
      <c r="F122" s="3">
        <v>1</v>
      </c>
      <c r="G122" s="3">
        <v>0</v>
      </c>
      <c r="H122" s="1">
        <f>VLOOKUP(D122,products!A:D,4,FALSE)</f>
        <v>265000</v>
      </c>
      <c r="I122" s="1" t="str">
        <f>VLOOKUP(C122,branches!A:B,2,FALSE)</f>
        <v>Naija Mart Ikeja</v>
      </c>
      <c r="J122" s="1">
        <f t="shared" si="2"/>
        <v>265000</v>
      </c>
      <c r="K122" s="1" t="str">
        <f>VLOOKUP(D122,products!A:D,2,FALSE)</f>
        <v>Home Appliances</v>
      </c>
      <c r="L122" s="1" t="str">
        <f t="shared" si="3"/>
        <v>Oct-2025</v>
      </c>
    </row>
    <row r="123" spans="1:12" x14ac:dyDescent="0.25">
      <c r="A123" s="3" t="s">
        <v>251</v>
      </c>
      <c r="B123" s="6">
        <v>45709</v>
      </c>
      <c r="C123" s="3" t="s">
        <v>16</v>
      </c>
      <c r="D123" s="3" t="s">
        <v>9</v>
      </c>
      <c r="E123" s="3" t="s">
        <v>104</v>
      </c>
      <c r="F123" s="3">
        <v>2</v>
      </c>
      <c r="G123" s="3">
        <v>0</v>
      </c>
      <c r="H123" s="1">
        <f>VLOOKUP(D123,products!A:D,4,FALSE)</f>
        <v>410000</v>
      </c>
      <c r="I123" s="1" t="str">
        <f>VLOOKUP(C123,branches!A:B,2,FALSE)</f>
        <v>Naija Mart Ikeja</v>
      </c>
      <c r="J123" s="1">
        <f t="shared" si="2"/>
        <v>820000</v>
      </c>
      <c r="K123" s="1" t="str">
        <f>VLOOKUP(D123,products!A:D,2,FALSE)</f>
        <v>Home Appliances</v>
      </c>
      <c r="L123" s="1" t="str">
        <f t="shared" si="3"/>
        <v>Feb-2025</v>
      </c>
    </row>
    <row r="124" spans="1:12" x14ac:dyDescent="0.25">
      <c r="A124" s="3" t="s">
        <v>252</v>
      </c>
      <c r="B124" s="6">
        <v>45927</v>
      </c>
      <c r="C124" s="3" t="s">
        <v>16</v>
      </c>
      <c r="D124" s="3" t="s">
        <v>20</v>
      </c>
      <c r="E124" s="3" t="s">
        <v>253</v>
      </c>
      <c r="F124" s="3">
        <v>2</v>
      </c>
      <c r="G124" s="3">
        <v>0</v>
      </c>
      <c r="H124" s="1">
        <f>VLOOKUP(D124,products!A:D,4,FALSE)</f>
        <v>38000</v>
      </c>
      <c r="I124" s="1" t="str">
        <f>VLOOKUP(C124,branches!A:B,2,FALSE)</f>
        <v>Naija Mart Ikeja</v>
      </c>
      <c r="J124" s="1">
        <f t="shared" si="2"/>
        <v>76000</v>
      </c>
      <c r="K124" s="1" t="str">
        <f>VLOOKUP(D124,products!A:D,2,FALSE)</f>
        <v>Electronics</v>
      </c>
      <c r="L124" s="1" t="str">
        <f t="shared" si="3"/>
        <v>Sep-2025</v>
      </c>
    </row>
    <row r="125" spans="1:12" x14ac:dyDescent="0.25">
      <c r="A125" s="3" t="s">
        <v>254</v>
      </c>
      <c r="B125" s="6">
        <v>45980</v>
      </c>
      <c r="C125" s="3" t="s">
        <v>12</v>
      </c>
      <c r="D125" s="3" t="s">
        <v>64</v>
      </c>
      <c r="E125" s="3" t="s">
        <v>138</v>
      </c>
      <c r="F125" s="3">
        <v>5</v>
      </c>
      <c r="G125" s="3">
        <v>5</v>
      </c>
      <c r="H125" s="1">
        <f>VLOOKUP(D125,products!A:D,4,FALSE)</f>
        <v>175000</v>
      </c>
      <c r="I125" s="1" t="str">
        <f>VLOOKUP(C125,branches!A:B,2,FALSE)</f>
        <v>Naija Mart Wuse</v>
      </c>
      <c r="J125" s="1">
        <f t="shared" si="2"/>
        <v>831250</v>
      </c>
      <c r="K125" s="1" t="str">
        <f>VLOOKUP(D125,products!A:D,2,FALSE)</f>
        <v>Generators &amp; Power</v>
      </c>
      <c r="L125" s="1" t="str">
        <f t="shared" si="3"/>
        <v>Nov-2025</v>
      </c>
    </row>
    <row r="126" spans="1:12" x14ac:dyDescent="0.25">
      <c r="A126" s="3" t="s">
        <v>255</v>
      </c>
      <c r="B126" s="6">
        <v>46003</v>
      </c>
      <c r="C126" s="3" t="s">
        <v>16</v>
      </c>
      <c r="D126" s="3" t="s">
        <v>46</v>
      </c>
      <c r="E126" s="3" t="s">
        <v>256</v>
      </c>
      <c r="F126" s="3">
        <v>2</v>
      </c>
      <c r="G126" s="3">
        <v>10</v>
      </c>
      <c r="H126" s="1">
        <f>VLOOKUP(D126,products!A:D,4,FALSE)</f>
        <v>62000</v>
      </c>
      <c r="I126" s="1" t="str">
        <f>VLOOKUP(C126,branches!A:B,2,FALSE)</f>
        <v>Naija Mart Ikeja</v>
      </c>
      <c r="J126" s="1">
        <f t="shared" si="2"/>
        <v>111600</v>
      </c>
      <c r="K126" s="1" t="str">
        <f>VLOOKUP(D126,products!A:D,2,FALSE)</f>
        <v>Home Appliances</v>
      </c>
      <c r="L126" s="1" t="str">
        <f t="shared" si="3"/>
        <v>Dec-2025</v>
      </c>
    </row>
    <row r="127" spans="1:12" x14ac:dyDescent="0.25">
      <c r="A127" s="3" t="s">
        <v>257</v>
      </c>
      <c r="B127" s="6">
        <v>45795</v>
      </c>
      <c r="C127" s="3" t="s">
        <v>12</v>
      </c>
      <c r="D127" s="3" t="s">
        <v>258</v>
      </c>
      <c r="E127" s="3" t="s">
        <v>118</v>
      </c>
      <c r="F127" s="3">
        <v>3</v>
      </c>
      <c r="G127" s="3">
        <v>10</v>
      </c>
      <c r="H127" s="1">
        <f>VLOOKUP(D127,products!A:D,4,FALSE)</f>
        <v>95000</v>
      </c>
      <c r="I127" s="1" t="str">
        <f>VLOOKUP(C127,branches!A:B,2,FALSE)</f>
        <v>Naija Mart Wuse</v>
      </c>
      <c r="J127" s="1">
        <f t="shared" si="2"/>
        <v>256500</v>
      </c>
      <c r="K127" s="1" t="str">
        <f>VLOOKUP(D127,products!A:D,2,FALSE)</f>
        <v>Electronics</v>
      </c>
      <c r="L127" s="1" t="str">
        <f t="shared" si="3"/>
        <v>May-2025</v>
      </c>
    </row>
    <row r="128" spans="1:12" x14ac:dyDescent="0.25">
      <c r="A128" s="3" t="s">
        <v>259</v>
      </c>
      <c r="B128" s="6">
        <v>46015</v>
      </c>
      <c r="C128" s="3" t="s">
        <v>8</v>
      </c>
      <c r="D128" s="3" t="s">
        <v>126</v>
      </c>
      <c r="E128" s="3" t="s">
        <v>207</v>
      </c>
      <c r="F128" s="3">
        <v>2</v>
      </c>
      <c r="G128" s="3">
        <v>5</v>
      </c>
      <c r="H128" s="1">
        <f>VLOOKUP(D128,products!A:D,4,FALSE)</f>
        <v>185000</v>
      </c>
      <c r="I128" s="1" t="str">
        <f>VLOOKUP(C128,branches!A:B,2,FALSE)</f>
        <v>Naija Mart GRA</v>
      </c>
      <c r="J128" s="1">
        <f t="shared" si="2"/>
        <v>351500</v>
      </c>
      <c r="K128" s="1" t="str">
        <f>VLOOKUP(D128,products!A:D,2,FALSE)</f>
        <v>Electronics</v>
      </c>
      <c r="L128" s="1" t="str">
        <f t="shared" si="3"/>
        <v>Dec-2025</v>
      </c>
    </row>
    <row r="129" spans="1:12" x14ac:dyDescent="0.25">
      <c r="A129" s="3" t="s">
        <v>260</v>
      </c>
      <c r="B129" s="6">
        <v>45731</v>
      </c>
      <c r="C129" s="3" t="s">
        <v>16</v>
      </c>
      <c r="D129" s="3" t="s">
        <v>40</v>
      </c>
      <c r="E129" s="3" t="s">
        <v>261</v>
      </c>
      <c r="F129" s="3">
        <v>1</v>
      </c>
      <c r="G129" s="3">
        <v>0</v>
      </c>
      <c r="H129" s="1">
        <f>VLOOKUP(D129,products!A:D,4,FALSE)</f>
        <v>195000</v>
      </c>
      <c r="I129" s="1" t="str">
        <f>VLOOKUP(C129,branches!A:B,2,FALSE)</f>
        <v>Naija Mart Ikeja</v>
      </c>
      <c r="J129" s="1">
        <f t="shared" si="2"/>
        <v>195000</v>
      </c>
      <c r="K129" s="1" t="str">
        <f>VLOOKUP(D129,products!A:D,2,FALSE)</f>
        <v>Generators &amp; Power</v>
      </c>
      <c r="L129" s="1" t="str">
        <f t="shared" si="3"/>
        <v>Mar-2025</v>
      </c>
    </row>
    <row r="130" spans="1:12" x14ac:dyDescent="0.25">
      <c r="A130" s="3" t="s">
        <v>262</v>
      </c>
      <c r="B130" s="6">
        <v>45693</v>
      </c>
      <c r="C130" s="3" t="s">
        <v>8</v>
      </c>
      <c r="D130" s="3" t="s">
        <v>258</v>
      </c>
      <c r="E130" s="3" t="s">
        <v>263</v>
      </c>
      <c r="F130" s="3">
        <v>1</v>
      </c>
      <c r="G130" s="3">
        <v>0</v>
      </c>
      <c r="H130" s="1">
        <f>VLOOKUP(D130,products!A:D,4,FALSE)</f>
        <v>95000</v>
      </c>
      <c r="I130" s="1" t="str">
        <f>VLOOKUP(C130,branches!A:B,2,FALSE)</f>
        <v>Naija Mart GRA</v>
      </c>
      <c r="J130" s="1">
        <f t="shared" si="2"/>
        <v>95000</v>
      </c>
      <c r="K130" s="1" t="str">
        <f>VLOOKUP(D130,products!A:D,2,FALSE)</f>
        <v>Electronics</v>
      </c>
      <c r="L130" s="1" t="str">
        <f t="shared" si="3"/>
        <v>Feb-2025</v>
      </c>
    </row>
    <row r="131" spans="1:12" x14ac:dyDescent="0.25">
      <c r="A131" s="3" t="s">
        <v>264</v>
      </c>
      <c r="B131" s="6">
        <v>46019</v>
      </c>
      <c r="C131" s="3" t="s">
        <v>36</v>
      </c>
      <c r="D131" s="3" t="s">
        <v>126</v>
      </c>
      <c r="E131" s="3" t="s">
        <v>265</v>
      </c>
      <c r="F131" s="3">
        <v>2</v>
      </c>
      <c r="G131" s="3">
        <v>15</v>
      </c>
      <c r="H131" s="1">
        <f>VLOOKUP(D131,products!A:D,4,FALSE)</f>
        <v>185000</v>
      </c>
      <c r="I131" s="1" t="str">
        <f>VLOOKUP(C131,branches!A:B,2,FALSE)</f>
        <v>Naija Mart Sabon Gari</v>
      </c>
      <c r="J131" s="1">
        <f t="shared" ref="J131:J194" si="4">F131*H131*(1-G131/100)</f>
        <v>314500</v>
      </c>
      <c r="K131" s="1" t="str">
        <f>VLOOKUP(D131,products!A:D,2,FALSE)</f>
        <v>Electronics</v>
      </c>
      <c r="L131" s="1" t="str">
        <f t="shared" ref="L131:L194" si="5">TEXT(B131,"mmm-yyyy")</f>
        <v>Dec-2025</v>
      </c>
    </row>
    <row r="132" spans="1:12" x14ac:dyDescent="0.25">
      <c r="A132" s="3" t="s">
        <v>266</v>
      </c>
      <c r="B132" s="6">
        <v>45737</v>
      </c>
      <c r="C132" s="3" t="s">
        <v>16</v>
      </c>
      <c r="D132" s="3" t="s">
        <v>51</v>
      </c>
      <c r="E132" s="3" t="s">
        <v>165</v>
      </c>
      <c r="F132" s="3">
        <v>2</v>
      </c>
      <c r="G132" s="3">
        <v>0</v>
      </c>
      <c r="H132" s="1">
        <f>VLOOKUP(D132,products!A:D,4,FALSE)</f>
        <v>18000</v>
      </c>
      <c r="I132" s="1" t="str">
        <f>VLOOKUP(C132,branches!A:B,2,FALSE)</f>
        <v>Naija Mart Ikeja</v>
      </c>
      <c r="J132" s="1">
        <f t="shared" si="4"/>
        <v>36000</v>
      </c>
      <c r="K132" s="1" t="str">
        <f>VLOOKUP(D132,products!A:D,2,FALSE)</f>
        <v>Small Gadgets</v>
      </c>
      <c r="L132" s="1" t="str">
        <f t="shared" si="5"/>
        <v>Mar-2025</v>
      </c>
    </row>
    <row r="133" spans="1:12" x14ac:dyDescent="0.25">
      <c r="A133" s="3" t="s">
        <v>267</v>
      </c>
      <c r="B133" s="6">
        <v>45864</v>
      </c>
      <c r="C133" s="3" t="s">
        <v>12</v>
      </c>
      <c r="D133" s="3" t="s">
        <v>46</v>
      </c>
      <c r="E133" s="3" t="s">
        <v>138</v>
      </c>
      <c r="F133" s="3">
        <v>1</v>
      </c>
      <c r="G133" s="3">
        <v>5</v>
      </c>
      <c r="H133" s="1">
        <f>VLOOKUP(D133,products!A:D,4,FALSE)</f>
        <v>62000</v>
      </c>
      <c r="I133" s="1" t="str">
        <f>VLOOKUP(C133,branches!A:B,2,FALSE)</f>
        <v>Naija Mart Wuse</v>
      </c>
      <c r="J133" s="1">
        <f t="shared" si="4"/>
        <v>58900</v>
      </c>
      <c r="K133" s="1" t="str">
        <f>VLOOKUP(D133,products!A:D,2,FALSE)</f>
        <v>Home Appliances</v>
      </c>
      <c r="L133" s="1" t="str">
        <f t="shared" si="5"/>
        <v>Jul-2025</v>
      </c>
    </row>
    <row r="134" spans="1:12" x14ac:dyDescent="0.25">
      <c r="A134" s="3" t="s">
        <v>268</v>
      </c>
      <c r="B134" s="6">
        <v>45667</v>
      </c>
      <c r="C134" s="3" t="s">
        <v>12</v>
      </c>
      <c r="D134" s="3" t="s">
        <v>258</v>
      </c>
      <c r="E134" s="3" t="s">
        <v>269</v>
      </c>
      <c r="F134" s="3">
        <v>1</v>
      </c>
      <c r="G134" s="3">
        <v>10</v>
      </c>
      <c r="H134" s="1">
        <f>VLOOKUP(D134,products!A:D,4,FALSE)</f>
        <v>95000</v>
      </c>
      <c r="I134" s="1" t="str">
        <f>VLOOKUP(C134,branches!A:B,2,FALSE)</f>
        <v>Naija Mart Wuse</v>
      </c>
      <c r="J134" s="1">
        <f t="shared" si="4"/>
        <v>85500</v>
      </c>
      <c r="K134" s="1" t="str">
        <f>VLOOKUP(D134,products!A:D,2,FALSE)</f>
        <v>Electronics</v>
      </c>
      <c r="L134" s="1" t="str">
        <f t="shared" si="5"/>
        <v>Jan-2025</v>
      </c>
    </row>
    <row r="135" spans="1:12" x14ac:dyDescent="0.25">
      <c r="A135" s="3" t="s">
        <v>270</v>
      </c>
      <c r="B135" s="6">
        <v>45897</v>
      </c>
      <c r="C135" s="3" t="s">
        <v>16</v>
      </c>
      <c r="D135" s="3" t="s">
        <v>258</v>
      </c>
      <c r="E135" s="3" t="s">
        <v>198</v>
      </c>
      <c r="F135" s="3">
        <v>1</v>
      </c>
      <c r="G135" s="3">
        <v>25</v>
      </c>
      <c r="H135" s="1">
        <f>VLOOKUP(D135,products!A:D,4,FALSE)</f>
        <v>95000</v>
      </c>
      <c r="I135" s="1" t="str">
        <f>VLOOKUP(C135,branches!A:B,2,FALSE)</f>
        <v>Naija Mart Ikeja</v>
      </c>
      <c r="J135" s="1">
        <f t="shared" si="4"/>
        <v>71250</v>
      </c>
      <c r="K135" s="1" t="str">
        <f>VLOOKUP(D135,products!A:D,2,FALSE)</f>
        <v>Electronics</v>
      </c>
      <c r="L135" s="1" t="str">
        <f t="shared" si="5"/>
        <v>Aug-2025</v>
      </c>
    </row>
    <row r="136" spans="1:12" x14ac:dyDescent="0.25">
      <c r="A136" s="3" t="s">
        <v>271</v>
      </c>
      <c r="B136" s="6">
        <v>45890</v>
      </c>
      <c r="C136" s="3" t="s">
        <v>12</v>
      </c>
      <c r="D136" s="3" t="s">
        <v>97</v>
      </c>
      <c r="E136" s="3" t="s">
        <v>147</v>
      </c>
      <c r="F136" s="3">
        <v>2</v>
      </c>
      <c r="G136" s="3">
        <v>5</v>
      </c>
      <c r="H136" s="1">
        <f>VLOOKUP(D136,products!A:D,4,FALSE)</f>
        <v>21000</v>
      </c>
      <c r="I136" s="1" t="str">
        <f>VLOOKUP(C136,branches!A:B,2,FALSE)</f>
        <v>Naija Mart Wuse</v>
      </c>
      <c r="J136" s="1">
        <f t="shared" si="4"/>
        <v>39900</v>
      </c>
      <c r="K136" s="1" t="str">
        <f>VLOOKUP(D136,products!A:D,2,FALSE)</f>
        <v>Small Gadgets</v>
      </c>
      <c r="L136" s="1" t="str">
        <f t="shared" si="5"/>
        <v>Aug-2025</v>
      </c>
    </row>
    <row r="137" spans="1:12" x14ac:dyDescent="0.25">
      <c r="A137" s="3" t="s">
        <v>272</v>
      </c>
      <c r="B137" s="6">
        <v>45723</v>
      </c>
      <c r="C137" s="3" t="s">
        <v>8</v>
      </c>
      <c r="D137" s="3" t="s">
        <v>49</v>
      </c>
      <c r="E137" s="3" t="s">
        <v>124</v>
      </c>
      <c r="F137" s="3">
        <v>1</v>
      </c>
      <c r="G137" s="3">
        <v>5</v>
      </c>
      <c r="H137" s="1">
        <f>VLOOKUP(D137,products!A:D,4,FALSE)</f>
        <v>28000</v>
      </c>
      <c r="I137" s="1" t="str">
        <f>VLOOKUP(C137,branches!A:B,2,FALSE)</f>
        <v>Naija Mart GRA</v>
      </c>
      <c r="J137" s="1">
        <f t="shared" si="4"/>
        <v>26600</v>
      </c>
      <c r="K137" s="1" t="str">
        <f>VLOOKUP(D137,products!A:D,2,FALSE)</f>
        <v>Home Appliances</v>
      </c>
      <c r="L137" s="1" t="str">
        <f t="shared" si="5"/>
        <v>Mar-2025</v>
      </c>
    </row>
    <row r="138" spans="1:12" x14ac:dyDescent="0.25">
      <c r="A138" s="3" t="s">
        <v>273</v>
      </c>
      <c r="B138" s="6">
        <v>45923</v>
      </c>
      <c r="C138" s="3" t="s">
        <v>12</v>
      </c>
      <c r="D138" s="3" t="s">
        <v>37</v>
      </c>
      <c r="E138" s="3" t="s">
        <v>274</v>
      </c>
      <c r="F138" s="3">
        <v>1</v>
      </c>
      <c r="G138" s="3">
        <v>0</v>
      </c>
      <c r="H138" s="1">
        <f>VLOOKUP(D138,products!A:D,4,FALSE)</f>
        <v>8500</v>
      </c>
      <c r="I138" s="1" t="str">
        <f>VLOOKUP(C138,branches!A:B,2,FALSE)</f>
        <v>Naija Mart Wuse</v>
      </c>
      <c r="J138" s="1">
        <f t="shared" si="4"/>
        <v>8500</v>
      </c>
      <c r="K138" s="1" t="str">
        <f>VLOOKUP(D138,products!A:D,2,FALSE)</f>
        <v>Small Gadgets</v>
      </c>
      <c r="L138" s="1" t="str">
        <f t="shared" si="5"/>
        <v>Sep-2025</v>
      </c>
    </row>
    <row r="139" spans="1:12" x14ac:dyDescent="0.25">
      <c r="A139" s="3" t="s">
        <v>275</v>
      </c>
      <c r="B139" s="6">
        <v>45931</v>
      </c>
      <c r="C139" s="3" t="s">
        <v>8</v>
      </c>
      <c r="D139" s="3" t="s">
        <v>64</v>
      </c>
      <c r="E139" s="3" t="s">
        <v>253</v>
      </c>
      <c r="F139" s="3">
        <v>1</v>
      </c>
      <c r="G139" s="3">
        <v>5</v>
      </c>
      <c r="H139" s="1">
        <f>VLOOKUP(D139,products!A:D,4,FALSE)</f>
        <v>175000</v>
      </c>
      <c r="I139" s="1" t="str">
        <f>VLOOKUP(C139,branches!A:B,2,FALSE)</f>
        <v>Naija Mart GRA</v>
      </c>
      <c r="J139" s="1">
        <f t="shared" si="4"/>
        <v>166250</v>
      </c>
      <c r="K139" s="1" t="str">
        <f>VLOOKUP(D139,products!A:D,2,FALSE)</f>
        <v>Generators &amp; Power</v>
      </c>
      <c r="L139" s="1" t="str">
        <f t="shared" si="5"/>
        <v>Oct-2025</v>
      </c>
    </row>
    <row r="140" spans="1:12" x14ac:dyDescent="0.25">
      <c r="A140" s="3" t="s">
        <v>276</v>
      </c>
      <c r="B140" s="6">
        <v>46005</v>
      </c>
      <c r="C140" s="3" t="s">
        <v>16</v>
      </c>
      <c r="D140" s="3" t="s">
        <v>64</v>
      </c>
      <c r="E140" s="3" t="s">
        <v>129</v>
      </c>
      <c r="F140" s="3">
        <v>1</v>
      </c>
      <c r="G140" s="3">
        <v>0</v>
      </c>
      <c r="H140" s="1">
        <f>VLOOKUP(D140,products!A:D,4,FALSE)</f>
        <v>175000</v>
      </c>
      <c r="I140" s="1" t="str">
        <f>VLOOKUP(C140,branches!A:B,2,FALSE)</f>
        <v>Naija Mart Ikeja</v>
      </c>
      <c r="J140" s="1">
        <f t="shared" si="4"/>
        <v>175000</v>
      </c>
      <c r="K140" s="1" t="str">
        <f>VLOOKUP(D140,products!A:D,2,FALSE)</f>
        <v>Generators &amp; Power</v>
      </c>
      <c r="L140" s="1" t="str">
        <f t="shared" si="5"/>
        <v>Dec-2025</v>
      </c>
    </row>
    <row r="141" spans="1:12" x14ac:dyDescent="0.25">
      <c r="A141" s="3" t="s">
        <v>277</v>
      </c>
      <c r="B141" s="6">
        <v>46019</v>
      </c>
      <c r="C141" s="3" t="s">
        <v>8</v>
      </c>
      <c r="D141" s="3" t="s">
        <v>94</v>
      </c>
      <c r="E141" s="3" t="s">
        <v>127</v>
      </c>
      <c r="F141" s="3">
        <v>1</v>
      </c>
      <c r="G141" s="3">
        <v>0</v>
      </c>
      <c r="H141" s="1">
        <f>VLOOKUP(D141,products!A:D,4,FALSE)</f>
        <v>320000</v>
      </c>
      <c r="I141" s="1" t="str">
        <f>VLOOKUP(C141,branches!A:B,2,FALSE)</f>
        <v>Naija Mart GRA</v>
      </c>
      <c r="J141" s="1">
        <f t="shared" si="4"/>
        <v>320000</v>
      </c>
      <c r="K141" s="1" t="str">
        <f>VLOOKUP(D141,products!A:D,2,FALSE)</f>
        <v>Electronics</v>
      </c>
      <c r="L141" s="1" t="str">
        <f t="shared" si="5"/>
        <v>Dec-2025</v>
      </c>
    </row>
    <row r="142" spans="1:12" x14ac:dyDescent="0.25">
      <c r="A142" s="3" t="s">
        <v>278</v>
      </c>
      <c r="B142" s="6">
        <v>45778</v>
      </c>
      <c r="C142" s="3" t="s">
        <v>8</v>
      </c>
      <c r="D142" s="3" t="s">
        <v>91</v>
      </c>
      <c r="E142" s="3" t="s">
        <v>279</v>
      </c>
      <c r="F142" s="3">
        <v>2</v>
      </c>
      <c r="G142" s="3">
        <v>25</v>
      </c>
      <c r="H142" s="1">
        <f>VLOOKUP(D142,products!A:D,4,FALSE)</f>
        <v>5200</v>
      </c>
      <c r="I142" s="1" t="str">
        <f>VLOOKUP(C142,branches!A:B,2,FALSE)</f>
        <v>Naija Mart GRA</v>
      </c>
      <c r="J142" s="1">
        <f t="shared" si="4"/>
        <v>7800</v>
      </c>
      <c r="K142" s="1" t="str">
        <f>VLOOKUP(D142,products!A:D,2,FALSE)</f>
        <v>Small Gadgets</v>
      </c>
      <c r="L142" s="1" t="str">
        <f t="shared" si="5"/>
        <v>May-2025</v>
      </c>
    </row>
    <row r="143" spans="1:12" x14ac:dyDescent="0.25">
      <c r="A143" s="3" t="s">
        <v>280</v>
      </c>
      <c r="B143" s="6">
        <v>45937</v>
      </c>
      <c r="C143" s="3" t="s">
        <v>8</v>
      </c>
      <c r="D143" s="3" t="s">
        <v>64</v>
      </c>
      <c r="E143" s="3" t="s">
        <v>85</v>
      </c>
      <c r="F143" s="3">
        <v>1</v>
      </c>
      <c r="G143" s="3">
        <v>0</v>
      </c>
      <c r="H143" s="1">
        <f>VLOOKUP(D143,products!A:D,4,FALSE)</f>
        <v>175000</v>
      </c>
      <c r="I143" s="1" t="str">
        <f>VLOOKUP(C143,branches!A:B,2,FALSE)</f>
        <v>Naija Mart GRA</v>
      </c>
      <c r="J143" s="1">
        <f t="shared" si="4"/>
        <v>175000</v>
      </c>
      <c r="K143" s="1" t="str">
        <f>VLOOKUP(D143,products!A:D,2,FALSE)</f>
        <v>Generators &amp; Power</v>
      </c>
      <c r="L143" s="1" t="str">
        <f t="shared" si="5"/>
        <v>Oct-2025</v>
      </c>
    </row>
    <row r="144" spans="1:12" x14ac:dyDescent="0.25">
      <c r="A144" s="3" t="s">
        <v>281</v>
      </c>
      <c r="B144" s="6">
        <v>45701</v>
      </c>
      <c r="C144" s="3" t="s">
        <v>16</v>
      </c>
      <c r="D144" s="3" t="s">
        <v>258</v>
      </c>
      <c r="E144" s="3" t="s">
        <v>29</v>
      </c>
      <c r="F144" s="3">
        <v>1</v>
      </c>
      <c r="G144" s="3">
        <v>5</v>
      </c>
      <c r="H144" s="1">
        <f>VLOOKUP(D144,products!A:D,4,FALSE)</f>
        <v>95000</v>
      </c>
      <c r="I144" s="1" t="str">
        <f>VLOOKUP(C144,branches!A:B,2,FALSE)</f>
        <v>Naija Mart Ikeja</v>
      </c>
      <c r="J144" s="1">
        <f t="shared" si="4"/>
        <v>90250</v>
      </c>
      <c r="K144" s="1" t="str">
        <f>VLOOKUP(D144,products!A:D,2,FALSE)</f>
        <v>Electronics</v>
      </c>
      <c r="L144" s="1" t="str">
        <f t="shared" si="5"/>
        <v>Feb-2025</v>
      </c>
    </row>
    <row r="145" spans="1:12" x14ac:dyDescent="0.25">
      <c r="A145" s="3" t="s">
        <v>282</v>
      </c>
      <c r="B145" s="6">
        <v>45784</v>
      </c>
      <c r="C145" s="3" t="s">
        <v>12</v>
      </c>
      <c r="D145" s="3" t="s">
        <v>94</v>
      </c>
      <c r="E145" s="3" t="s">
        <v>243</v>
      </c>
      <c r="F145" s="3">
        <v>1</v>
      </c>
      <c r="G145" s="3">
        <v>0</v>
      </c>
      <c r="H145" s="1">
        <f>VLOOKUP(D145,products!A:D,4,FALSE)</f>
        <v>320000</v>
      </c>
      <c r="I145" s="1" t="str">
        <f>VLOOKUP(C145,branches!A:B,2,FALSE)</f>
        <v>Naija Mart Wuse</v>
      </c>
      <c r="J145" s="1">
        <f t="shared" si="4"/>
        <v>320000</v>
      </c>
      <c r="K145" s="1" t="str">
        <f>VLOOKUP(D145,products!A:D,2,FALSE)</f>
        <v>Electronics</v>
      </c>
      <c r="L145" s="1" t="str">
        <f t="shared" si="5"/>
        <v>May-2025</v>
      </c>
    </row>
    <row r="146" spans="1:12" x14ac:dyDescent="0.25">
      <c r="A146" s="3" t="s">
        <v>283</v>
      </c>
      <c r="B146" s="6">
        <v>45660</v>
      </c>
      <c r="C146" s="3" t="s">
        <v>16</v>
      </c>
      <c r="D146" s="3" t="s">
        <v>9</v>
      </c>
      <c r="E146" s="3" t="s">
        <v>284</v>
      </c>
      <c r="F146" s="3">
        <v>2</v>
      </c>
      <c r="G146" s="3">
        <v>0</v>
      </c>
      <c r="H146" s="1">
        <f>VLOOKUP(D146,products!A:D,4,FALSE)</f>
        <v>410000</v>
      </c>
      <c r="I146" s="1" t="str">
        <f>VLOOKUP(C146,branches!A:B,2,FALSE)</f>
        <v>Naija Mart Ikeja</v>
      </c>
      <c r="J146" s="1">
        <f t="shared" si="4"/>
        <v>820000</v>
      </c>
      <c r="K146" s="1" t="str">
        <f>VLOOKUP(D146,products!A:D,2,FALSE)</f>
        <v>Home Appliances</v>
      </c>
      <c r="L146" s="1" t="str">
        <f t="shared" si="5"/>
        <v>Jan-2025</v>
      </c>
    </row>
    <row r="147" spans="1:12" x14ac:dyDescent="0.25">
      <c r="A147" s="3" t="s">
        <v>285</v>
      </c>
      <c r="B147" s="6">
        <v>45769</v>
      </c>
      <c r="C147" s="3" t="s">
        <v>36</v>
      </c>
      <c r="D147" s="3" t="s">
        <v>69</v>
      </c>
      <c r="E147" s="3" t="s">
        <v>87</v>
      </c>
      <c r="F147" s="3">
        <v>1</v>
      </c>
      <c r="G147" s="3">
        <v>15</v>
      </c>
      <c r="H147" s="1">
        <f>VLOOKUP(D147,products!A:D,4,FALSE)</f>
        <v>45000</v>
      </c>
      <c r="I147" s="1" t="str">
        <f>VLOOKUP(C147,branches!A:B,2,FALSE)</f>
        <v>Naija Mart Sabon Gari</v>
      </c>
      <c r="J147" s="1">
        <f t="shared" si="4"/>
        <v>38250</v>
      </c>
      <c r="K147" s="1" t="str">
        <f>VLOOKUP(D147,products!A:D,2,FALSE)</f>
        <v>Electronics</v>
      </c>
      <c r="L147" s="1" t="str">
        <f t="shared" si="5"/>
        <v>Apr-2025</v>
      </c>
    </row>
    <row r="148" spans="1:12" x14ac:dyDescent="0.25">
      <c r="A148" s="3" t="s">
        <v>286</v>
      </c>
      <c r="B148" s="6">
        <v>45982</v>
      </c>
      <c r="C148" s="3" t="s">
        <v>8</v>
      </c>
      <c r="D148" s="3" t="s">
        <v>26</v>
      </c>
      <c r="E148" s="3" t="s">
        <v>57</v>
      </c>
      <c r="F148" s="3">
        <v>1</v>
      </c>
      <c r="G148" s="3">
        <v>25</v>
      </c>
      <c r="H148" s="1">
        <f>VLOOKUP(D148,products!A:D,4,FALSE)</f>
        <v>145000</v>
      </c>
      <c r="I148" s="1" t="str">
        <f>VLOOKUP(C148,branches!A:B,2,FALSE)</f>
        <v>Naija Mart GRA</v>
      </c>
      <c r="J148" s="1">
        <f t="shared" si="4"/>
        <v>108750</v>
      </c>
      <c r="K148" s="1" t="str">
        <f>VLOOKUP(D148,products!A:D,2,FALSE)</f>
        <v>Electronics</v>
      </c>
      <c r="L148" s="1" t="str">
        <f t="shared" si="5"/>
        <v>Nov-2025</v>
      </c>
    </row>
    <row r="149" spans="1:12" x14ac:dyDescent="0.25">
      <c r="A149" s="3" t="s">
        <v>287</v>
      </c>
      <c r="B149" s="6">
        <v>45792</v>
      </c>
      <c r="C149" s="3" t="s">
        <v>16</v>
      </c>
      <c r="D149" s="3" t="s">
        <v>49</v>
      </c>
      <c r="E149" s="3" t="s">
        <v>288</v>
      </c>
      <c r="F149" s="3">
        <v>1</v>
      </c>
      <c r="G149" s="3">
        <v>5</v>
      </c>
      <c r="H149" s="1">
        <f>VLOOKUP(D149,products!A:D,4,FALSE)</f>
        <v>28000</v>
      </c>
      <c r="I149" s="1" t="str">
        <f>VLOOKUP(C149,branches!A:B,2,FALSE)</f>
        <v>Naija Mart Ikeja</v>
      </c>
      <c r="J149" s="1">
        <f t="shared" si="4"/>
        <v>26600</v>
      </c>
      <c r="K149" s="1" t="str">
        <f>VLOOKUP(D149,products!A:D,2,FALSE)</f>
        <v>Home Appliances</v>
      </c>
      <c r="L149" s="1" t="str">
        <f t="shared" si="5"/>
        <v>May-2025</v>
      </c>
    </row>
    <row r="150" spans="1:12" x14ac:dyDescent="0.25">
      <c r="A150" s="3" t="s">
        <v>289</v>
      </c>
      <c r="B150" s="6">
        <v>45703</v>
      </c>
      <c r="C150" s="3" t="s">
        <v>8</v>
      </c>
      <c r="D150" s="3" t="s">
        <v>64</v>
      </c>
      <c r="E150" s="3" t="s">
        <v>256</v>
      </c>
      <c r="F150" s="3">
        <v>1</v>
      </c>
      <c r="G150" s="3">
        <v>0</v>
      </c>
      <c r="H150" s="1">
        <f>VLOOKUP(D150,products!A:D,4,FALSE)</f>
        <v>175000</v>
      </c>
      <c r="I150" s="1" t="str">
        <f>VLOOKUP(C150,branches!A:B,2,FALSE)</f>
        <v>Naija Mart GRA</v>
      </c>
      <c r="J150" s="1">
        <f t="shared" si="4"/>
        <v>175000</v>
      </c>
      <c r="K150" s="1" t="str">
        <f>VLOOKUP(D150,products!A:D,2,FALSE)</f>
        <v>Generators &amp; Power</v>
      </c>
      <c r="L150" s="1" t="str">
        <f t="shared" si="5"/>
        <v>Feb-2025</v>
      </c>
    </row>
    <row r="151" spans="1:12" x14ac:dyDescent="0.25">
      <c r="A151" s="3" t="s">
        <v>290</v>
      </c>
      <c r="B151" s="6">
        <v>45993</v>
      </c>
      <c r="C151" s="3" t="s">
        <v>16</v>
      </c>
      <c r="D151" s="3" t="s">
        <v>80</v>
      </c>
      <c r="E151" s="3" t="s">
        <v>21</v>
      </c>
      <c r="F151" s="3">
        <v>1</v>
      </c>
      <c r="G151" s="3">
        <v>5</v>
      </c>
      <c r="H151" s="1">
        <f>VLOOKUP(D151,products!A:D,4,FALSE)</f>
        <v>265000</v>
      </c>
      <c r="I151" s="1" t="str">
        <f>VLOOKUP(C151,branches!A:B,2,FALSE)</f>
        <v>Naija Mart Ikeja</v>
      </c>
      <c r="J151" s="1">
        <f t="shared" si="4"/>
        <v>251750</v>
      </c>
      <c r="K151" s="1" t="str">
        <f>VLOOKUP(D151,products!A:D,2,FALSE)</f>
        <v>Home Appliances</v>
      </c>
      <c r="L151" s="1" t="str">
        <f t="shared" si="5"/>
        <v>Dec-2025</v>
      </c>
    </row>
    <row r="152" spans="1:12" x14ac:dyDescent="0.25">
      <c r="A152" s="3" t="s">
        <v>291</v>
      </c>
      <c r="B152" s="6">
        <v>46005</v>
      </c>
      <c r="C152" s="3" t="s">
        <v>12</v>
      </c>
      <c r="D152" s="3" t="s">
        <v>23</v>
      </c>
      <c r="E152" s="3" t="s">
        <v>203</v>
      </c>
      <c r="F152" s="3">
        <v>2</v>
      </c>
      <c r="G152" s="3">
        <v>15</v>
      </c>
      <c r="H152" s="1">
        <f>VLOOKUP(D152,products!A:D,4,FALSE)</f>
        <v>19500</v>
      </c>
      <c r="I152" s="1" t="str">
        <f>VLOOKUP(C152,branches!A:B,2,FALSE)</f>
        <v>Naija Mart Wuse</v>
      </c>
      <c r="J152" s="1">
        <f t="shared" si="4"/>
        <v>33150</v>
      </c>
      <c r="K152" s="1" t="str">
        <f>VLOOKUP(D152,products!A:D,2,FALSE)</f>
        <v>Home Appliances</v>
      </c>
      <c r="L152" s="1" t="str">
        <f t="shared" si="5"/>
        <v>Dec-2025</v>
      </c>
    </row>
    <row r="153" spans="1:12" x14ac:dyDescent="0.25">
      <c r="A153" s="3" t="s">
        <v>292</v>
      </c>
      <c r="B153" s="6">
        <v>45865</v>
      </c>
      <c r="C153" s="3" t="s">
        <v>12</v>
      </c>
      <c r="D153" s="3" t="s">
        <v>56</v>
      </c>
      <c r="E153" s="3" t="s">
        <v>293</v>
      </c>
      <c r="F153" s="3">
        <v>2</v>
      </c>
      <c r="G153" s="3">
        <v>10</v>
      </c>
      <c r="H153" s="1">
        <f>VLOOKUP(D153,products!A:D,4,FALSE)</f>
        <v>285000</v>
      </c>
      <c r="I153" s="1" t="str">
        <f>VLOOKUP(C153,branches!A:B,2,FALSE)</f>
        <v>Naija Mart Wuse</v>
      </c>
      <c r="J153" s="1">
        <f t="shared" si="4"/>
        <v>513000</v>
      </c>
      <c r="K153" s="1" t="str">
        <f>VLOOKUP(D153,products!A:D,2,FALSE)</f>
        <v>Home Appliances</v>
      </c>
      <c r="L153" s="1" t="str">
        <f t="shared" si="5"/>
        <v>Jul-2025</v>
      </c>
    </row>
    <row r="154" spans="1:12" x14ac:dyDescent="0.25">
      <c r="A154" s="3" t="s">
        <v>294</v>
      </c>
      <c r="B154" s="6">
        <v>45719</v>
      </c>
      <c r="C154" s="3" t="s">
        <v>16</v>
      </c>
      <c r="D154" s="3" t="s">
        <v>43</v>
      </c>
      <c r="E154" s="3" t="s">
        <v>295</v>
      </c>
      <c r="F154" s="3">
        <v>2</v>
      </c>
      <c r="G154" s="3">
        <v>15</v>
      </c>
      <c r="H154" s="1">
        <f>VLOOKUP(D154,products!A:D,4,FALSE)</f>
        <v>74000</v>
      </c>
      <c r="I154" s="1" t="str">
        <f>VLOOKUP(C154,branches!A:B,2,FALSE)</f>
        <v>Naija Mart Ikeja</v>
      </c>
      <c r="J154" s="1">
        <f t="shared" si="4"/>
        <v>125800</v>
      </c>
      <c r="K154" s="1" t="str">
        <f>VLOOKUP(D154,products!A:D,2,FALSE)</f>
        <v>Home Appliances</v>
      </c>
      <c r="L154" s="1" t="str">
        <f t="shared" si="5"/>
        <v>Mar-2025</v>
      </c>
    </row>
    <row r="155" spans="1:12" x14ac:dyDescent="0.25">
      <c r="A155" s="3" t="s">
        <v>296</v>
      </c>
      <c r="B155" s="6">
        <v>45709</v>
      </c>
      <c r="C155" s="3" t="s">
        <v>12</v>
      </c>
      <c r="D155" s="3" t="s">
        <v>64</v>
      </c>
      <c r="E155" s="3" t="s">
        <v>297</v>
      </c>
      <c r="F155" s="3">
        <v>2</v>
      </c>
      <c r="G155" s="3">
        <v>5</v>
      </c>
      <c r="H155" s="1">
        <f>VLOOKUP(D155,products!A:D,4,FALSE)</f>
        <v>175000</v>
      </c>
      <c r="I155" s="1" t="str">
        <f>VLOOKUP(C155,branches!A:B,2,FALSE)</f>
        <v>Naija Mart Wuse</v>
      </c>
      <c r="J155" s="1">
        <f t="shared" si="4"/>
        <v>332500</v>
      </c>
      <c r="K155" s="1" t="str">
        <f>VLOOKUP(D155,products!A:D,2,FALSE)</f>
        <v>Generators &amp; Power</v>
      </c>
      <c r="L155" s="1" t="str">
        <f t="shared" si="5"/>
        <v>Feb-2025</v>
      </c>
    </row>
    <row r="156" spans="1:12" x14ac:dyDescent="0.25">
      <c r="A156" s="3" t="s">
        <v>298</v>
      </c>
      <c r="B156" s="6">
        <v>45741</v>
      </c>
      <c r="C156" s="3" t="s">
        <v>16</v>
      </c>
      <c r="D156" s="3" t="s">
        <v>43</v>
      </c>
      <c r="E156" s="3" t="s">
        <v>87</v>
      </c>
      <c r="F156" s="3">
        <v>2</v>
      </c>
      <c r="G156" s="3">
        <v>0</v>
      </c>
      <c r="H156" s="1">
        <f>VLOOKUP(D156,products!A:D,4,FALSE)</f>
        <v>74000</v>
      </c>
      <c r="I156" s="1" t="str">
        <f>VLOOKUP(C156,branches!A:B,2,FALSE)</f>
        <v>Naija Mart Ikeja</v>
      </c>
      <c r="J156" s="1">
        <f t="shared" si="4"/>
        <v>148000</v>
      </c>
      <c r="K156" s="1" t="str">
        <f>VLOOKUP(D156,products!A:D,2,FALSE)</f>
        <v>Home Appliances</v>
      </c>
      <c r="L156" s="1" t="str">
        <f t="shared" si="5"/>
        <v>Mar-2025</v>
      </c>
    </row>
    <row r="157" spans="1:12" x14ac:dyDescent="0.25">
      <c r="A157" s="3" t="s">
        <v>299</v>
      </c>
      <c r="B157" s="6">
        <v>46006</v>
      </c>
      <c r="C157" s="3" t="s">
        <v>16</v>
      </c>
      <c r="D157" s="3" t="s">
        <v>13</v>
      </c>
      <c r="E157" s="3" t="s">
        <v>300</v>
      </c>
      <c r="F157" s="3">
        <v>1</v>
      </c>
      <c r="G157" s="3">
        <v>0</v>
      </c>
      <c r="H157" s="1">
        <f>VLOOKUP(D157,products!A:D,4,FALSE)</f>
        <v>24000</v>
      </c>
      <c r="I157" s="1" t="str">
        <f>VLOOKUP(C157,branches!A:B,2,FALSE)</f>
        <v>Naija Mart Ikeja</v>
      </c>
      <c r="J157" s="1">
        <f t="shared" si="4"/>
        <v>24000</v>
      </c>
      <c r="K157" s="1" t="str">
        <f>VLOOKUP(D157,products!A:D,2,FALSE)</f>
        <v>Home Appliances</v>
      </c>
      <c r="L157" s="1" t="str">
        <f t="shared" si="5"/>
        <v>Dec-2025</v>
      </c>
    </row>
    <row r="158" spans="1:12" x14ac:dyDescent="0.25">
      <c r="A158" s="3" t="s">
        <v>301</v>
      </c>
      <c r="B158" s="6">
        <v>46009</v>
      </c>
      <c r="C158" s="3" t="s">
        <v>16</v>
      </c>
      <c r="D158" s="3" t="s">
        <v>17</v>
      </c>
      <c r="E158" s="3" t="s">
        <v>302</v>
      </c>
      <c r="F158" s="3">
        <v>2</v>
      </c>
      <c r="G158" s="3">
        <v>5</v>
      </c>
      <c r="H158" s="1">
        <f>VLOOKUP(D158,products!A:D,4,FALSE)</f>
        <v>22000</v>
      </c>
      <c r="I158" s="1" t="str">
        <f>VLOOKUP(C158,branches!A:B,2,FALSE)</f>
        <v>Naija Mart Ikeja</v>
      </c>
      <c r="J158" s="1">
        <f t="shared" si="4"/>
        <v>41800</v>
      </c>
      <c r="K158" s="1" t="str">
        <f>VLOOKUP(D158,products!A:D,2,FALSE)</f>
        <v>Home Appliances</v>
      </c>
      <c r="L158" s="1" t="str">
        <f t="shared" si="5"/>
        <v>Dec-2025</v>
      </c>
    </row>
    <row r="159" spans="1:12" x14ac:dyDescent="0.25">
      <c r="A159" s="3" t="s">
        <v>303</v>
      </c>
      <c r="B159" s="6">
        <v>45935</v>
      </c>
      <c r="C159" s="3" t="s">
        <v>12</v>
      </c>
      <c r="D159" s="3" t="s">
        <v>64</v>
      </c>
      <c r="E159" s="3" t="s">
        <v>304</v>
      </c>
      <c r="F159" s="3">
        <v>1</v>
      </c>
      <c r="G159" s="3">
        <v>0</v>
      </c>
      <c r="H159" s="1">
        <f>VLOOKUP(D159,products!A:D,4,FALSE)</f>
        <v>175000</v>
      </c>
      <c r="I159" s="1" t="str">
        <f>VLOOKUP(C159,branches!A:B,2,FALSE)</f>
        <v>Naija Mart Wuse</v>
      </c>
      <c r="J159" s="1">
        <f t="shared" si="4"/>
        <v>175000</v>
      </c>
      <c r="K159" s="1" t="str">
        <f>VLOOKUP(D159,products!A:D,2,FALSE)</f>
        <v>Generators &amp; Power</v>
      </c>
      <c r="L159" s="1" t="str">
        <f t="shared" si="5"/>
        <v>Oct-2025</v>
      </c>
    </row>
    <row r="160" spans="1:12" x14ac:dyDescent="0.25">
      <c r="A160" s="3" t="s">
        <v>305</v>
      </c>
      <c r="B160" s="6">
        <v>46005</v>
      </c>
      <c r="C160" s="3" t="s">
        <v>16</v>
      </c>
      <c r="D160" s="3" t="s">
        <v>56</v>
      </c>
      <c r="E160" s="3" t="s">
        <v>186</v>
      </c>
      <c r="F160" s="3">
        <v>1</v>
      </c>
      <c r="G160" s="3">
        <v>10</v>
      </c>
      <c r="H160" s="1">
        <f>VLOOKUP(D160,products!A:D,4,FALSE)</f>
        <v>285000</v>
      </c>
      <c r="I160" s="1" t="str">
        <f>VLOOKUP(C160,branches!A:B,2,FALSE)</f>
        <v>Naija Mart Ikeja</v>
      </c>
      <c r="J160" s="1">
        <f t="shared" si="4"/>
        <v>256500</v>
      </c>
      <c r="K160" s="1" t="str">
        <f>VLOOKUP(D160,products!A:D,2,FALSE)</f>
        <v>Home Appliances</v>
      </c>
      <c r="L160" s="1" t="str">
        <f t="shared" si="5"/>
        <v>Dec-2025</v>
      </c>
    </row>
    <row r="161" spans="1:12" x14ac:dyDescent="0.25">
      <c r="A161" s="3" t="s">
        <v>306</v>
      </c>
      <c r="B161" s="6">
        <v>46004</v>
      </c>
      <c r="C161" s="3" t="s">
        <v>16</v>
      </c>
      <c r="D161" s="3" t="s">
        <v>26</v>
      </c>
      <c r="E161" s="3" t="s">
        <v>143</v>
      </c>
      <c r="F161" s="3">
        <v>2</v>
      </c>
      <c r="G161" s="3">
        <v>10</v>
      </c>
      <c r="H161" s="1">
        <f>VLOOKUP(D161,products!A:D,4,FALSE)</f>
        <v>145000</v>
      </c>
      <c r="I161" s="1" t="str">
        <f>VLOOKUP(C161,branches!A:B,2,FALSE)</f>
        <v>Naija Mart Ikeja</v>
      </c>
      <c r="J161" s="1">
        <f t="shared" si="4"/>
        <v>261000</v>
      </c>
      <c r="K161" s="1" t="str">
        <f>VLOOKUP(D161,products!A:D,2,FALSE)</f>
        <v>Electronics</v>
      </c>
      <c r="L161" s="1" t="str">
        <f t="shared" si="5"/>
        <v>Dec-2025</v>
      </c>
    </row>
    <row r="162" spans="1:12" x14ac:dyDescent="0.25">
      <c r="A162" s="3" t="s">
        <v>307</v>
      </c>
      <c r="B162" s="6">
        <v>45936</v>
      </c>
      <c r="C162" s="3" t="s">
        <v>16</v>
      </c>
      <c r="D162" s="3" t="s">
        <v>126</v>
      </c>
      <c r="E162" s="3" t="s">
        <v>308</v>
      </c>
      <c r="F162" s="3">
        <v>3</v>
      </c>
      <c r="G162" s="3">
        <v>0</v>
      </c>
      <c r="H162" s="1">
        <f>VLOOKUP(D162,products!A:D,4,FALSE)</f>
        <v>185000</v>
      </c>
      <c r="I162" s="1" t="str">
        <f>VLOOKUP(C162,branches!A:B,2,FALSE)</f>
        <v>Naija Mart Ikeja</v>
      </c>
      <c r="J162" s="1">
        <f t="shared" si="4"/>
        <v>555000</v>
      </c>
      <c r="K162" s="1" t="str">
        <f>VLOOKUP(D162,products!A:D,2,FALSE)</f>
        <v>Electronics</v>
      </c>
      <c r="L162" s="1" t="str">
        <f t="shared" si="5"/>
        <v>Oct-2025</v>
      </c>
    </row>
    <row r="163" spans="1:12" x14ac:dyDescent="0.25">
      <c r="A163" s="3" t="s">
        <v>309</v>
      </c>
      <c r="B163" s="6">
        <v>46019</v>
      </c>
      <c r="C163" s="3" t="s">
        <v>16</v>
      </c>
      <c r="D163" s="3" t="s">
        <v>26</v>
      </c>
      <c r="E163" s="3" t="s">
        <v>18</v>
      </c>
      <c r="F163" s="3">
        <v>1</v>
      </c>
      <c r="G163" s="3">
        <v>10</v>
      </c>
      <c r="H163" s="1">
        <f>VLOOKUP(D163,products!A:D,4,FALSE)</f>
        <v>145000</v>
      </c>
      <c r="I163" s="1" t="str">
        <f>VLOOKUP(C163,branches!A:B,2,FALSE)</f>
        <v>Naija Mart Ikeja</v>
      </c>
      <c r="J163" s="1">
        <f t="shared" si="4"/>
        <v>130500</v>
      </c>
      <c r="K163" s="1" t="str">
        <f>VLOOKUP(D163,products!A:D,2,FALSE)</f>
        <v>Electronics</v>
      </c>
      <c r="L163" s="1" t="str">
        <f t="shared" si="5"/>
        <v>Dec-2025</v>
      </c>
    </row>
    <row r="164" spans="1:12" x14ac:dyDescent="0.25">
      <c r="A164" s="3" t="s">
        <v>310</v>
      </c>
      <c r="B164" s="6">
        <v>45859</v>
      </c>
      <c r="C164" s="3" t="s">
        <v>16</v>
      </c>
      <c r="D164" s="3" t="s">
        <v>51</v>
      </c>
      <c r="E164" s="3" t="s">
        <v>60</v>
      </c>
      <c r="F164" s="3">
        <v>1</v>
      </c>
      <c r="G164" s="3">
        <v>10</v>
      </c>
      <c r="H164" s="1">
        <f>VLOOKUP(D164,products!A:D,4,FALSE)</f>
        <v>18000</v>
      </c>
      <c r="I164" s="1" t="str">
        <f>VLOOKUP(C164,branches!A:B,2,FALSE)</f>
        <v>Naija Mart Ikeja</v>
      </c>
      <c r="J164" s="1">
        <f t="shared" si="4"/>
        <v>16200</v>
      </c>
      <c r="K164" s="1" t="str">
        <f>VLOOKUP(D164,products!A:D,2,FALSE)</f>
        <v>Small Gadgets</v>
      </c>
      <c r="L164" s="1" t="str">
        <f t="shared" si="5"/>
        <v>Jul-2025</v>
      </c>
    </row>
    <row r="165" spans="1:12" x14ac:dyDescent="0.25">
      <c r="A165" s="3" t="s">
        <v>311</v>
      </c>
      <c r="B165" s="6">
        <v>45987</v>
      </c>
      <c r="C165" s="3" t="s">
        <v>16</v>
      </c>
      <c r="D165" s="3" t="s">
        <v>197</v>
      </c>
      <c r="E165" s="3" t="s">
        <v>127</v>
      </c>
      <c r="F165" s="3">
        <v>1</v>
      </c>
      <c r="G165" s="3">
        <v>10</v>
      </c>
      <c r="H165" s="1">
        <f>VLOOKUP(D165,products!A:D,4,FALSE)</f>
        <v>78000</v>
      </c>
      <c r="I165" s="1" t="str">
        <f>VLOOKUP(C165,branches!A:B,2,FALSE)</f>
        <v>Naija Mart Ikeja</v>
      </c>
      <c r="J165" s="1">
        <f t="shared" si="4"/>
        <v>70200</v>
      </c>
      <c r="K165" s="1" t="str">
        <f>VLOOKUP(D165,products!A:D,2,FALSE)</f>
        <v>Electronics</v>
      </c>
      <c r="L165" s="1" t="str">
        <f t="shared" si="5"/>
        <v>Nov-2025</v>
      </c>
    </row>
    <row r="166" spans="1:12" x14ac:dyDescent="0.25">
      <c r="A166" s="3" t="s">
        <v>312</v>
      </c>
      <c r="B166" s="6">
        <v>46014</v>
      </c>
      <c r="C166" s="3" t="s">
        <v>16</v>
      </c>
      <c r="D166" s="3" t="s">
        <v>97</v>
      </c>
      <c r="E166" s="3" t="s">
        <v>313</v>
      </c>
      <c r="F166" s="3">
        <v>1</v>
      </c>
      <c r="G166" s="3">
        <v>25</v>
      </c>
      <c r="H166" s="1">
        <f>VLOOKUP(D166,products!A:D,4,FALSE)</f>
        <v>21000</v>
      </c>
      <c r="I166" s="1" t="str">
        <f>VLOOKUP(C166,branches!A:B,2,FALSE)</f>
        <v>Naija Mart Ikeja</v>
      </c>
      <c r="J166" s="1">
        <f t="shared" si="4"/>
        <v>15750</v>
      </c>
      <c r="K166" s="1" t="str">
        <f>VLOOKUP(D166,products!A:D,2,FALSE)</f>
        <v>Small Gadgets</v>
      </c>
      <c r="L166" s="1" t="str">
        <f t="shared" si="5"/>
        <v>Dec-2025</v>
      </c>
    </row>
    <row r="167" spans="1:12" x14ac:dyDescent="0.25">
      <c r="A167" s="3" t="s">
        <v>314</v>
      </c>
      <c r="B167" s="6">
        <v>45879</v>
      </c>
      <c r="C167" s="3" t="s">
        <v>16</v>
      </c>
      <c r="D167" s="3" t="s">
        <v>126</v>
      </c>
      <c r="E167" s="3" t="s">
        <v>302</v>
      </c>
      <c r="F167" s="3">
        <v>1</v>
      </c>
      <c r="G167" s="3">
        <v>0</v>
      </c>
      <c r="H167" s="1">
        <f>VLOOKUP(D167,products!A:D,4,FALSE)</f>
        <v>185000</v>
      </c>
      <c r="I167" s="1" t="str">
        <f>VLOOKUP(C167,branches!A:B,2,FALSE)</f>
        <v>Naija Mart Ikeja</v>
      </c>
      <c r="J167" s="1">
        <f t="shared" si="4"/>
        <v>185000</v>
      </c>
      <c r="K167" s="1" t="str">
        <f>VLOOKUP(D167,products!A:D,2,FALSE)</f>
        <v>Electronics</v>
      </c>
      <c r="L167" s="1" t="str">
        <f t="shared" si="5"/>
        <v>Aug-2025</v>
      </c>
    </row>
    <row r="168" spans="1:12" x14ac:dyDescent="0.25">
      <c r="A168" s="3" t="s">
        <v>315</v>
      </c>
      <c r="B168" s="6">
        <v>45786</v>
      </c>
      <c r="C168" s="3" t="s">
        <v>8</v>
      </c>
      <c r="D168" s="3" t="s">
        <v>59</v>
      </c>
      <c r="E168" s="3" t="s">
        <v>87</v>
      </c>
      <c r="F168" s="3">
        <v>2</v>
      </c>
      <c r="G168" s="3">
        <v>0</v>
      </c>
      <c r="H168" s="1">
        <f>VLOOKUP(D168,products!A:D,4,FALSE)</f>
        <v>15000</v>
      </c>
      <c r="I168" s="1" t="str">
        <f>VLOOKUP(C168,branches!A:B,2,FALSE)</f>
        <v>Naija Mart GRA</v>
      </c>
      <c r="J168" s="1">
        <f t="shared" si="4"/>
        <v>30000</v>
      </c>
      <c r="K168" s="1" t="str">
        <f>VLOOKUP(D168,products!A:D,2,FALSE)</f>
        <v>Home Appliances</v>
      </c>
      <c r="L168" s="1" t="str">
        <f t="shared" si="5"/>
        <v>May-2025</v>
      </c>
    </row>
    <row r="169" spans="1:12" x14ac:dyDescent="0.25">
      <c r="A169" s="3" t="s">
        <v>316</v>
      </c>
      <c r="B169" s="6">
        <v>46002</v>
      </c>
      <c r="C169" s="3" t="s">
        <v>8</v>
      </c>
      <c r="D169" s="3" t="s">
        <v>51</v>
      </c>
      <c r="E169" s="3" t="s">
        <v>234</v>
      </c>
      <c r="F169" s="3">
        <v>1</v>
      </c>
      <c r="G169" s="3">
        <v>5</v>
      </c>
      <c r="H169" s="1">
        <f>VLOOKUP(D169,products!A:D,4,FALSE)</f>
        <v>18000</v>
      </c>
      <c r="I169" s="1" t="str">
        <f>VLOOKUP(C169,branches!A:B,2,FALSE)</f>
        <v>Naija Mart GRA</v>
      </c>
      <c r="J169" s="1">
        <f t="shared" si="4"/>
        <v>17100</v>
      </c>
      <c r="K169" s="1" t="str">
        <f>VLOOKUP(D169,products!A:D,2,FALSE)</f>
        <v>Small Gadgets</v>
      </c>
      <c r="L169" s="1" t="str">
        <f t="shared" si="5"/>
        <v>Dec-2025</v>
      </c>
    </row>
    <row r="170" spans="1:12" x14ac:dyDescent="0.25">
      <c r="A170" s="3" t="s">
        <v>317</v>
      </c>
      <c r="B170" s="6">
        <v>45842</v>
      </c>
      <c r="C170" s="3" t="s">
        <v>16</v>
      </c>
      <c r="D170" s="3" t="s">
        <v>149</v>
      </c>
      <c r="E170" s="3" t="s">
        <v>62</v>
      </c>
      <c r="F170" s="3">
        <v>1</v>
      </c>
      <c r="G170" s="3">
        <v>10</v>
      </c>
      <c r="H170" s="1">
        <f>VLOOKUP(D170,products!A:D,4,FALSE)</f>
        <v>6500</v>
      </c>
      <c r="I170" s="1" t="str">
        <f>VLOOKUP(C170,branches!A:B,2,FALSE)</f>
        <v>Naija Mart Ikeja</v>
      </c>
      <c r="J170" s="1">
        <f t="shared" si="4"/>
        <v>5850</v>
      </c>
      <c r="K170" s="1" t="str">
        <f>VLOOKUP(D170,products!A:D,2,FALSE)</f>
        <v>Small Gadgets</v>
      </c>
      <c r="L170" s="1" t="str">
        <f t="shared" si="5"/>
        <v>Jul-2025</v>
      </c>
    </row>
    <row r="171" spans="1:12" x14ac:dyDescent="0.25">
      <c r="A171" s="3" t="s">
        <v>318</v>
      </c>
      <c r="B171" s="6">
        <v>45931</v>
      </c>
      <c r="C171" s="3" t="s">
        <v>16</v>
      </c>
      <c r="D171" s="3" t="s">
        <v>126</v>
      </c>
      <c r="E171" s="3" t="s">
        <v>297</v>
      </c>
      <c r="F171" s="3">
        <v>5</v>
      </c>
      <c r="G171" s="3">
        <v>0</v>
      </c>
      <c r="H171" s="1">
        <f>VLOOKUP(D171,products!A:D,4,FALSE)</f>
        <v>185000</v>
      </c>
      <c r="I171" s="1" t="str">
        <f>VLOOKUP(C171,branches!A:B,2,FALSE)</f>
        <v>Naija Mart Ikeja</v>
      </c>
      <c r="J171" s="1">
        <f t="shared" si="4"/>
        <v>925000</v>
      </c>
      <c r="K171" s="1" t="str">
        <f>VLOOKUP(D171,products!A:D,2,FALSE)</f>
        <v>Electronics</v>
      </c>
      <c r="L171" s="1" t="str">
        <f t="shared" si="5"/>
        <v>Oct-2025</v>
      </c>
    </row>
    <row r="172" spans="1:12" x14ac:dyDescent="0.25">
      <c r="A172" s="3" t="s">
        <v>319</v>
      </c>
      <c r="B172" s="6">
        <v>45727</v>
      </c>
      <c r="C172" s="3" t="s">
        <v>16</v>
      </c>
      <c r="D172" s="3" t="s">
        <v>23</v>
      </c>
      <c r="E172" s="3" t="s">
        <v>44</v>
      </c>
      <c r="F172" s="3">
        <v>1</v>
      </c>
      <c r="G172" s="3">
        <v>20</v>
      </c>
      <c r="H172" s="1">
        <f>VLOOKUP(D172,products!A:D,4,FALSE)</f>
        <v>19500</v>
      </c>
      <c r="I172" s="1" t="str">
        <f>VLOOKUP(C172,branches!A:B,2,FALSE)</f>
        <v>Naija Mart Ikeja</v>
      </c>
      <c r="J172" s="1">
        <f t="shared" si="4"/>
        <v>15600</v>
      </c>
      <c r="K172" s="1" t="str">
        <f>VLOOKUP(D172,products!A:D,2,FALSE)</f>
        <v>Home Appliances</v>
      </c>
      <c r="L172" s="1" t="str">
        <f t="shared" si="5"/>
        <v>Mar-2025</v>
      </c>
    </row>
    <row r="173" spans="1:12" x14ac:dyDescent="0.25">
      <c r="A173" s="3" t="s">
        <v>320</v>
      </c>
      <c r="B173" s="6">
        <v>45737</v>
      </c>
      <c r="C173" s="3" t="s">
        <v>8</v>
      </c>
      <c r="D173" s="3" t="s">
        <v>26</v>
      </c>
      <c r="E173" s="3" t="s">
        <v>134</v>
      </c>
      <c r="F173" s="3">
        <v>1</v>
      </c>
      <c r="G173" s="3">
        <v>0</v>
      </c>
      <c r="H173" s="1">
        <f>VLOOKUP(D173,products!A:D,4,FALSE)</f>
        <v>145000</v>
      </c>
      <c r="I173" s="1" t="str">
        <f>VLOOKUP(C173,branches!A:B,2,FALSE)</f>
        <v>Naija Mart GRA</v>
      </c>
      <c r="J173" s="1">
        <f t="shared" si="4"/>
        <v>145000</v>
      </c>
      <c r="K173" s="1" t="str">
        <f>VLOOKUP(D173,products!A:D,2,FALSE)</f>
        <v>Electronics</v>
      </c>
      <c r="L173" s="1" t="str">
        <f t="shared" si="5"/>
        <v>Mar-2025</v>
      </c>
    </row>
    <row r="174" spans="1:12" x14ac:dyDescent="0.25">
      <c r="A174" s="3" t="s">
        <v>321</v>
      </c>
      <c r="B174" s="6">
        <v>45816</v>
      </c>
      <c r="C174" s="3" t="s">
        <v>12</v>
      </c>
      <c r="D174" s="3" t="s">
        <v>97</v>
      </c>
      <c r="E174" s="3" t="s">
        <v>322</v>
      </c>
      <c r="F174" s="3">
        <v>2</v>
      </c>
      <c r="G174" s="3">
        <v>10</v>
      </c>
      <c r="H174" s="1">
        <f>VLOOKUP(D174,products!A:D,4,FALSE)</f>
        <v>21000</v>
      </c>
      <c r="I174" s="1" t="str">
        <f>VLOOKUP(C174,branches!A:B,2,FALSE)</f>
        <v>Naija Mart Wuse</v>
      </c>
      <c r="J174" s="1">
        <f t="shared" si="4"/>
        <v>37800</v>
      </c>
      <c r="K174" s="1" t="str">
        <f>VLOOKUP(D174,products!A:D,2,FALSE)</f>
        <v>Small Gadgets</v>
      </c>
      <c r="L174" s="1" t="str">
        <f t="shared" si="5"/>
        <v>Jun-2025</v>
      </c>
    </row>
    <row r="175" spans="1:12" x14ac:dyDescent="0.25">
      <c r="A175" s="3" t="s">
        <v>323</v>
      </c>
      <c r="B175" s="6">
        <v>45823</v>
      </c>
      <c r="C175" s="3" t="s">
        <v>12</v>
      </c>
      <c r="D175" s="3" t="s">
        <v>20</v>
      </c>
      <c r="E175" s="3" t="s">
        <v>324</v>
      </c>
      <c r="F175" s="3">
        <v>1</v>
      </c>
      <c r="G175" s="3">
        <v>0</v>
      </c>
      <c r="H175" s="1">
        <f>VLOOKUP(D175,products!A:D,4,FALSE)</f>
        <v>38000</v>
      </c>
      <c r="I175" s="1" t="str">
        <f>VLOOKUP(C175,branches!A:B,2,FALSE)</f>
        <v>Naija Mart Wuse</v>
      </c>
      <c r="J175" s="1">
        <f t="shared" si="4"/>
        <v>38000</v>
      </c>
      <c r="K175" s="1" t="str">
        <f>VLOOKUP(D175,products!A:D,2,FALSE)</f>
        <v>Electronics</v>
      </c>
      <c r="L175" s="1" t="str">
        <f t="shared" si="5"/>
        <v>Jun-2025</v>
      </c>
    </row>
    <row r="176" spans="1:12" x14ac:dyDescent="0.25">
      <c r="A176" s="3" t="s">
        <v>325</v>
      </c>
      <c r="B176" s="6">
        <v>45758</v>
      </c>
      <c r="C176" s="3" t="s">
        <v>16</v>
      </c>
      <c r="D176" s="3" t="s">
        <v>13</v>
      </c>
      <c r="E176" s="3" t="s">
        <v>326</v>
      </c>
      <c r="F176" s="3">
        <v>1</v>
      </c>
      <c r="G176" s="3">
        <v>5</v>
      </c>
      <c r="H176" s="1">
        <f>VLOOKUP(D176,products!A:D,4,FALSE)</f>
        <v>24000</v>
      </c>
      <c r="I176" s="1" t="str">
        <f>VLOOKUP(C176,branches!A:B,2,FALSE)</f>
        <v>Naija Mart Ikeja</v>
      </c>
      <c r="J176" s="1">
        <f t="shared" si="4"/>
        <v>22800</v>
      </c>
      <c r="K176" s="1" t="str">
        <f>VLOOKUP(D176,products!A:D,2,FALSE)</f>
        <v>Home Appliances</v>
      </c>
      <c r="L176" s="1" t="str">
        <f t="shared" si="5"/>
        <v>Apr-2025</v>
      </c>
    </row>
    <row r="177" spans="1:12" x14ac:dyDescent="0.25">
      <c r="A177" s="3" t="s">
        <v>327</v>
      </c>
      <c r="B177" s="6">
        <v>45977</v>
      </c>
      <c r="C177" s="3" t="s">
        <v>12</v>
      </c>
      <c r="D177" s="3" t="s">
        <v>9</v>
      </c>
      <c r="E177" s="3" t="s">
        <v>120</v>
      </c>
      <c r="F177" s="3">
        <v>1</v>
      </c>
      <c r="G177" s="3">
        <v>15</v>
      </c>
      <c r="H177" s="1">
        <f>VLOOKUP(D177,products!A:D,4,FALSE)</f>
        <v>410000</v>
      </c>
      <c r="I177" s="1" t="str">
        <f>VLOOKUP(C177,branches!A:B,2,FALSE)</f>
        <v>Naija Mart Wuse</v>
      </c>
      <c r="J177" s="1">
        <f t="shared" si="4"/>
        <v>348500</v>
      </c>
      <c r="K177" s="1" t="str">
        <f>VLOOKUP(D177,products!A:D,2,FALSE)</f>
        <v>Home Appliances</v>
      </c>
      <c r="L177" s="1" t="str">
        <f t="shared" si="5"/>
        <v>Nov-2025</v>
      </c>
    </row>
    <row r="178" spans="1:12" x14ac:dyDescent="0.25">
      <c r="A178" s="3" t="s">
        <v>328</v>
      </c>
      <c r="B178" s="6">
        <v>45788</v>
      </c>
      <c r="C178" s="3" t="s">
        <v>12</v>
      </c>
      <c r="D178" s="3" t="s">
        <v>94</v>
      </c>
      <c r="E178" s="3" t="s">
        <v>27</v>
      </c>
      <c r="F178" s="3">
        <v>5</v>
      </c>
      <c r="G178" s="3">
        <v>10</v>
      </c>
      <c r="H178" s="1">
        <f>VLOOKUP(D178,products!A:D,4,FALSE)</f>
        <v>320000</v>
      </c>
      <c r="I178" s="1" t="str">
        <f>VLOOKUP(C178,branches!A:B,2,FALSE)</f>
        <v>Naija Mart Wuse</v>
      </c>
      <c r="J178" s="1">
        <f t="shared" si="4"/>
        <v>1440000</v>
      </c>
      <c r="K178" s="1" t="str">
        <f>VLOOKUP(D178,products!A:D,2,FALSE)</f>
        <v>Electronics</v>
      </c>
      <c r="L178" s="1" t="str">
        <f t="shared" si="5"/>
        <v>May-2025</v>
      </c>
    </row>
    <row r="179" spans="1:12" x14ac:dyDescent="0.25">
      <c r="A179" s="3" t="s">
        <v>329</v>
      </c>
      <c r="B179" s="6">
        <v>45660</v>
      </c>
      <c r="C179" s="3" t="s">
        <v>16</v>
      </c>
      <c r="D179" s="3" t="s">
        <v>258</v>
      </c>
      <c r="E179" s="3" t="s">
        <v>14</v>
      </c>
      <c r="F179" s="3">
        <v>3</v>
      </c>
      <c r="G179" s="3">
        <v>0</v>
      </c>
      <c r="H179" s="1">
        <f>VLOOKUP(D179,products!A:D,4,FALSE)</f>
        <v>95000</v>
      </c>
      <c r="I179" s="1" t="str">
        <f>VLOOKUP(C179,branches!A:B,2,FALSE)</f>
        <v>Naija Mart Ikeja</v>
      </c>
      <c r="J179" s="1">
        <f t="shared" si="4"/>
        <v>285000</v>
      </c>
      <c r="K179" s="1" t="str">
        <f>VLOOKUP(D179,products!A:D,2,FALSE)</f>
        <v>Electronics</v>
      </c>
      <c r="L179" s="1" t="str">
        <f t="shared" si="5"/>
        <v>Jan-2025</v>
      </c>
    </row>
    <row r="180" spans="1:12" x14ac:dyDescent="0.25">
      <c r="A180" s="3" t="s">
        <v>330</v>
      </c>
      <c r="B180" s="6">
        <v>45658</v>
      </c>
      <c r="C180" s="3" t="s">
        <v>16</v>
      </c>
      <c r="D180" s="3" t="s">
        <v>17</v>
      </c>
      <c r="E180" s="3" t="s">
        <v>169</v>
      </c>
      <c r="F180" s="3">
        <v>1</v>
      </c>
      <c r="G180" s="3">
        <v>10</v>
      </c>
      <c r="H180" s="1">
        <f>VLOOKUP(D180,products!A:D,4,FALSE)</f>
        <v>22000</v>
      </c>
      <c r="I180" s="1" t="str">
        <f>VLOOKUP(C180,branches!A:B,2,FALSE)</f>
        <v>Naija Mart Ikeja</v>
      </c>
      <c r="J180" s="1">
        <f t="shared" si="4"/>
        <v>19800</v>
      </c>
      <c r="K180" s="1" t="str">
        <f>VLOOKUP(D180,products!A:D,2,FALSE)</f>
        <v>Home Appliances</v>
      </c>
      <c r="L180" s="1" t="str">
        <f t="shared" si="5"/>
        <v>Jan-2025</v>
      </c>
    </row>
    <row r="181" spans="1:12" x14ac:dyDescent="0.25">
      <c r="A181" s="3" t="s">
        <v>331</v>
      </c>
      <c r="B181" s="6">
        <v>45758</v>
      </c>
      <c r="C181" s="3" t="s">
        <v>16</v>
      </c>
      <c r="D181" s="3" t="s">
        <v>69</v>
      </c>
      <c r="E181" s="3" t="s">
        <v>182</v>
      </c>
      <c r="F181" s="3">
        <v>2</v>
      </c>
      <c r="G181" s="3">
        <v>0</v>
      </c>
      <c r="H181" s="1">
        <f>VLOOKUP(D181,products!A:D,4,FALSE)</f>
        <v>45000</v>
      </c>
      <c r="I181" s="1" t="str">
        <f>VLOOKUP(C181,branches!A:B,2,FALSE)</f>
        <v>Naija Mart Ikeja</v>
      </c>
      <c r="J181" s="1">
        <f t="shared" si="4"/>
        <v>90000</v>
      </c>
      <c r="K181" s="1" t="str">
        <f>VLOOKUP(D181,products!A:D,2,FALSE)</f>
        <v>Electronics</v>
      </c>
      <c r="L181" s="1" t="str">
        <f t="shared" si="5"/>
        <v>Apr-2025</v>
      </c>
    </row>
    <row r="182" spans="1:12" x14ac:dyDescent="0.25">
      <c r="A182" s="3" t="s">
        <v>332</v>
      </c>
      <c r="B182" s="6">
        <v>46005</v>
      </c>
      <c r="C182" s="3" t="s">
        <v>16</v>
      </c>
      <c r="D182" s="3" t="s">
        <v>94</v>
      </c>
      <c r="E182" s="3" t="s">
        <v>333</v>
      </c>
      <c r="F182" s="3">
        <v>1</v>
      </c>
      <c r="G182" s="3">
        <v>0</v>
      </c>
      <c r="H182" s="1">
        <f>VLOOKUP(D182,products!A:D,4,FALSE)</f>
        <v>320000</v>
      </c>
      <c r="I182" s="1" t="str">
        <f>VLOOKUP(C182,branches!A:B,2,FALSE)</f>
        <v>Naija Mart Ikeja</v>
      </c>
      <c r="J182" s="1">
        <f t="shared" si="4"/>
        <v>320000</v>
      </c>
      <c r="K182" s="1" t="str">
        <f>VLOOKUP(D182,products!A:D,2,FALSE)</f>
        <v>Electronics</v>
      </c>
      <c r="L182" s="1" t="str">
        <f t="shared" si="5"/>
        <v>Dec-2025</v>
      </c>
    </row>
    <row r="183" spans="1:12" x14ac:dyDescent="0.25">
      <c r="A183" s="3" t="s">
        <v>334</v>
      </c>
      <c r="B183" s="6">
        <v>45669</v>
      </c>
      <c r="C183" s="3" t="s">
        <v>8</v>
      </c>
      <c r="D183" s="3" t="s">
        <v>49</v>
      </c>
      <c r="E183" s="3" t="s">
        <v>335</v>
      </c>
      <c r="F183" s="3">
        <v>2</v>
      </c>
      <c r="G183" s="3">
        <v>30</v>
      </c>
      <c r="H183" s="1">
        <f>VLOOKUP(D183,products!A:D,4,FALSE)</f>
        <v>28000</v>
      </c>
      <c r="I183" s="1" t="str">
        <f>VLOOKUP(C183,branches!A:B,2,FALSE)</f>
        <v>Naija Mart GRA</v>
      </c>
      <c r="J183" s="1">
        <f t="shared" si="4"/>
        <v>39200</v>
      </c>
      <c r="K183" s="1" t="str">
        <f>VLOOKUP(D183,products!A:D,2,FALSE)</f>
        <v>Home Appliances</v>
      </c>
      <c r="L183" s="1" t="str">
        <f t="shared" si="5"/>
        <v>Jan-2025</v>
      </c>
    </row>
    <row r="184" spans="1:12" x14ac:dyDescent="0.25">
      <c r="A184" s="3" t="s">
        <v>336</v>
      </c>
      <c r="B184" s="6">
        <v>45945</v>
      </c>
      <c r="C184" s="3" t="s">
        <v>16</v>
      </c>
      <c r="D184" s="3" t="s">
        <v>49</v>
      </c>
      <c r="E184" s="3" t="s">
        <v>112</v>
      </c>
      <c r="F184" s="3">
        <v>1</v>
      </c>
      <c r="G184" s="3">
        <v>0</v>
      </c>
      <c r="H184" s="1">
        <f>VLOOKUP(D184,products!A:D,4,FALSE)</f>
        <v>28000</v>
      </c>
      <c r="I184" s="1" t="str">
        <f>VLOOKUP(C184,branches!A:B,2,FALSE)</f>
        <v>Naija Mart Ikeja</v>
      </c>
      <c r="J184" s="1">
        <f t="shared" si="4"/>
        <v>28000</v>
      </c>
      <c r="K184" s="1" t="str">
        <f>VLOOKUP(D184,products!A:D,2,FALSE)</f>
        <v>Home Appliances</v>
      </c>
      <c r="L184" s="1" t="str">
        <f t="shared" si="5"/>
        <v>Oct-2025</v>
      </c>
    </row>
    <row r="185" spans="1:12" x14ac:dyDescent="0.25">
      <c r="A185" s="3" t="s">
        <v>337</v>
      </c>
      <c r="B185" s="6">
        <v>45844</v>
      </c>
      <c r="C185" s="3" t="s">
        <v>12</v>
      </c>
      <c r="D185" s="3" t="s">
        <v>59</v>
      </c>
      <c r="E185" s="3" t="s">
        <v>100</v>
      </c>
      <c r="F185" s="3">
        <v>5</v>
      </c>
      <c r="G185" s="3">
        <v>5</v>
      </c>
      <c r="H185" s="1">
        <f>VLOOKUP(D185,products!A:D,4,FALSE)</f>
        <v>15000</v>
      </c>
      <c r="I185" s="1" t="str">
        <f>VLOOKUP(C185,branches!A:B,2,FALSE)</f>
        <v>Naija Mart Wuse</v>
      </c>
      <c r="J185" s="1">
        <f t="shared" si="4"/>
        <v>71250</v>
      </c>
      <c r="K185" s="1" t="str">
        <f>VLOOKUP(D185,products!A:D,2,FALSE)</f>
        <v>Home Appliances</v>
      </c>
      <c r="L185" s="1" t="str">
        <f t="shared" si="5"/>
        <v>Jul-2025</v>
      </c>
    </row>
    <row r="186" spans="1:12" x14ac:dyDescent="0.25">
      <c r="A186" s="3" t="s">
        <v>338</v>
      </c>
      <c r="B186" s="6">
        <v>45685</v>
      </c>
      <c r="C186" s="3" t="s">
        <v>12</v>
      </c>
      <c r="D186" s="3" t="s">
        <v>43</v>
      </c>
      <c r="E186" s="3" t="s">
        <v>47</v>
      </c>
      <c r="F186" s="3">
        <v>3</v>
      </c>
      <c r="G186" s="3">
        <v>0</v>
      </c>
      <c r="H186" s="1">
        <f>VLOOKUP(D186,products!A:D,4,FALSE)</f>
        <v>74000</v>
      </c>
      <c r="I186" s="1" t="str">
        <f>VLOOKUP(C186,branches!A:B,2,FALSE)</f>
        <v>Naija Mart Wuse</v>
      </c>
      <c r="J186" s="1">
        <f t="shared" si="4"/>
        <v>222000</v>
      </c>
      <c r="K186" s="1" t="str">
        <f>VLOOKUP(D186,products!A:D,2,FALSE)</f>
        <v>Home Appliances</v>
      </c>
      <c r="L186" s="1" t="str">
        <f t="shared" si="5"/>
        <v>Jan-2025</v>
      </c>
    </row>
    <row r="187" spans="1:12" x14ac:dyDescent="0.25">
      <c r="A187" s="3" t="s">
        <v>339</v>
      </c>
      <c r="B187" s="6">
        <v>45811</v>
      </c>
      <c r="C187" s="3" t="s">
        <v>36</v>
      </c>
      <c r="D187" s="3" t="s">
        <v>17</v>
      </c>
      <c r="E187" s="3" t="s">
        <v>165</v>
      </c>
      <c r="F187" s="3">
        <v>1</v>
      </c>
      <c r="G187" s="3">
        <v>5</v>
      </c>
      <c r="H187" s="1">
        <f>VLOOKUP(D187,products!A:D,4,FALSE)</f>
        <v>22000</v>
      </c>
      <c r="I187" s="1" t="str">
        <f>VLOOKUP(C187,branches!A:B,2,FALSE)</f>
        <v>Naija Mart Sabon Gari</v>
      </c>
      <c r="J187" s="1">
        <f t="shared" si="4"/>
        <v>20900</v>
      </c>
      <c r="K187" s="1" t="str">
        <f>VLOOKUP(D187,products!A:D,2,FALSE)</f>
        <v>Home Appliances</v>
      </c>
      <c r="L187" s="1" t="str">
        <f t="shared" si="5"/>
        <v>Jun-2025</v>
      </c>
    </row>
    <row r="188" spans="1:12" x14ac:dyDescent="0.25">
      <c r="A188" s="3" t="s">
        <v>340</v>
      </c>
      <c r="B188" s="6">
        <v>45962</v>
      </c>
      <c r="C188" s="3" t="s">
        <v>12</v>
      </c>
      <c r="D188" s="3" t="s">
        <v>80</v>
      </c>
      <c r="E188" s="3" t="s">
        <v>341</v>
      </c>
      <c r="F188" s="3">
        <v>1</v>
      </c>
      <c r="G188" s="3">
        <v>15</v>
      </c>
      <c r="H188" s="1">
        <f>VLOOKUP(D188,products!A:D,4,FALSE)</f>
        <v>265000</v>
      </c>
      <c r="I188" s="1" t="str">
        <f>VLOOKUP(C188,branches!A:B,2,FALSE)</f>
        <v>Naija Mart Wuse</v>
      </c>
      <c r="J188" s="1">
        <f t="shared" si="4"/>
        <v>225250</v>
      </c>
      <c r="K188" s="1" t="str">
        <f>VLOOKUP(D188,products!A:D,2,FALSE)</f>
        <v>Home Appliances</v>
      </c>
      <c r="L188" s="1" t="str">
        <f t="shared" si="5"/>
        <v>Nov-2025</v>
      </c>
    </row>
    <row r="189" spans="1:12" x14ac:dyDescent="0.25">
      <c r="A189" s="3" t="s">
        <v>342</v>
      </c>
      <c r="B189" s="6">
        <v>45891</v>
      </c>
      <c r="C189" s="3" t="s">
        <v>16</v>
      </c>
      <c r="D189" s="3" t="s">
        <v>9</v>
      </c>
      <c r="E189" s="3" t="s">
        <v>343</v>
      </c>
      <c r="F189" s="3">
        <v>3</v>
      </c>
      <c r="G189" s="3">
        <v>20</v>
      </c>
      <c r="H189" s="1">
        <f>VLOOKUP(D189,products!A:D,4,FALSE)</f>
        <v>410000</v>
      </c>
      <c r="I189" s="1" t="str">
        <f>VLOOKUP(C189,branches!A:B,2,FALSE)</f>
        <v>Naija Mart Ikeja</v>
      </c>
      <c r="J189" s="1">
        <f t="shared" si="4"/>
        <v>984000</v>
      </c>
      <c r="K189" s="1" t="str">
        <f>VLOOKUP(D189,products!A:D,2,FALSE)</f>
        <v>Home Appliances</v>
      </c>
      <c r="L189" s="1" t="str">
        <f t="shared" si="5"/>
        <v>Aug-2025</v>
      </c>
    </row>
    <row r="190" spans="1:12" x14ac:dyDescent="0.25">
      <c r="A190" s="3" t="s">
        <v>344</v>
      </c>
      <c r="B190" s="6">
        <v>45934</v>
      </c>
      <c r="C190" s="3" t="s">
        <v>16</v>
      </c>
      <c r="D190" s="3" t="s">
        <v>80</v>
      </c>
      <c r="E190" s="3" t="s">
        <v>159</v>
      </c>
      <c r="F190" s="3">
        <v>1</v>
      </c>
      <c r="G190" s="3">
        <v>0</v>
      </c>
      <c r="H190" s="1">
        <f>VLOOKUP(D190,products!A:D,4,FALSE)</f>
        <v>265000</v>
      </c>
      <c r="I190" s="1" t="str">
        <f>VLOOKUP(C190,branches!A:B,2,FALSE)</f>
        <v>Naija Mart Ikeja</v>
      </c>
      <c r="J190" s="1">
        <f t="shared" si="4"/>
        <v>265000</v>
      </c>
      <c r="K190" s="1" t="str">
        <f>VLOOKUP(D190,products!A:D,2,FALSE)</f>
        <v>Home Appliances</v>
      </c>
      <c r="L190" s="1" t="str">
        <f t="shared" si="5"/>
        <v>Oct-2025</v>
      </c>
    </row>
    <row r="191" spans="1:12" x14ac:dyDescent="0.25">
      <c r="A191" s="3" t="s">
        <v>345</v>
      </c>
      <c r="B191" s="6">
        <v>46003</v>
      </c>
      <c r="C191" s="3" t="s">
        <v>8</v>
      </c>
      <c r="D191" s="3" t="s">
        <v>258</v>
      </c>
      <c r="E191" s="3" t="s">
        <v>346</v>
      </c>
      <c r="F191" s="3">
        <v>1</v>
      </c>
      <c r="G191" s="3">
        <v>0</v>
      </c>
      <c r="H191" s="1">
        <f>VLOOKUP(D191,products!A:D,4,FALSE)</f>
        <v>95000</v>
      </c>
      <c r="I191" s="1" t="str">
        <f>VLOOKUP(C191,branches!A:B,2,FALSE)</f>
        <v>Naija Mart GRA</v>
      </c>
      <c r="J191" s="1">
        <f t="shared" si="4"/>
        <v>95000</v>
      </c>
      <c r="K191" s="1" t="str">
        <f>VLOOKUP(D191,products!A:D,2,FALSE)</f>
        <v>Electronics</v>
      </c>
      <c r="L191" s="1" t="str">
        <f t="shared" si="5"/>
        <v>Dec-2025</v>
      </c>
    </row>
    <row r="192" spans="1:12" x14ac:dyDescent="0.25">
      <c r="A192" s="3" t="s">
        <v>347</v>
      </c>
      <c r="B192" s="6">
        <v>46019</v>
      </c>
      <c r="C192" s="3" t="s">
        <v>12</v>
      </c>
      <c r="D192" s="3" t="s">
        <v>91</v>
      </c>
      <c r="E192" s="3" t="s">
        <v>167</v>
      </c>
      <c r="F192" s="3">
        <v>2</v>
      </c>
      <c r="G192" s="3">
        <v>15</v>
      </c>
      <c r="H192" s="1">
        <f>VLOOKUP(D192,products!A:D,4,FALSE)</f>
        <v>5200</v>
      </c>
      <c r="I192" s="1" t="str">
        <f>VLOOKUP(C192,branches!A:B,2,FALSE)</f>
        <v>Naija Mart Wuse</v>
      </c>
      <c r="J192" s="1">
        <f t="shared" si="4"/>
        <v>8840</v>
      </c>
      <c r="K192" s="1" t="str">
        <f>VLOOKUP(D192,products!A:D,2,FALSE)</f>
        <v>Small Gadgets</v>
      </c>
      <c r="L192" s="1" t="str">
        <f t="shared" si="5"/>
        <v>Dec-2025</v>
      </c>
    </row>
    <row r="193" spans="1:12" x14ac:dyDescent="0.25">
      <c r="A193" s="3" t="s">
        <v>348</v>
      </c>
      <c r="B193" s="6">
        <v>46019</v>
      </c>
      <c r="C193" s="3" t="s">
        <v>16</v>
      </c>
      <c r="D193" s="3" t="s">
        <v>197</v>
      </c>
      <c r="E193" s="3" t="s">
        <v>349</v>
      </c>
      <c r="F193" s="3">
        <v>1</v>
      </c>
      <c r="G193" s="3">
        <v>5</v>
      </c>
      <c r="H193" s="1">
        <f>VLOOKUP(D193,products!A:D,4,FALSE)</f>
        <v>78000</v>
      </c>
      <c r="I193" s="1" t="str">
        <f>VLOOKUP(C193,branches!A:B,2,FALSE)</f>
        <v>Naija Mart Ikeja</v>
      </c>
      <c r="J193" s="1">
        <f t="shared" si="4"/>
        <v>74100</v>
      </c>
      <c r="K193" s="1" t="str">
        <f>VLOOKUP(D193,products!A:D,2,FALSE)</f>
        <v>Electronics</v>
      </c>
      <c r="L193" s="1" t="str">
        <f t="shared" si="5"/>
        <v>Dec-2025</v>
      </c>
    </row>
    <row r="194" spans="1:12" x14ac:dyDescent="0.25">
      <c r="A194" s="3" t="s">
        <v>350</v>
      </c>
      <c r="B194" s="6">
        <v>45912</v>
      </c>
      <c r="C194" s="3" t="s">
        <v>12</v>
      </c>
      <c r="D194" s="3" t="s">
        <v>51</v>
      </c>
      <c r="E194" s="3" t="s">
        <v>351</v>
      </c>
      <c r="F194" s="3">
        <v>1</v>
      </c>
      <c r="G194" s="3">
        <v>10</v>
      </c>
      <c r="H194" s="1">
        <f>VLOOKUP(D194,products!A:D,4,FALSE)</f>
        <v>18000</v>
      </c>
      <c r="I194" s="1" t="str">
        <f>VLOOKUP(C194,branches!A:B,2,FALSE)</f>
        <v>Naija Mart Wuse</v>
      </c>
      <c r="J194" s="1">
        <f t="shared" si="4"/>
        <v>16200</v>
      </c>
      <c r="K194" s="1" t="str">
        <f>VLOOKUP(D194,products!A:D,2,FALSE)</f>
        <v>Small Gadgets</v>
      </c>
      <c r="L194" s="1" t="str">
        <f t="shared" si="5"/>
        <v>Sep-2025</v>
      </c>
    </row>
    <row r="195" spans="1:12" x14ac:dyDescent="0.25">
      <c r="A195" s="3" t="s">
        <v>352</v>
      </c>
      <c r="B195" s="6">
        <v>45877</v>
      </c>
      <c r="C195" s="3" t="s">
        <v>16</v>
      </c>
      <c r="D195" s="3" t="s">
        <v>56</v>
      </c>
      <c r="E195" s="3" t="s">
        <v>353</v>
      </c>
      <c r="F195" s="3">
        <v>1</v>
      </c>
      <c r="G195" s="3">
        <v>0</v>
      </c>
      <c r="H195" s="1">
        <f>VLOOKUP(D195,products!A:D,4,FALSE)</f>
        <v>285000</v>
      </c>
      <c r="I195" s="1" t="str">
        <f>VLOOKUP(C195,branches!A:B,2,FALSE)</f>
        <v>Naija Mart Ikeja</v>
      </c>
      <c r="J195" s="1">
        <f t="shared" ref="J195:J258" si="6">F195*H195*(1-G195/100)</f>
        <v>285000</v>
      </c>
      <c r="K195" s="1" t="str">
        <f>VLOOKUP(D195,products!A:D,2,FALSE)</f>
        <v>Home Appliances</v>
      </c>
      <c r="L195" s="1" t="str">
        <f t="shared" ref="L195:L258" si="7">TEXT(B195,"mmm-yyyy")</f>
        <v>Aug-2025</v>
      </c>
    </row>
    <row r="196" spans="1:12" x14ac:dyDescent="0.25">
      <c r="A196" s="3" t="s">
        <v>354</v>
      </c>
      <c r="B196" s="6">
        <v>45789</v>
      </c>
      <c r="C196" s="3" t="s">
        <v>12</v>
      </c>
      <c r="D196" s="3" t="s">
        <v>258</v>
      </c>
      <c r="E196" s="3" t="s">
        <v>355</v>
      </c>
      <c r="F196" s="3">
        <v>1</v>
      </c>
      <c r="G196" s="3">
        <v>10</v>
      </c>
      <c r="H196" s="1">
        <f>VLOOKUP(D196,products!A:D,4,FALSE)</f>
        <v>95000</v>
      </c>
      <c r="I196" s="1" t="str">
        <f>VLOOKUP(C196,branches!A:B,2,FALSE)</f>
        <v>Naija Mart Wuse</v>
      </c>
      <c r="J196" s="1">
        <f t="shared" si="6"/>
        <v>85500</v>
      </c>
      <c r="K196" s="1" t="str">
        <f>VLOOKUP(D196,products!A:D,2,FALSE)</f>
        <v>Electronics</v>
      </c>
      <c r="L196" s="1" t="str">
        <f t="shared" si="7"/>
        <v>May-2025</v>
      </c>
    </row>
    <row r="197" spans="1:12" x14ac:dyDescent="0.25">
      <c r="A197" s="3" t="s">
        <v>356</v>
      </c>
      <c r="B197" s="6">
        <v>45979</v>
      </c>
      <c r="C197" s="3" t="s">
        <v>12</v>
      </c>
      <c r="D197" s="3" t="s">
        <v>97</v>
      </c>
      <c r="E197" s="3" t="s">
        <v>150</v>
      </c>
      <c r="F197" s="3">
        <v>1</v>
      </c>
      <c r="G197" s="3">
        <v>10</v>
      </c>
      <c r="H197" s="1">
        <f>VLOOKUP(D197,products!A:D,4,FALSE)</f>
        <v>21000</v>
      </c>
      <c r="I197" s="1" t="str">
        <f>VLOOKUP(C197,branches!A:B,2,FALSE)</f>
        <v>Naija Mart Wuse</v>
      </c>
      <c r="J197" s="1">
        <f t="shared" si="6"/>
        <v>18900</v>
      </c>
      <c r="K197" s="1" t="str">
        <f>VLOOKUP(D197,products!A:D,2,FALSE)</f>
        <v>Small Gadgets</v>
      </c>
      <c r="L197" s="1" t="str">
        <f t="shared" si="7"/>
        <v>Nov-2025</v>
      </c>
    </row>
    <row r="198" spans="1:12" x14ac:dyDescent="0.25">
      <c r="A198" s="3" t="s">
        <v>357</v>
      </c>
      <c r="B198" s="6">
        <v>45774</v>
      </c>
      <c r="C198" s="3" t="s">
        <v>8</v>
      </c>
      <c r="D198" s="3" t="s">
        <v>9</v>
      </c>
      <c r="E198" s="3" t="s">
        <v>47</v>
      </c>
      <c r="F198" s="3">
        <v>2</v>
      </c>
      <c r="G198" s="3">
        <v>0</v>
      </c>
      <c r="H198" s="1">
        <f>VLOOKUP(D198,products!A:D,4,FALSE)</f>
        <v>410000</v>
      </c>
      <c r="I198" s="1" t="str">
        <f>VLOOKUP(C198,branches!A:B,2,FALSE)</f>
        <v>Naija Mart GRA</v>
      </c>
      <c r="J198" s="1">
        <f t="shared" si="6"/>
        <v>820000</v>
      </c>
      <c r="K198" s="1" t="str">
        <f>VLOOKUP(D198,products!A:D,2,FALSE)</f>
        <v>Home Appliances</v>
      </c>
      <c r="L198" s="1" t="str">
        <f t="shared" si="7"/>
        <v>Apr-2025</v>
      </c>
    </row>
    <row r="199" spans="1:12" x14ac:dyDescent="0.25">
      <c r="A199" s="3" t="s">
        <v>358</v>
      </c>
      <c r="B199" s="6">
        <v>46003</v>
      </c>
      <c r="C199" s="3" t="s">
        <v>12</v>
      </c>
      <c r="D199" s="3" t="s">
        <v>43</v>
      </c>
      <c r="E199" s="3" t="s">
        <v>70</v>
      </c>
      <c r="F199" s="3">
        <v>1</v>
      </c>
      <c r="G199" s="3">
        <v>10</v>
      </c>
      <c r="H199" s="1">
        <f>VLOOKUP(D199,products!A:D,4,FALSE)</f>
        <v>74000</v>
      </c>
      <c r="I199" s="1" t="str">
        <f>VLOOKUP(C199,branches!A:B,2,FALSE)</f>
        <v>Naija Mart Wuse</v>
      </c>
      <c r="J199" s="1">
        <f t="shared" si="6"/>
        <v>66600</v>
      </c>
      <c r="K199" s="1" t="str">
        <f>VLOOKUP(D199,products!A:D,2,FALSE)</f>
        <v>Home Appliances</v>
      </c>
      <c r="L199" s="1" t="str">
        <f t="shared" si="7"/>
        <v>Dec-2025</v>
      </c>
    </row>
    <row r="200" spans="1:12" x14ac:dyDescent="0.25">
      <c r="A200" s="3" t="s">
        <v>359</v>
      </c>
      <c r="B200" s="6">
        <v>45797</v>
      </c>
      <c r="C200" s="3" t="s">
        <v>36</v>
      </c>
      <c r="D200" s="3" t="s">
        <v>46</v>
      </c>
      <c r="E200" s="3" t="s">
        <v>360</v>
      </c>
      <c r="F200" s="3">
        <v>2</v>
      </c>
      <c r="G200" s="3">
        <v>0</v>
      </c>
      <c r="H200" s="1">
        <f>VLOOKUP(D200,products!A:D,4,FALSE)</f>
        <v>62000</v>
      </c>
      <c r="I200" s="1" t="str">
        <f>VLOOKUP(C200,branches!A:B,2,FALSE)</f>
        <v>Naija Mart Sabon Gari</v>
      </c>
      <c r="J200" s="1">
        <f t="shared" si="6"/>
        <v>124000</v>
      </c>
      <c r="K200" s="1" t="str">
        <f>VLOOKUP(D200,products!A:D,2,FALSE)</f>
        <v>Home Appliances</v>
      </c>
      <c r="L200" s="1" t="str">
        <f t="shared" si="7"/>
        <v>May-2025</v>
      </c>
    </row>
    <row r="201" spans="1:12" x14ac:dyDescent="0.25">
      <c r="A201" s="3" t="s">
        <v>361</v>
      </c>
      <c r="B201" s="6">
        <v>45738</v>
      </c>
      <c r="C201" s="3" t="s">
        <v>16</v>
      </c>
      <c r="D201" s="3" t="s">
        <v>126</v>
      </c>
      <c r="E201" s="3" t="s">
        <v>60</v>
      </c>
      <c r="F201" s="3">
        <v>2</v>
      </c>
      <c r="G201" s="3">
        <v>0</v>
      </c>
      <c r="H201" s="1">
        <f>VLOOKUP(D201,products!A:D,4,FALSE)</f>
        <v>185000</v>
      </c>
      <c r="I201" s="1" t="str">
        <f>VLOOKUP(C201,branches!A:B,2,FALSE)</f>
        <v>Naija Mart Ikeja</v>
      </c>
      <c r="J201" s="1">
        <f t="shared" si="6"/>
        <v>370000</v>
      </c>
      <c r="K201" s="1" t="str">
        <f>VLOOKUP(D201,products!A:D,2,FALSE)</f>
        <v>Electronics</v>
      </c>
      <c r="L201" s="1" t="str">
        <f t="shared" si="7"/>
        <v>Mar-2025</v>
      </c>
    </row>
    <row r="202" spans="1:12" x14ac:dyDescent="0.25">
      <c r="A202" s="3" t="s">
        <v>362</v>
      </c>
      <c r="B202" s="6">
        <v>45778</v>
      </c>
      <c r="C202" s="3" t="s">
        <v>12</v>
      </c>
      <c r="D202" s="3" t="s">
        <v>9</v>
      </c>
      <c r="E202" s="3" t="s">
        <v>114</v>
      </c>
      <c r="F202" s="3">
        <v>1</v>
      </c>
      <c r="G202" s="3">
        <v>0</v>
      </c>
      <c r="H202" s="1">
        <f>VLOOKUP(D202,products!A:D,4,FALSE)</f>
        <v>410000</v>
      </c>
      <c r="I202" s="1" t="str">
        <f>VLOOKUP(C202,branches!A:B,2,FALSE)</f>
        <v>Naija Mart Wuse</v>
      </c>
      <c r="J202" s="1">
        <f t="shared" si="6"/>
        <v>410000</v>
      </c>
      <c r="K202" s="1" t="str">
        <f>VLOOKUP(D202,products!A:D,2,FALSE)</f>
        <v>Home Appliances</v>
      </c>
      <c r="L202" s="1" t="str">
        <f t="shared" si="7"/>
        <v>May-2025</v>
      </c>
    </row>
    <row r="203" spans="1:12" x14ac:dyDescent="0.25">
      <c r="A203" s="3" t="s">
        <v>363</v>
      </c>
      <c r="B203" s="6">
        <v>45993</v>
      </c>
      <c r="C203" s="3" t="s">
        <v>12</v>
      </c>
      <c r="D203" s="3" t="s">
        <v>69</v>
      </c>
      <c r="E203" s="3" t="s">
        <v>364</v>
      </c>
      <c r="F203" s="3">
        <v>1</v>
      </c>
      <c r="G203" s="3">
        <v>15</v>
      </c>
      <c r="H203" s="1">
        <f>VLOOKUP(D203,products!A:D,4,FALSE)</f>
        <v>45000</v>
      </c>
      <c r="I203" s="1" t="str">
        <f>VLOOKUP(C203,branches!A:B,2,FALSE)</f>
        <v>Naija Mart Wuse</v>
      </c>
      <c r="J203" s="1">
        <f t="shared" si="6"/>
        <v>38250</v>
      </c>
      <c r="K203" s="1" t="str">
        <f>VLOOKUP(D203,products!A:D,2,FALSE)</f>
        <v>Electronics</v>
      </c>
      <c r="L203" s="1" t="str">
        <f t="shared" si="7"/>
        <v>Dec-2025</v>
      </c>
    </row>
    <row r="204" spans="1:12" x14ac:dyDescent="0.25">
      <c r="A204" s="3" t="s">
        <v>365</v>
      </c>
      <c r="B204" s="6">
        <v>45797</v>
      </c>
      <c r="C204" s="3" t="s">
        <v>8</v>
      </c>
      <c r="D204" s="3" t="s">
        <v>64</v>
      </c>
      <c r="E204" s="3" t="s">
        <v>138</v>
      </c>
      <c r="F204" s="3">
        <v>1</v>
      </c>
      <c r="G204" s="3">
        <v>15</v>
      </c>
      <c r="H204" s="1">
        <f>VLOOKUP(D204,products!A:D,4,FALSE)</f>
        <v>175000</v>
      </c>
      <c r="I204" s="1" t="str">
        <f>VLOOKUP(C204,branches!A:B,2,FALSE)</f>
        <v>Naija Mart GRA</v>
      </c>
      <c r="J204" s="1">
        <f t="shared" si="6"/>
        <v>148750</v>
      </c>
      <c r="K204" s="1" t="str">
        <f>VLOOKUP(D204,products!A:D,2,FALSE)</f>
        <v>Generators &amp; Power</v>
      </c>
      <c r="L204" s="1" t="str">
        <f t="shared" si="7"/>
        <v>May-2025</v>
      </c>
    </row>
    <row r="205" spans="1:12" x14ac:dyDescent="0.25">
      <c r="A205" s="3" t="s">
        <v>366</v>
      </c>
      <c r="B205" s="6">
        <v>45781</v>
      </c>
      <c r="C205" s="3" t="s">
        <v>16</v>
      </c>
      <c r="D205" s="3" t="s">
        <v>91</v>
      </c>
      <c r="E205" s="3" t="s">
        <v>367</v>
      </c>
      <c r="F205" s="3">
        <v>1</v>
      </c>
      <c r="G205" s="3">
        <v>20</v>
      </c>
      <c r="H205" s="1">
        <f>VLOOKUP(D205,products!A:D,4,FALSE)</f>
        <v>5200</v>
      </c>
      <c r="I205" s="1" t="str">
        <f>VLOOKUP(C205,branches!A:B,2,FALSE)</f>
        <v>Naija Mart Ikeja</v>
      </c>
      <c r="J205" s="1">
        <f t="shared" si="6"/>
        <v>4160</v>
      </c>
      <c r="K205" s="1" t="str">
        <f>VLOOKUP(D205,products!A:D,2,FALSE)</f>
        <v>Small Gadgets</v>
      </c>
      <c r="L205" s="1" t="str">
        <f t="shared" si="7"/>
        <v>May-2025</v>
      </c>
    </row>
    <row r="206" spans="1:12" x14ac:dyDescent="0.25">
      <c r="A206" s="3" t="s">
        <v>368</v>
      </c>
      <c r="B206" s="6">
        <v>45981</v>
      </c>
      <c r="C206" s="3" t="s">
        <v>16</v>
      </c>
      <c r="D206" s="3" t="s">
        <v>26</v>
      </c>
      <c r="E206" s="3" t="s">
        <v>186</v>
      </c>
      <c r="F206" s="3">
        <v>2</v>
      </c>
      <c r="G206" s="3">
        <v>10</v>
      </c>
      <c r="H206" s="1">
        <f>VLOOKUP(D206,products!A:D,4,FALSE)</f>
        <v>145000</v>
      </c>
      <c r="I206" s="1" t="str">
        <f>VLOOKUP(C206,branches!A:B,2,FALSE)</f>
        <v>Naija Mart Ikeja</v>
      </c>
      <c r="J206" s="1">
        <f t="shared" si="6"/>
        <v>261000</v>
      </c>
      <c r="K206" s="1" t="str">
        <f>VLOOKUP(D206,products!A:D,2,FALSE)</f>
        <v>Electronics</v>
      </c>
      <c r="L206" s="1" t="str">
        <f t="shared" si="7"/>
        <v>Nov-2025</v>
      </c>
    </row>
    <row r="207" spans="1:12" x14ac:dyDescent="0.25">
      <c r="A207" s="3" t="s">
        <v>369</v>
      </c>
      <c r="B207" s="6">
        <v>45820</v>
      </c>
      <c r="C207" s="3" t="s">
        <v>16</v>
      </c>
      <c r="D207" s="3" t="s">
        <v>9</v>
      </c>
      <c r="E207" s="3" t="s">
        <v>110</v>
      </c>
      <c r="F207" s="3">
        <v>1</v>
      </c>
      <c r="G207" s="3">
        <v>5</v>
      </c>
      <c r="H207" s="1">
        <f>VLOOKUP(D207,products!A:D,4,FALSE)</f>
        <v>410000</v>
      </c>
      <c r="I207" s="1" t="str">
        <f>VLOOKUP(C207,branches!A:B,2,FALSE)</f>
        <v>Naija Mart Ikeja</v>
      </c>
      <c r="J207" s="1">
        <f t="shared" si="6"/>
        <v>389500</v>
      </c>
      <c r="K207" s="1" t="str">
        <f>VLOOKUP(D207,products!A:D,2,FALSE)</f>
        <v>Home Appliances</v>
      </c>
      <c r="L207" s="1" t="str">
        <f t="shared" si="7"/>
        <v>Jun-2025</v>
      </c>
    </row>
    <row r="208" spans="1:12" x14ac:dyDescent="0.25">
      <c r="A208" s="3" t="s">
        <v>370</v>
      </c>
      <c r="B208" s="6">
        <v>45692</v>
      </c>
      <c r="C208" s="3" t="s">
        <v>12</v>
      </c>
      <c r="D208" s="3" t="s">
        <v>9</v>
      </c>
      <c r="E208" s="3" t="s">
        <v>371</v>
      </c>
      <c r="F208" s="3">
        <v>1</v>
      </c>
      <c r="G208" s="3">
        <v>25</v>
      </c>
      <c r="H208" s="1">
        <f>VLOOKUP(D208,products!A:D,4,FALSE)</f>
        <v>410000</v>
      </c>
      <c r="I208" s="1" t="str">
        <f>VLOOKUP(C208,branches!A:B,2,FALSE)</f>
        <v>Naija Mart Wuse</v>
      </c>
      <c r="J208" s="1">
        <f t="shared" si="6"/>
        <v>307500</v>
      </c>
      <c r="K208" s="1" t="str">
        <f>VLOOKUP(D208,products!A:D,2,FALSE)</f>
        <v>Home Appliances</v>
      </c>
      <c r="L208" s="1" t="str">
        <f t="shared" si="7"/>
        <v>Feb-2025</v>
      </c>
    </row>
    <row r="209" spans="1:12" x14ac:dyDescent="0.25">
      <c r="A209" s="3" t="s">
        <v>372</v>
      </c>
      <c r="B209" s="6">
        <v>45822</v>
      </c>
      <c r="C209" s="3" t="s">
        <v>36</v>
      </c>
      <c r="D209" s="3" t="s">
        <v>56</v>
      </c>
      <c r="E209" s="3" t="s">
        <v>373</v>
      </c>
      <c r="F209" s="3">
        <v>2</v>
      </c>
      <c r="G209" s="3">
        <v>5</v>
      </c>
      <c r="H209" s="1">
        <f>VLOOKUP(D209,products!A:D,4,FALSE)</f>
        <v>285000</v>
      </c>
      <c r="I209" s="1" t="str">
        <f>VLOOKUP(C209,branches!A:B,2,FALSE)</f>
        <v>Naija Mart Sabon Gari</v>
      </c>
      <c r="J209" s="1">
        <f t="shared" si="6"/>
        <v>541500</v>
      </c>
      <c r="K209" s="1" t="str">
        <f>VLOOKUP(D209,products!A:D,2,FALSE)</f>
        <v>Home Appliances</v>
      </c>
      <c r="L209" s="1" t="str">
        <f t="shared" si="7"/>
        <v>Jun-2025</v>
      </c>
    </row>
    <row r="210" spans="1:12" x14ac:dyDescent="0.25">
      <c r="A210" s="3" t="s">
        <v>374</v>
      </c>
      <c r="B210" s="6">
        <v>46001</v>
      </c>
      <c r="C210" s="3" t="s">
        <v>16</v>
      </c>
      <c r="D210" s="3" t="s">
        <v>9</v>
      </c>
      <c r="E210" s="3" t="s">
        <v>114</v>
      </c>
      <c r="F210" s="3">
        <v>1</v>
      </c>
      <c r="G210" s="3">
        <v>0</v>
      </c>
      <c r="H210" s="1">
        <f>VLOOKUP(D210,products!A:D,4,FALSE)</f>
        <v>410000</v>
      </c>
      <c r="I210" s="1" t="str">
        <f>VLOOKUP(C210,branches!A:B,2,FALSE)</f>
        <v>Naija Mart Ikeja</v>
      </c>
      <c r="J210" s="1">
        <f t="shared" si="6"/>
        <v>410000</v>
      </c>
      <c r="K210" s="1" t="str">
        <f>VLOOKUP(D210,products!A:D,2,FALSE)</f>
        <v>Home Appliances</v>
      </c>
      <c r="L210" s="1" t="str">
        <f t="shared" si="7"/>
        <v>Dec-2025</v>
      </c>
    </row>
    <row r="211" spans="1:12" x14ac:dyDescent="0.25">
      <c r="A211" s="3" t="s">
        <v>375</v>
      </c>
      <c r="B211" s="6">
        <v>45750</v>
      </c>
      <c r="C211" s="3" t="s">
        <v>36</v>
      </c>
      <c r="D211" s="3" t="s">
        <v>9</v>
      </c>
      <c r="E211" s="3" t="s">
        <v>376</v>
      </c>
      <c r="F211" s="3">
        <v>3</v>
      </c>
      <c r="G211" s="3">
        <v>0</v>
      </c>
      <c r="H211" s="1">
        <f>VLOOKUP(D211,products!A:D,4,FALSE)</f>
        <v>410000</v>
      </c>
      <c r="I211" s="1" t="str">
        <f>VLOOKUP(C211,branches!A:B,2,FALSE)</f>
        <v>Naija Mart Sabon Gari</v>
      </c>
      <c r="J211" s="1">
        <f t="shared" si="6"/>
        <v>1230000</v>
      </c>
      <c r="K211" s="1" t="str">
        <f>VLOOKUP(D211,products!A:D,2,FALSE)</f>
        <v>Home Appliances</v>
      </c>
      <c r="L211" s="1" t="str">
        <f t="shared" si="7"/>
        <v>Apr-2025</v>
      </c>
    </row>
    <row r="212" spans="1:12" x14ac:dyDescent="0.25">
      <c r="A212" s="3" t="s">
        <v>377</v>
      </c>
      <c r="B212" s="6">
        <v>45874</v>
      </c>
      <c r="C212" s="3" t="s">
        <v>16</v>
      </c>
      <c r="D212" s="3" t="s">
        <v>56</v>
      </c>
      <c r="E212" s="3" t="s">
        <v>150</v>
      </c>
      <c r="F212" s="3">
        <v>1</v>
      </c>
      <c r="G212" s="3">
        <v>0</v>
      </c>
      <c r="H212" s="1">
        <f>VLOOKUP(D212,products!A:D,4,FALSE)</f>
        <v>285000</v>
      </c>
      <c r="I212" s="1" t="str">
        <f>VLOOKUP(C212,branches!A:B,2,FALSE)</f>
        <v>Naija Mart Ikeja</v>
      </c>
      <c r="J212" s="1">
        <f t="shared" si="6"/>
        <v>285000</v>
      </c>
      <c r="K212" s="1" t="str">
        <f>VLOOKUP(D212,products!A:D,2,FALSE)</f>
        <v>Home Appliances</v>
      </c>
      <c r="L212" s="1" t="str">
        <f t="shared" si="7"/>
        <v>Aug-2025</v>
      </c>
    </row>
    <row r="213" spans="1:12" x14ac:dyDescent="0.25">
      <c r="A213" s="3" t="s">
        <v>378</v>
      </c>
      <c r="B213" s="6">
        <v>45889</v>
      </c>
      <c r="C213" s="3" t="s">
        <v>8</v>
      </c>
      <c r="D213" s="3" t="s">
        <v>9</v>
      </c>
      <c r="E213" s="3" t="s">
        <v>379</v>
      </c>
      <c r="F213" s="3">
        <v>1</v>
      </c>
      <c r="G213" s="3">
        <v>0</v>
      </c>
      <c r="H213" s="1">
        <f>VLOOKUP(D213,products!A:D,4,FALSE)</f>
        <v>410000</v>
      </c>
      <c r="I213" s="1" t="str">
        <f>VLOOKUP(C213,branches!A:B,2,FALSE)</f>
        <v>Naija Mart GRA</v>
      </c>
      <c r="J213" s="1">
        <f t="shared" si="6"/>
        <v>410000</v>
      </c>
      <c r="K213" s="1" t="str">
        <f>VLOOKUP(D213,products!A:D,2,FALSE)</f>
        <v>Home Appliances</v>
      </c>
      <c r="L213" s="1" t="str">
        <f t="shared" si="7"/>
        <v>Aug-2025</v>
      </c>
    </row>
    <row r="214" spans="1:12" x14ac:dyDescent="0.25">
      <c r="A214" s="3" t="s">
        <v>380</v>
      </c>
      <c r="B214" s="6">
        <v>45883</v>
      </c>
      <c r="C214" s="3" t="s">
        <v>8</v>
      </c>
      <c r="D214" s="3" t="s">
        <v>149</v>
      </c>
      <c r="E214" s="3" t="s">
        <v>335</v>
      </c>
      <c r="F214" s="3">
        <v>1</v>
      </c>
      <c r="G214" s="3">
        <v>10</v>
      </c>
      <c r="H214" s="1">
        <f>VLOOKUP(D214,products!A:D,4,FALSE)</f>
        <v>6500</v>
      </c>
      <c r="I214" s="1" t="str">
        <f>VLOOKUP(C214,branches!A:B,2,FALSE)</f>
        <v>Naija Mart GRA</v>
      </c>
      <c r="J214" s="1">
        <f t="shared" si="6"/>
        <v>5850</v>
      </c>
      <c r="K214" s="1" t="str">
        <f>VLOOKUP(D214,products!A:D,2,FALSE)</f>
        <v>Small Gadgets</v>
      </c>
      <c r="L214" s="1" t="str">
        <f t="shared" si="7"/>
        <v>Aug-2025</v>
      </c>
    </row>
    <row r="215" spans="1:12" x14ac:dyDescent="0.25">
      <c r="A215" s="3" t="s">
        <v>381</v>
      </c>
      <c r="B215" s="6">
        <v>45981</v>
      </c>
      <c r="C215" s="3" t="s">
        <v>12</v>
      </c>
      <c r="D215" s="3" t="s">
        <v>69</v>
      </c>
      <c r="E215" s="3" t="s">
        <v>382</v>
      </c>
      <c r="F215" s="3">
        <v>3</v>
      </c>
      <c r="G215" s="3">
        <v>10</v>
      </c>
      <c r="H215" s="1">
        <f>VLOOKUP(D215,products!A:D,4,FALSE)</f>
        <v>45000</v>
      </c>
      <c r="I215" s="1" t="str">
        <f>VLOOKUP(C215,branches!A:B,2,FALSE)</f>
        <v>Naija Mart Wuse</v>
      </c>
      <c r="J215" s="1">
        <f t="shared" si="6"/>
        <v>121500</v>
      </c>
      <c r="K215" s="1" t="str">
        <f>VLOOKUP(D215,products!A:D,2,FALSE)</f>
        <v>Electronics</v>
      </c>
      <c r="L215" s="1" t="str">
        <f t="shared" si="7"/>
        <v>Nov-2025</v>
      </c>
    </row>
    <row r="216" spans="1:12" x14ac:dyDescent="0.25">
      <c r="A216" s="3" t="s">
        <v>383</v>
      </c>
      <c r="B216" s="6">
        <v>45962</v>
      </c>
      <c r="C216" s="3" t="s">
        <v>36</v>
      </c>
      <c r="D216" s="3" t="s">
        <v>26</v>
      </c>
      <c r="E216" s="3" t="s">
        <v>169</v>
      </c>
      <c r="F216" s="3">
        <v>2</v>
      </c>
      <c r="G216" s="3">
        <v>5</v>
      </c>
      <c r="H216" s="1">
        <f>VLOOKUP(D216,products!A:D,4,FALSE)</f>
        <v>145000</v>
      </c>
      <c r="I216" s="1" t="str">
        <f>VLOOKUP(C216,branches!A:B,2,FALSE)</f>
        <v>Naija Mart Sabon Gari</v>
      </c>
      <c r="J216" s="1">
        <f t="shared" si="6"/>
        <v>275500</v>
      </c>
      <c r="K216" s="1" t="str">
        <f>VLOOKUP(D216,products!A:D,2,FALSE)</f>
        <v>Electronics</v>
      </c>
      <c r="L216" s="1" t="str">
        <f t="shared" si="7"/>
        <v>Nov-2025</v>
      </c>
    </row>
    <row r="217" spans="1:12" x14ac:dyDescent="0.25">
      <c r="A217" s="3" t="s">
        <v>384</v>
      </c>
      <c r="B217" s="6">
        <v>45957</v>
      </c>
      <c r="C217" s="3" t="s">
        <v>12</v>
      </c>
      <c r="D217" s="3" t="s">
        <v>20</v>
      </c>
      <c r="E217" s="3" t="s">
        <v>191</v>
      </c>
      <c r="F217" s="3">
        <v>2</v>
      </c>
      <c r="G217" s="3">
        <v>0</v>
      </c>
      <c r="H217" s="1">
        <f>VLOOKUP(D217,products!A:D,4,FALSE)</f>
        <v>38000</v>
      </c>
      <c r="I217" s="1" t="str">
        <f>VLOOKUP(C217,branches!A:B,2,FALSE)</f>
        <v>Naija Mart Wuse</v>
      </c>
      <c r="J217" s="1">
        <f t="shared" si="6"/>
        <v>76000</v>
      </c>
      <c r="K217" s="1" t="str">
        <f>VLOOKUP(D217,products!A:D,2,FALSE)</f>
        <v>Electronics</v>
      </c>
      <c r="L217" s="1" t="str">
        <f t="shared" si="7"/>
        <v>Oct-2025</v>
      </c>
    </row>
    <row r="218" spans="1:12" x14ac:dyDescent="0.25">
      <c r="A218" s="3" t="s">
        <v>385</v>
      </c>
      <c r="B218" s="6">
        <v>45690</v>
      </c>
      <c r="C218" s="3" t="s">
        <v>36</v>
      </c>
      <c r="D218" s="3" t="s">
        <v>40</v>
      </c>
      <c r="E218" s="3" t="s">
        <v>349</v>
      </c>
      <c r="F218" s="3">
        <v>1</v>
      </c>
      <c r="G218" s="3">
        <v>0</v>
      </c>
      <c r="H218" s="1">
        <f>VLOOKUP(D218,products!A:D,4,FALSE)</f>
        <v>195000</v>
      </c>
      <c r="I218" s="1" t="str">
        <f>VLOOKUP(C218,branches!A:B,2,FALSE)</f>
        <v>Naija Mart Sabon Gari</v>
      </c>
      <c r="J218" s="1">
        <f t="shared" si="6"/>
        <v>195000</v>
      </c>
      <c r="K218" s="1" t="str">
        <f>VLOOKUP(D218,products!A:D,2,FALSE)</f>
        <v>Generators &amp; Power</v>
      </c>
      <c r="L218" s="1" t="str">
        <f t="shared" si="7"/>
        <v>Feb-2025</v>
      </c>
    </row>
    <row r="219" spans="1:12" x14ac:dyDescent="0.25">
      <c r="A219" s="3" t="s">
        <v>386</v>
      </c>
      <c r="B219" s="6">
        <v>46017</v>
      </c>
      <c r="C219" s="3" t="s">
        <v>16</v>
      </c>
      <c r="D219" s="3" t="s">
        <v>49</v>
      </c>
      <c r="E219" s="3" t="s">
        <v>387</v>
      </c>
      <c r="F219" s="3">
        <v>1</v>
      </c>
      <c r="G219" s="3">
        <v>10</v>
      </c>
      <c r="H219" s="1">
        <f>VLOOKUP(D219,products!A:D,4,FALSE)</f>
        <v>28000</v>
      </c>
      <c r="I219" s="1" t="str">
        <f>VLOOKUP(C219,branches!A:B,2,FALSE)</f>
        <v>Naija Mart Ikeja</v>
      </c>
      <c r="J219" s="1">
        <f t="shared" si="6"/>
        <v>25200</v>
      </c>
      <c r="K219" s="1" t="str">
        <f>VLOOKUP(D219,products!A:D,2,FALSE)</f>
        <v>Home Appliances</v>
      </c>
      <c r="L219" s="1" t="str">
        <f t="shared" si="7"/>
        <v>Dec-2025</v>
      </c>
    </row>
    <row r="220" spans="1:12" x14ac:dyDescent="0.25">
      <c r="A220" s="3" t="s">
        <v>388</v>
      </c>
      <c r="B220" s="6">
        <v>45995</v>
      </c>
      <c r="C220" s="3" t="s">
        <v>12</v>
      </c>
      <c r="D220" s="3" t="s">
        <v>46</v>
      </c>
      <c r="E220" s="3" t="s">
        <v>150</v>
      </c>
      <c r="F220" s="3">
        <v>1</v>
      </c>
      <c r="G220" s="3">
        <v>0</v>
      </c>
      <c r="H220" s="1">
        <f>VLOOKUP(D220,products!A:D,4,FALSE)</f>
        <v>62000</v>
      </c>
      <c r="I220" s="1" t="str">
        <f>VLOOKUP(C220,branches!A:B,2,FALSE)</f>
        <v>Naija Mart Wuse</v>
      </c>
      <c r="J220" s="1">
        <f t="shared" si="6"/>
        <v>62000</v>
      </c>
      <c r="K220" s="1" t="str">
        <f>VLOOKUP(D220,products!A:D,2,FALSE)</f>
        <v>Home Appliances</v>
      </c>
      <c r="L220" s="1" t="str">
        <f t="shared" si="7"/>
        <v>Dec-2025</v>
      </c>
    </row>
    <row r="221" spans="1:12" x14ac:dyDescent="0.25">
      <c r="A221" s="3" t="s">
        <v>389</v>
      </c>
      <c r="B221" s="6">
        <v>45676</v>
      </c>
      <c r="C221" s="3" t="s">
        <v>8</v>
      </c>
      <c r="D221" s="3" t="s">
        <v>126</v>
      </c>
      <c r="E221" s="3" t="s">
        <v>390</v>
      </c>
      <c r="F221" s="3">
        <v>1</v>
      </c>
      <c r="G221" s="3">
        <v>5</v>
      </c>
      <c r="H221" s="1">
        <f>VLOOKUP(D221,products!A:D,4,FALSE)</f>
        <v>185000</v>
      </c>
      <c r="I221" s="1" t="str">
        <f>VLOOKUP(C221,branches!A:B,2,FALSE)</f>
        <v>Naija Mart GRA</v>
      </c>
      <c r="J221" s="1">
        <f t="shared" si="6"/>
        <v>175750</v>
      </c>
      <c r="K221" s="1" t="str">
        <f>VLOOKUP(D221,products!A:D,2,FALSE)</f>
        <v>Electronics</v>
      </c>
      <c r="L221" s="1" t="str">
        <f t="shared" si="7"/>
        <v>Jan-2025</v>
      </c>
    </row>
    <row r="222" spans="1:12" x14ac:dyDescent="0.25">
      <c r="A222" s="3" t="s">
        <v>391</v>
      </c>
      <c r="B222" s="6">
        <v>45922</v>
      </c>
      <c r="C222" s="3" t="s">
        <v>16</v>
      </c>
      <c r="D222" s="3" t="s">
        <v>97</v>
      </c>
      <c r="E222" s="3" t="s">
        <v>261</v>
      </c>
      <c r="F222" s="3">
        <v>1</v>
      </c>
      <c r="G222" s="3">
        <v>0</v>
      </c>
      <c r="H222" s="1">
        <f>VLOOKUP(D222,products!A:D,4,FALSE)</f>
        <v>21000</v>
      </c>
      <c r="I222" s="1" t="str">
        <f>VLOOKUP(C222,branches!A:B,2,FALSE)</f>
        <v>Naija Mart Ikeja</v>
      </c>
      <c r="J222" s="1">
        <f t="shared" si="6"/>
        <v>21000</v>
      </c>
      <c r="K222" s="1" t="str">
        <f>VLOOKUP(D222,products!A:D,2,FALSE)</f>
        <v>Small Gadgets</v>
      </c>
      <c r="L222" s="1" t="str">
        <f t="shared" si="7"/>
        <v>Sep-2025</v>
      </c>
    </row>
    <row r="223" spans="1:12" x14ac:dyDescent="0.25">
      <c r="A223" s="3" t="s">
        <v>392</v>
      </c>
      <c r="B223" s="6">
        <v>45969</v>
      </c>
      <c r="C223" s="3" t="s">
        <v>8</v>
      </c>
      <c r="D223" s="3" t="s">
        <v>20</v>
      </c>
      <c r="E223" s="3" t="s">
        <v>240</v>
      </c>
      <c r="F223" s="3">
        <v>1</v>
      </c>
      <c r="G223" s="3">
        <v>0</v>
      </c>
      <c r="H223" s="1">
        <f>VLOOKUP(D223,products!A:D,4,FALSE)</f>
        <v>38000</v>
      </c>
      <c r="I223" s="1" t="str">
        <f>VLOOKUP(C223,branches!A:B,2,FALSE)</f>
        <v>Naija Mart GRA</v>
      </c>
      <c r="J223" s="1">
        <f t="shared" si="6"/>
        <v>38000</v>
      </c>
      <c r="K223" s="1" t="str">
        <f>VLOOKUP(D223,products!A:D,2,FALSE)</f>
        <v>Electronics</v>
      </c>
      <c r="L223" s="1" t="str">
        <f t="shared" si="7"/>
        <v>Nov-2025</v>
      </c>
    </row>
    <row r="224" spans="1:12" x14ac:dyDescent="0.25">
      <c r="A224" s="3" t="s">
        <v>393</v>
      </c>
      <c r="B224" s="6">
        <v>45971</v>
      </c>
      <c r="C224" s="3" t="s">
        <v>8</v>
      </c>
      <c r="D224" s="3" t="s">
        <v>91</v>
      </c>
      <c r="E224" s="3" t="s">
        <v>118</v>
      </c>
      <c r="F224" s="3">
        <v>1</v>
      </c>
      <c r="G224" s="3">
        <v>0</v>
      </c>
      <c r="H224" s="1">
        <f>VLOOKUP(D224,products!A:D,4,FALSE)</f>
        <v>5200</v>
      </c>
      <c r="I224" s="1" t="str">
        <f>VLOOKUP(C224,branches!A:B,2,FALSE)</f>
        <v>Naija Mart GRA</v>
      </c>
      <c r="J224" s="1">
        <f t="shared" si="6"/>
        <v>5200</v>
      </c>
      <c r="K224" s="1" t="str">
        <f>VLOOKUP(D224,products!A:D,2,FALSE)</f>
        <v>Small Gadgets</v>
      </c>
      <c r="L224" s="1" t="str">
        <f t="shared" si="7"/>
        <v>Nov-2025</v>
      </c>
    </row>
    <row r="225" spans="1:12" x14ac:dyDescent="0.25">
      <c r="A225" s="3" t="s">
        <v>394</v>
      </c>
      <c r="B225" s="6">
        <v>45994</v>
      </c>
      <c r="C225" s="3" t="s">
        <v>16</v>
      </c>
      <c r="D225" s="3" t="s">
        <v>80</v>
      </c>
      <c r="E225" s="3" t="s">
        <v>353</v>
      </c>
      <c r="F225" s="3">
        <v>1</v>
      </c>
      <c r="G225" s="3">
        <v>0</v>
      </c>
      <c r="H225" s="1">
        <f>VLOOKUP(D225,products!A:D,4,FALSE)</f>
        <v>265000</v>
      </c>
      <c r="I225" s="1" t="str">
        <f>VLOOKUP(C225,branches!A:B,2,FALSE)</f>
        <v>Naija Mart Ikeja</v>
      </c>
      <c r="J225" s="1">
        <f t="shared" si="6"/>
        <v>265000</v>
      </c>
      <c r="K225" s="1" t="str">
        <f>VLOOKUP(D225,products!A:D,2,FALSE)</f>
        <v>Home Appliances</v>
      </c>
      <c r="L225" s="1" t="str">
        <f t="shared" si="7"/>
        <v>Dec-2025</v>
      </c>
    </row>
    <row r="226" spans="1:12" x14ac:dyDescent="0.25">
      <c r="A226" s="3" t="s">
        <v>395</v>
      </c>
      <c r="B226" s="6">
        <v>45969</v>
      </c>
      <c r="C226" s="3" t="s">
        <v>16</v>
      </c>
      <c r="D226" s="3" t="s">
        <v>56</v>
      </c>
      <c r="E226" s="3" t="s">
        <v>189</v>
      </c>
      <c r="F226" s="3">
        <v>3</v>
      </c>
      <c r="G226" s="3">
        <v>10</v>
      </c>
      <c r="H226" s="1">
        <f>VLOOKUP(D226,products!A:D,4,FALSE)</f>
        <v>285000</v>
      </c>
      <c r="I226" s="1" t="str">
        <f>VLOOKUP(C226,branches!A:B,2,FALSE)</f>
        <v>Naija Mart Ikeja</v>
      </c>
      <c r="J226" s="1">
        <f t="shared" si="6"/>
        <v>769500</v>
      </c>
      <c r="K226" s="1" t="str">
        <f>VLOOKUP(D226,products!A:D,2,FALSE)</f>
        <v>Home Appliances</v>
      </c>
      <c r="L226" s="1" t="str">
        <f t="shared" si="7"/>
        <v>Nov-2025</v>
      </c>
    </row>
    <row r="227" spans="1:12" x14ac:dyDescent="0.25">
      <c r="A227" s="3" t="s">
        <v>396</v>
      </c>
      <c r="B227" s="6">
        <v>45749</v>
      </c>
      <c r="C227" s="3" t="s">
        <v>16</v>
      </c>
      <c r="D227" s="3" t="s">
        <v>17</v>
      </c>
      <c r="E227" s="3" t="s">
        <v>198</v>
      </c>
      <c r="F227" s="3">
        <v>2</v>
      </c>
      <c r="G227" s="3">
        <v>5</v>
      </c>
      <c r="H227" s="1">
        <f>VLOOKUP(D227,products!A:D,4,FALSE)</f>
        <v>22000</v>
      </c>
      <c r="I227" s="1" t="str">
        <f>VLOOKUP(C227,branches!A:B,2,FALSE)</f>
        <v>Naija Mart Ikeja</v>
      </c>
      <c r="J227" s="1">
        <f t="shared" si="6"/>
        <v>41800</v>
      </c>
      <c r="K227" s="1" t="str">
        <f>VLOOKUP(D227,products!A:D,2,FALSE)</f>
        <v>Home Appliances</v>
      </c>
      <c r="L227" s="1" t="str">
        <f t="shared" si="7"/>
        <v>Apr-2025</v>
      </c>
    </row>
    <row r="228" spans="1:12" x14ac:dyDescent="0.25">
      <c r="A228" s="3" t="s">
        <v>397</v>
      </c>
      <c r="B228" s="6">
        <v>45835</v>
      </c>
      <c r="C228" s="3" t="s">
        <v>12</v>
      </c>
      <c r="D228" s="3" t="s">
        <v>94</v>
      </c>
      <c r="E228" s="3" t="s">
        <v>398</v>
      </c>
      <c r="F228" s="3">
        <v>1</v>
      </c>
      <c r="G228" s="3">
        <v>0</v>
      </c>
      <c r="H228" s="1">
        <f>VLOOKUP(D228,products!A:D,4,FALSE)</f>
        <v>320000</v>
      </c>
      <c r="I228" s="1" t="str">
        <f>VLOOKUP(C228,branches!A:B,2,FALSE)</f>
        <v>Naija Mart Wuse</v>
      </c>
      <c r="J228" s="1">
        <f t="shared" si="6"/>
        <v>320000</v>
      </c>
      <c r="K228" s="1" t="str">
        <f>VLOOKUP(D228,products!A:D,2,FALSE)</f>
        <v>Electronics</v>
      </c>
      <c r="L228" s="1" t="str">
        <f t="shared" si="7"/>
        <v>Jun-2025</v>
      </c>
    </row>
    <row r="229" spans="1:12" x14ac:dyDescent="0.25">
      <c r="A229" s="3" t="s">
        <v>399</v>
      </c>
      <c r="B229" s="6">
        <v>45901</v>
      </c>
      <c r="C229" s="3" t="s">
        <v>16</v>
      </c>
      <c r="D229" s="3" t="s">
        <v>46</v>
      </c>
      <c r="E229" s="3" t="s">
        <v>400</v>
      </c>
      <c r="F229" s="3">
        <v>1</v>
      </c>
      <c r="G229" s="3">
        <v>0</v>
      </c>
      <c r="H229" s="1">
        <f>VLOOKUP(D229,products!A:D,4,FALSE)</f>
        <v>62000</v>
      </c>
      <c r="I229" s="1" t="str">
        <f>VLOOKUP(C229,branches!A:B,2,FALSE)</f>
        <v>Naija Mart Ikeja</v>
      </c>
      <c r="J229" s="1">
        <f t="shared" si="6"/>
        <v>62000</v>
      </c>
      <c r="K229" s="1" t="str">
        <f>VLOOKUP(D229,products!A:D,2,FALSE)</f>
        <v>Home Appliances</v>
      </c>
      <c r="L229" s="1" t="str">
        <f t="shared" si="7"/>
        <v>Sep-2025</v>
      </c>
    </row>
    <row r="230" spans="1:12" x14ac:dyDescent="0.25">
      <c r="A230" s="3" t="s">
        <v>401</v>
      </c>
      <c r="B230" s="6">
        <v>46015</v>
      </c>
      <c r="C230" s="3" t="s">
        <v>12</v>
      </c>
      <c r="D230" s="3" t="s">
        <v>51</v>
      </c>
      <c r="E230" s="3" t="s">
        <v>165</v>
      </c>
      <c r="F230" s="3">
        <v>1</v>
      </c>
      <c r="G230" s="3">
        <v>0</v>
      </c>
      <c r="H230" s="1">
        <f>VLOOKUP(D230,products!A:D,4,FALSE)</f>
        <v>18000</v>
      </c>
      <c r="I230" s="1" t="str">
        <f>VLOOKUP(C230,branches!A:B,2,FALSE)</f>
        <v>Naija Mart Wuse</v>
      </c>
      <c r="J230" s="1">
        <f t="shared" si="6"/>
        <v>18000</v>
      </c>
      <c r="K230" s="1" t="str">
        <f>VLOOKUP(D230,products!A:D,2,FALSE)</f>
        <v>Small Gadgets</v>
      </c>
      <c r="L230" s="1" t="str">
        <f t="shared" si="7"/>
        <v>Dec-2025</v>
      </c>
    </row>
    <row r="231" spans="1:12" x14ac:dyDescent="0.25">
      <c r="A231" s="3" t="s">
        <v>402</v>
      </c>
      <c r="B231" s="6">
        <v>45981</v>
      </c>
      <c r="C231" s="3" t="s">
        <v>12</v>
      </c>
      <c r="D231" s="3" t="s">
        <v>49</v>
      </c>
      <c r="E231" s="3" t="s">
        <v>403</v>
      </c>
      <c r="F231" s="3">
        <v>2</v>
      </c>
      <c r="G231" s="3">
        <v>20</v>
      </c>
      <c r="H231" s="1">
        <f>VLOOKUP(D231,products!A:D,4,FALSE)</f>
        <v>28000</v>
      </c>
      <c r="I231" s="1" t="str">
        <f>VLOOKUP(C231,branches!A:B,2,FALSE)</f>
        <v>Naija Mart Wuse</v>
      </c>
      <c r="J231" s="1">
        <f t="shared" si="6"/>
        <v>44800</v>
      </c>
      <c r="K231" s="1" t="str">
        <f>VLOOKUP(D231,products!A:D,2,FALSE)</f>
        <v>Home Appliances</v>
      </c>
      <c r="L231" s="1" t="str">
        <f t="shared" si="7"/>
        <v>Nov-2025</v>
      </c>
    </row>
    <row r="232" spans="1:12" x14ac:dyDescent="0.25">
      <c r="A232" s="3" t="s">
        <v>404</v>
      </c>
      <c r="B232" s="6">
        <v>45933</v>
      </c>
      <c r="C232" s="3" t="s">
        <v>16</v>
      </c>
      <c r="D232" s="3" t="s">
        <v>94</v>
      </c>
      <c r="E232" s="3" t="s">
        <v>405</v>
      </c>
      <c r="F232" s="3">
        <v>1</v>
      </c>
      <c r="G232" s="3">
        <v>20</v>
      </c>
      <c r="H232" s="1">
        <f>VLOOKUP(D232,products!A:D,4,FALSE)</f>
        <v>320000</v>
      </c>
      <c r="I232" s="1" t="str">
        <f>VLOOKUP(C232,branches!A:B,2,FALSE)</f>
        <v>Naija Mart Ikeja</v>
      </c>
      <c r="J232" s="1">
        <f t="shared" si="6"/>
        <v>256000</v>
      </c>
      <c r="K232" s="1" t="str">
        <f>VLOOKUP(D232,products!A:D,2,FALSE)</f>
        <v>Electronics</v>
      </c>
      <c r="L232" s="1" t="str">
        <f t="shared" si="7"/>
        <v>Oct-2025</v>
      </c>
    </row>
    <row r="233" spans="1:12" x14ac:dyDescent="0.25">
      <c r="A233" s="3" t="s">
        <v>406</v>
      </c>
      <c r="B233" s="6">
        <v>45969</v>
      </c>
      <c r="C233" s="3" t="s">
        <v>8</v>
      </c>
      <c r="D233" s="3" t="s">
        <v>49</v>
      </c>
      <c r="E233" s="3" t="s">
        <v>407</v>
      </c>
      <c r="F233" s="3">
        <v>1</v>
      </c>
      <c r="G233" s="3">
        <v>0</v>
      </c>
      <c r="H233" s="1">
        <f>VLOOKUP(D233,products!A:D,4,FALSE)</f>
        <v>28000</v>
      </c>
      <c r="I233" s="1" t="str">
        <f>VLOOKUP(C233,branches!A:B,2,FALSE)</f>
        <v>Naija Mart GRA</v>
      </c>
      <c r="J233" s="1">
        <f t="shared" si="6"/>
        <v>28000</v>
      </c>
      <c r="K233" s="1" t="str">
        <f>VLOOKUP(D233,products!A:D,2,FALSE)</f>
        <v>Home Appliances</v>
      </c>
      <c r="L233" s="1" t="str">
        <f t="shared" si="7"/>
        <v>Nov-2025</v>
      </c>
    </row>
    <row r="234" spans="1:12" x14ac:dyDescent="0.25">
      <c r="A234" s="3" t="s">
        <v>408</v>
      </c>
      <c r="B234" s="6">
        <v>45679</v>
      </c>
      <c r="C234" s="3" t="s">
        <v>12</v>
      </c>
      <c r="D234" s="3" t="s">
        <v>37</v>
      </c>
      <c r="E234" s="3" t="s">
        <v>217</v>
      </c>
      <c r="F234" s="3">
        <v>1</v>
      </c>
      <c r="G234" s="3">
        <v>0</v>
      </c>
      <c r="H234" s="1">
        <f>VLOOKUP(D234,products!A:D,4,FALSE)</f>
        <v>8500</v>
      </c>
      <c r="I234" s="1" t="str">
        <f>VLOOKUP(C234,branches!A:B,2,FALSE)</f>
        <v>Naija Mart Wuse</v>
      </c>
      <c r="J234" s="1">
        <f t="shared" si="6"/>
        <v>8500</v>
      </c>
      <c r="K234" s="1" t="str">
        <f>VLOOKUP(D234,products!A:D,2,FALSE)</f>
        <v>Small Gadgets</v>
      </c>
      <c r="L234" s="1" t="str">
        <f t="shared" si="7"/>
        <v>Jan-2025</v>
      </c>
    </row>
    <row r="235" spans="1:12" x14ac:dyDescent="0.25">
      <c r="A235" s="3" t="s">
        <v>409</v>
      </c>
      <c r="B235" s="6">
        <v>45698</v>
      </c>
      <c r="C235" s="3" t="s">
        <v>16</v>
      </c>
      <c r="D235" s="3" t="s">
        <v>49</v>
      </c>
      <c r="E235" s="3" t="s">
        <v>313</v>
      </c>
      <c r="F235" s="3">
        <v>1</v>
      </c>
      <c r="G235" s="3">
        <v>0</v>
      </c>
      <c r="H235" s="1">
        <f>VLOOKUP(D235,products!A:D,4,FALSE)</f>
        <v>28000</v>
      </c>
      <c r="I235" s="1" t="str">
        <f>VLOOKUP(C235,branches!A:B,2,FALSE)</f>
        <v>Naija Mart Ikeja</v>
      </c>
      <c r="J235" s="1">
        <f t="shared" si="6"/>
        <v>28000</v>
      </c>
      <c r="K235" s="1" t="str">
        <f>VLOOKUP(D235,products!A:D,2,FALSE)</f>
        <v>Home Appliances</v>
      </c>
      <c r="L235" s="1" t="str">
        <f t="shared" si="7"/>
        <v>Feb-2025</v>
      </c>
    </row>
    <row r="236" spans="1:12" x14ac:dyDescent="0.25">
      <c r="A236" s="3" t="s">
        <v>410</v>
      </c>
      <c r="B236" s="6">
        <v>45695</v>
      </c>
      <c r="C236" s="3" t="s">
        <v>16</v>
      </c>
      <c r="D236" s="3" t="s">
        <v>94</v>
      </c>
      <c r="E236" s="3" t="s">
        <v>44</v>
      </c>
      <c r="F236" s="3">
        <v>1</v>
      </c>
      <c r="G236" s="3">
        <v>0</v>
      </c>
      <c r="H236" s="1">
        <f>VLOOKUP(D236,products!A:D,4,FALSE)</f>
        <v>320000</v>
      </c>
      <c r="I236" s="1" t="str">
        <f>VLOOKUP(C236,branches!A:B,2,FALSE)</f>
        <v>Naija Mart Ikeja</v>
      </c>
      <c r="J236" s="1">
        <f t="shared" si="6"/>
        <v>320000</v>
      </c>
      <c r="K236" s="1" t="str">
        <f>VLOOKUP(D236,products!A:D,2,FALSE)</f>
        <v>Electronics</v>
      </c>
      <c r="L236" s="1" t="str">
        <f t="shared" si="7"/>
        <v>Feb-2025</v>
      </c>
    </row>
    <row r="237" spans="1:12" x14ac:dyDescent="0.25">
      <c r="A237" s="3" t="s">
        <v>411</v>
      </c>
      <c r="B237" s="6">
        <v>45949</v>
      </c>
      <c r="C237" s="3" t="s">
        <v>36</v>
      </c>
      <c r="D237" s="3" t="s">
        <v>197</v>
      </c>
      <c r="E237" s="3" t="s">
        <v>302</v>
      </c>
      <c r="F237" s="3">
        <v>2</v>
      </c>
      <c r="G237" s="3">
        <v>0</v>
      </c>
      <c r="H237" s="1">
        <f>VLOOKUP(D237,products!A:D,4,FALSE)</f>
        <v>78000</v>
      </c>
      <c r="I237" s="1" t="str">
        <f>VLOOKUP(C237,branches!A:B,2,FALSE)</f>
        <v>Naija Mart Sabon Gari</v>
      </c>
      <c r="J237" s="1">
        <f t="shared" si="6"/>
        <v>156000</v>
      </c>
      <c r="K237" s="1" t="str">
        <f>VLOOKUP(D237,products!A:D,2,FALSE)</f>
        <v>Electronics</v>
      </c>
      <c r="L237" s="1" t="str">
        <f t="shared" si="7"/>
        <v>Oct-2025</v>
      </c>
    </row>
    <row r="238" spans="1:12" x14ac:dyDescent="0.25">
      <c r="A238" s="3" t="s">
        <v>412</v>
      </c>
      <c r="B238" s="6">
        <v>45724</v>
      </c>
      <c r="C238" s="3" t="s">
        <v>8</v>
      </c>
      <c r="D238" s="3" t="s">
        <v>9</v>
      </c>
      <c r="E238" s="3" t="s">
        <v>112</v>
      </c>
      <c r="F238" s="3">
        <v>1</v>
      </c>
      <c r="G238" s="3">
        <v>5</v>
      </c>
      <c r="H238" s="1">
        <f>VLOOKUP(D238,products!A:D,4,FALSE)</f>
        <v>410000</v>
      </c>
      <c r="I238" s="1" t="str">
        <f>VLOOKUP(C238,branches!A:B,2,FALSE)</f>
        <v>Naija Mart GRA</v>
      </c>
      <c r="J238" s="1">
        <f t="shared" si="6"/>
        <v>389500</v>
      </c>
      <c r="K238" s="1" t="str">
        <f>VLOOKUP(D238,products!A:D,2,FALSE)</f>
        <v>Home Appliances</v>
      </c>
      <c r="L238" s="1" t="str">
        <f t="shared" si="7"/>
        <v>Mar-2025</v>
      </c>
    </row>
    <row r="239" spans="1:12" x14ac:dyDescent="0.25">
      <c r="A239" s="3" t="s">
        <v>413</v>
      </c>
      <c r="B239" s="6">
        <v>45759</v>
      </c>
      <c r="C239" s="3" t="s">
        <v>16</v>
      </c>
      <c r="D239" s="3" t="s">
        <v>13</v>
      </c>
      <c r="E239" s="3" t="s">
        <v>167</v>
      </c>
      <c r="F239" s="3">
        <v>1</v>
      </c>
      <c r="G239" s="3">
        <v>10</v>
      </c>
      <c r="H239" s="1">
        <f>VLOOKUP(D239,products!A:D,4,FALSE)</f>
        <v>24000</v>
      </c>
      <c r="I239" s="1" t="str">
        <f>VLOOKUP(C239,branches!A:B,2,FALSE)</f>
        <v>Naija Mart Ikeja</v>
      </c>
      <c r="J239" s="1">
        <f t="shared" si="6"/>
        <v>21600</v>
      </c>
      <c r="K239" s="1" t="str">
        <f>VLOOKUP(D239,products!A:D,2,FALSE)</f>
        <v>Home Appliances</v>
      </c>
      <c r="L239" s="1" t="str">
        <f t="shared" si="7"/>
        <v>Apr-2025</v>
      </c>
    </row>
    <row r="240" spans="1:12" x14ac:dyDescent="0.25">
      <c r="A240" s="3" t="s">
        <v>414</v>
      </c>
      <c r="B240" s="6">
        <v>45926</v>
      </c>
      <c r="C240" s="3" t="s">
        <v>16</v>
      </c>
      <c r="D240" s="3" t="s">
        <v>97</v>
      </c>
      <c r="E240" s="3" t="s">
        <v>415</v>
      </c>
      <c r="F240" s="3">
        <v>2</v>
      </c>
      <c r="G240" s="3">
        <v>20</v>
      </c>
      <c r="H240" s="1">
        <f>VLOOKUP(D240,products!A:D,4,FALSE)</f>
        <v>21000</v>
      </c>
      <c r="I240" s="1" t="str">
        <f>VLOOKUP(C240,branches!A:B,2,FALSE)</f>
        <v>Naija Mart Ikeja</v>
      </c>
      <c r="J240" s="1">
        <f t="shared" si="6"/>
        <v>33600</v>
      </c>
      <c r="K240" s="1" t="str">
        <f>VLOOKUP(D240,products!A:D,2,FALSE)</f>
        <v>Small Gadgets</v>
      </c>
      <c r="L240" s="1" t="str">
        <f t="shared" si="7"/>
        <v>Sep-2025</v>
      </c>
    </row>
    <row r="241" spans="1:12" x14ac:dyDescent="0.25">
      <c r="A241" s="3" t="s">
        <v>416</v>
      </c>
      <c r="B241" s="6">
        <v>45927</v>
      </c>
      <c r="C241" s="3" t="s">
        <v>8</v>
      </c>
      <c r="D241" s="3" t="s">
        <v>69</v>
      </c>
      <c r="E241" s="3" t="s">
        <v>67</v>
      </c>
      <c r="F241" s="3">
        <v>1</v>
      </c>
      <c r="G241" s="3">
        <v>0</v>
      </c>
      <c r="H241" s="1">
        <f>VLOOKUP(D241,products!A:D,4,FALSE)</f>
        <v>45000</v>
      </c>
      <c r="I241" s="1" t="str">
        <f>VLOOKUP(C241,branches!A:B,2,FALSE)</f>
        <v>Naija Mart GRA</v>
      </c>
      <c r="J241" s="1">
        <f t="shared" si="6"/>
        <v>45000</v>
      </c>
      <c r="K241" s="1" t="str">
        <f>VLOOKUP(D241,products!A:D,2,FALSE)</f>
        <v>Electronics</v>
      </c>
      <c r="L241" s="1" t="str">
        <f t="shared" si="7"/>
        <v>Sep-2025</v>
      </c>
    </row>
    <row r="242" spans="1:12" x14ac:dyDescent="0.25">
      <c r="A242" s="3" t="s">
        <v>417</v>
      </c>
      <c r="B242" s="6">
        <v>45676</v>
      </c>
      <c r="C242" s="3" t="s">
        <v>12</v>
      </c>
      <c r="D242" s="3" t="s">
        <v>33</v>
      </c>
      <c r="E242" s="3" t="s">
        <v>234</v>
      </c>
      <c r="F242" s="3">
        <v>5</v>
      </c>
      <c r="G242" s="3">
        <v>10</v>
      </c>
      <c r="H242" s="1">
        <f>VLOOKUP(D242,products!A:D,4,FALSE)</f>
        <v>245000</v>
      </c>
      <c r="I242" s="1" t="str">
        <f>VLOOKUP(C242,branches!A:B,2,FALSE)</f>
        <v>Naija Mart Wuse</v>
      </c>
      <c r="J242" s="1">
        <f t="shared" si="6"/>
        <v>1102500</v>
      </c>
      <c r="K242" s="1" t="str">
        <f>VLOOKUP(D242,products!A:D,2,FALSE)</f>
        <v>Generators &amp; Power</v>
      </c>
      <c r="L242" s="1" t="str">
        <f t="shared" si="7"/>
        <v>Jan-2025</v>
      </c>
    </row>
    <row r="243" spans="1:12" x14ac:dyDescent="0.25">
      <c r="A243" s="3" t="s">
        <v>418</v>
      </c>
      <c r="B243" s="6">
        <v>45792</v>
      </c>
      <c r="C243" s="3" t="s">
        <v>36</v>
      </c>
      <c r="D243" s="3" t="s">
        <v>258</v>
      </c>
      <c r="E243" s="3" t="s">
        <v>62</v>
      </c>
      <c r="F243" s="3">
        <v>2</v>
      </c>
      <c r="G243" s="3">
        <v>0</v>
      </c>
      <c r="H243" s="1">
        <f>VLOOKUP(D243,products!A:D,4,FALSE)</f>
        <v>95000</v>
      </c>
      <c r="I243" s="1" t="str">
        <f>VLOOKUP(C243,branches!A:B,2,FALSE)</f>
        <v>Naija Mart Sabon Gari</v>
      </c>
      <c r="J243" s="1">
        <f t="shared" si="6"/>
        <v>190000</v>
      </c>
      <c r="K243" s="1" t="str">
        <f>VLOOKUP(D243,products!A:D,2,FALSE)</f>
        <v>Electronics</v>
      </c>
      <c r="L243" s="1" t="str">
        <f t="shared" si="7"/>
        <v>May-2025</v>
      </c>
    </row>
    <row r="244" spans="1:12" x14ac:dyDescent="0.25">
      <c r="A244" s="3" t="s">
        <v>419</v>
      </c>
      <c r="B244" s="6">
        <v>45726</v>
      </c>
      <c r="C244" s="3" t="s">
        <v>12</v>
      </c>
      <c r="D244" s="3" t="s">
        <v>126</v>
      </c>
      <c r="E244" s="3" t="s">
        <v>420</v>
      </c>
      <c r="F244" s="3">
        <v>2</v>
      </c>
      <c r="G244" s="3">
        <v>10</v>
      </c>
      <c r="H244" s="1">
        <f>VLOOKUP(D244,products!A:D,4,FALSE)</f>
        <v>185000</v>
      </c>
      <c r="I244" s="1" t="str">
        <f>VLOOKUP(C244,branches!A:B,2,FALSE)</f>
        <v>Naija Mart Wuse</v>
      </c>
      <c r="J244" s="1">
        <f t="shared" si="6"/>
        <v>333000</v>
      </c>
      <c r="K244" s="1" t="str">
        <f>VLOOKUP(D244,products!A:D,2,FALSE)</f>
        <v>Electronics</v>
      </c>
      <c r="L244" s="1" t="str">
        <f t="shared" si="7"/>
        <v>Mar-2025</v>
      </c>
    </row>
    <row r="245" spans="1:12" x14ac:dyDescent="0.25">
      <c r="A245" s="3" t="s">
        <v>421</v>
      </c>
      <c r="B245" s="6">
        <v>45789</v>
      </c>
      <c r="C245" s="3" t="s">
        <v>16</v>
      </c>
      <c r="D245" s="3" t="s">
        <v>9</v>
      </c>
      <c r="E245" s="3" t="s">
        <v>127</v>
      </c>
      <c r="F245" s="3">
        <v>1</v>
      </c>
      <c r="G245" s="3">
        <v>5</v>
      </c>
      <c r="H245" s="1">
        <f>VLOOKUP(D245,products!A:D,4,FALSE)</f>
        <v>410000</v>
      </c>
      <c r="I245" s="1" t="str">
        <f>VLOOKUP(C245,branches!A:B,2,FALSE)</f>
        <v>Naija Mart Ikeja</v>
      </c>
      <c r="J245" s="1">
        <f t="shared" si="6"/>
        <v>389500</v>
      </c>
      <c r="K245" s="1" t="str">
        <f>VLOOKUP(D245,products!A:D,2,FALSE)</f>
        <v>Home Appliances</v>
      </c>
      <c r="L245" s="1" t="str">
        <f t="shared" si="7"/>
        <v>May-2025</v>
      </c>
    </row>
    <row r="246" spans="1:12" x14ac:dyDescent="0.25">
      <c r="A246" s="3" t="s">
        <v>422</v>
      </c>
      <c r="B246" s="6">
        <v>45699</v>
      </c>
      <c r="C246" s="3" t="s">
        <v>8</v>
      </c>
      <c r="D246" s="3" t="s">
        <v>17</v>
      </c>
      <c r="E246" s="3" t="s">
        <v>423</v>
      </c>
      <c r="F246" s="3">
        <v>1</v>
      </c>
      <c r="G246" s="3">
        <v>15</v>
      </c>
      <c r="H246" s="1">
        <f>VLOOKUP(D246,products!A:D,4,FALSE)</f>
        <v>22000</v>
      </c>
      <c r="I246" s="1" t="str">
        <f>VLOOKUP(C246,branches!A:B,2,FALSE)</f>
        <v>Naija Mart GRA</v>
      </c>
      <c r="J246" s="1">
        <f t="shared" si="6"/>
        <v>18700</v>
      </c>
      <c r="K246" s="1" t="str">
        <f>VLOOKUP(D246,products!A:D,2,FALSE)</f>
        <v>Home Appliances</v>
      </c>
      <c r="L246" s="1" t="str">
        <f t="shared" si="7"/>
        <v>Feb-2025</v>
      </c>
    </row>
    <row r="247" spans="1:12" x14ac:dyDescent="0.25">
      <c r="A247" s="3" t="s">
        <v>424</v>
      </c>
      <c r="B247" s="6">
        <v>45737</v>
      </c>
      <c r="C247" s="3" t="s">
        <v>12</v>
      </c>
      <c r="D247" s="3" t="s">
        <v>69</v>
      </c>
      <c r="E247" s="3" t="s">
        <v>194</v>
      </c>
      <c r="F247" s="3">
        <v>2</v>
      </c>
      <c r="G247" s="3">
        <v>0</v>
      </c>
      <c r="H247" s="1">
        <f>VLOOKUP(D247,products!A:D,4,FALSE)</f>
        <v>45000</v>
      </c>
      <c r="I247" s="1" t="str">
        <f>VLOOKUP(C247,branches!A:B,2,FALSE)</f>
        <v>Naija Mart Wuse</v>
      </c>
      <c r="J247" s="1">
        <f t="shared" si="6"/>
        <v>90000</v>
      </c>
      <c r="K247" s="1" t="str">
        <f>VLOOKUP(D247,products!A:D,2,FALSE)</f>
        <v>Electronics</v>
      </c>
      <c r="L247" s="1" t="str">
        <f t="shared" si="7"/>
        <v>Mar-2025</v>
      </c>
    </row>
    <row r="248" spans="1:12" x14ac:dyDescent="0.25">
      <c r="A248" s="3" t="s">
        <v>425</v>
      </c>
      <c r="B248" s="6">
        <v>45700</v>
      </c>
      <c r="C248" s="3" t="s">
        <v>16</v>
      </c>
      <c r="D248" s="3" t="s">
        <v>258</v>
      </c>
      <c r="E248" s="3" t="s">
        <v>426</v>
      </c>
      <c r="F248" s="3">
        <v>1</v>
      </c>
      <c r="G248" s="3">
        <v>0</v>
      </c>
      <c r="H248" s="1">
        <f>VLOOKUP(D248,products!A:D,4,FALSE)</f>
        <v>95000</v>
      </c>
      <c r="I248" s="1" t="str">
        <f>VLOOKUP(C248,branches!A:B,2,FALSE)</f>
        <v>Naija Mart Ikeja</v>
      </c>
      <c r="J248" s="1">
        <f t="shared" si="6"/>
        <v>95000</v>
      </c>
      <c r="K248" s="1" t="str">
        <f>VLOOKUP(D248,products!A:D,2,FALSE)</f>
        <v>Electronics</v>
      </c>
      <c r="L248" s="1" t="str">
        <f t="shared" si="7"/>
        <v>Feb-2025</v>
      </c>
    </row>
    <row r="249" spans="1:12" x14ac:dyDescent="0.25">
      <c r="A249" s="3" t="s">
        <v>427</v>
      </c>
      <c r="B249" s="6">
        <v>45994</v>
      </c>
      <c r="C249" s="3" t="s">
        <v>16</v>
      </c>
      <c r="D249" s="3" t="s">
        <v>97</v>
      </c>
      <c r="E249" s="3" t="s">
        <v>428</v>
      </c>
      <c r="F249" s="3">
        <v>5</v>
      </c>
      <c r="G249" s="3">
        <v>0</v>
      </c>
      <c r="H249" s="1">
        <f>VLOOKUP(D249,products!A:D,4,FALSE)</f>
        <v>21000</v>
      </c>
      <c r="I249" s="1" t="str">
        <f>VLOOKUP(C249,branches!A:B,2,FALSE)</f>
        <v>Naija Mart Ikeja</v>
      </c>
      <c r="J249" s="1">
        <f t="shared" si="6"/>
        <v>105000</v>
      </c>
      <c r="K249" s="1" t="str">
        <f>VLOOKUP(D249,products!A:D,2,FALSE)</f>
        <v>Small Gadgets</v>
      </c>
      <c r="L249" s="1" t="str">
        <f t="shared" si="7"/>
        <v>Dec-2025</v>
      </c>
    </row>
    <row r="250" spans="1:12" x14ac:dyDescent="0.25">
      <c r="A250" s="3" t="s">
        <v>429</v>
      </c>
      <c r="B250" s="6">
        <v>46017</v>
      </c>
      <c r="C250" s="3" t="s">
        <v>8</v>
      </c>
      <c r="D250" s="3" t="s">
        <v>20</v>
      </c>
      <c r="E250" s="3" t="s">
        <v>430</v>
      </c>
      <c r="F250" s="3">
        <v>1</v>
      </c>
      <c r="G250" s="3">
        <v>10</v>
      </c>
      <c r="H250" s="1">
        <f>VLOOKUP(D250,products!A:D,4,FALSE)</f>
        <v>38000</v>
      </c>
      <c r="I250" s="1" t="str">
        <f>VLOOKUP(C250,branches!A:B,2,FALSE)</f>
        <v>Naija Mart GRA</v>
      </c>
      <c r="J250" s="1">
        <f t="shared" si="6"/>
        <v>34200</v>
      </c>
      <c r="K250" s="1" t="str">
        <f>VLOOKUP(D250,products!A:D,2,FALSE)</f>
        <v>Electronics</v>
      </c>
      <c r="L250" s="1" t="str">
        <f t="shared" si="7"/>
        <v>Dec-2025</v>
      </c>
    </row>
    <row r="251" spans="1:12" x14ac:dyDescent="0.25">
      <c r="A251" s="3" t="s">
        <v>431</v>
      </c>
      <c r="B251" s="6">
        <v>46018</v>
      </c>
      <c r="C251" s="3" t="s">
        <v>16</v>
      </c>
      <c r="D251" s="3" t="s">
        <v>37</v>
      </c>
      <c r="E251" s="3" t="s">
        <v>104</v>
      </c>
      <c r="F251" s="3">
        <v>3</v>
      </c>
      <c r="G251" s="3">
        <v>15</v>
      </c>
      <c r="H251" s="1">
        <f>VLOOKUP(D251,products!A:D,4,FALSE)</f>
        <v>8500</v>
      </c>
      <c r="I251" s="1" t="str">
        <f>VLOOKUP(C251,branches!A:B,2,FALSE)</f>
        <v>Naija Mart Ikeja</v>
      </c>
      <c r="J251" s="1">
        <f t="shared" si="6"/>
        <v>21675</v>
      </c>
      <c r="K251" s="1" t="str">
        <f>VLOOKUP(D251,products!A:D,2,FALSE)</f>
        <v>Small Gadgets</v>
      </c>
      <c r="L251" s="1" t="str">
        <f t="shared" si="7"/>
        <v>Dec-2025</v>
      </c>
    </row>
    <row r="252" spans="1:12" x14ac:dyDescent="0.25">
      <c r="A252" s="3" t="s">
        <v>432</v>
      </c>
      <c r="B252" s="6">
        <v>46005</v>
      </c>
      <c r="C252" s="3" t="s">
        <v>12</v>
      </c>
      <c r="D252" s="3" t="s">
        <v>46</v>
      </c>
      <c r="E252" s="3" t="s">
        <v>390</v>
      </c>
      <c r="F252" s="3">
        <v>1</v>
      </c>
      <c r="G252" s="3">
        <v>10</v>
      </c>
      <c r="H252" s="1">
        <f>VLOOKUP(D252,products!A:D,4,FALSE)</f>
        <v>62000</v>
      </c>
      <c r="I252" s="1" t="str">
        <f>VLOOKUP(C252,branches!A:B,2,FALSE)</f>
        <v>Naija Mart Wuse</v>
      </c>
      <c r="J252" s="1">
        <f t="shared" si="6"/>
        <v>55800</v>
      </c>
      <c r="K252" s="1" t="str">
        <f>VLOOKUP(D252,products!A:D,2,FALSE)</f>
        <v>Home Appliances</v>
      </c>
      <c r="L252" s="1" t="str">
        <f t="shared" si="7"/>
        <v>Dec-2025</v>
      </c>
    </row>
    <row r="253" spans="1:12" x14ac:dyDescent="0.25">
      <c r="A253" s="3" t="s">
        <v>433</v>
      </c>
      <c r="B253" s="6">
        <v>45963</v>
      </c>
      <c r="C253" s="3" t="s">
        <v>36</v>
      </c>
      <c r="D253" s="3" t="s">
        <v>20</v>
      </c>
      <c r="E253" s="3" t="s">
        <v>234</v>
      </c>
      <c r="F253" s="3">
        <v>1</v>
      </c>
      <c r="G253" s="3">
        <v>0</v>
      </c>
      <c r="H253" s="1">
        <f>VLOOKUP(D253,products!A:D,4,FALSE)</f>
        <v>38000</v>
      </c>
      <c r="I253" s="1" t="str">
        <f>VLOOKUP(C253,branches!A:B,2,FALSE)</f>
        <v>Naija Mart Sabon Gari</v>
      </c>
      <c r="J253" s="1">
        <f t="shared" si="6"/>
        <v>38000</v>
      </c>
      <c r="K253" s="1" t="str">
        <f>VLOOKUP(D253,products!A:D,2,FALSE)</f>
        <v>Electronics</v>
      </c>
      <c r="L253" s="1" t="str">
        <f t="shared" si="7"/>
        <v>Nov-2025</v>
      </c>
    </row>
    <row r="254" spans="1:12" x14ac:dyDescent="0.25">
      <c r="A254" s="3" t="s">
        <v>434</v>
      </c>
      <c r="B254" s="6">
        <v>45774</v>
      </c>
      <c r="C254" s="3" t="s">
        <v>16</v>
      </c>
      <c r="D254" s="3" t="s">
        <v>126</v>
      </c>
      <c r="E254" s="3" t="s">
        <v>211</v>
      </c>
      <c r="F254" s="3">
        <v>3</v>
      </c>
      <c r="G254" s="3">
        <v>0</v>
      </c>
      <c r="H254" s="1">
        <f>VLOOKUP(D254,products!A:D,4,FALSE)</f>
        <v>185000</v>
      </c>
      <c r="I254" s="1" t="str">
        <f>VLOOKUP(C254,branches!A:B,2,FALSE)</f>
        <v>Naija Mart Ikeja</v>
      </c>
      <c r="J254" s="1">
        <f t="shared" si="6"/>
        <v>555000</v>
      </c>
      <c r="K254" s="1" t="str">
        <f>VLOOKUP(D254,products!A:D,2,FALSE)</f>
        <v>Electronics</v>
      </c>
      <c r="L254" s="1" t="str">
        <f t="shared" si="7"/>
        <v>Apr-2025</v>
      </c>
    </row>
    <row r="255" spans="1:12" x14ac:dyDescent="0.25">
      <c r="A255" s="3" t="s">
        <v>435</v>
      </c>
      <c r="B255" s="6">
        <v>45863</v>
      </c>
      <c r="C255" s="3" t="s">
        <v>8</v>
      </c>
      <c r="D255" s="3" t="s">
        <v>20</v>
      </c>
      <c r="E255" s="3" t="s">
        <v>136</v>
      </c>
      <c r="F255" s="3">
        <v>1</v>
      </c>
      <c r="G255" s="3">
        <v>0</v>
      </c>
      <c r="H255" s="1">
        <f>VLOOKUP(D255,products!A:D,4,FALSE)</f>
        <v>38000</v>
      </c>
      <c r="I255" s="1" t="str">
        <f>VLOOKUP(C255,branches!A:B,2,FALSE)</f>
        <v>Naija Mart GRA</v>
      </c>
      <c r="J255" s="1">
        <f t="shared" si="6"/>
        <v>38000</v>
      </c>
      <c r="K255" s="1" t="str">
        <f>VLOOKUP(D255,products!A:D,2,FALSE)</f>
        <v>Electronics</v>
      </c>
      <c r="L255" s="1" t="str">
        <f t="shared" si="7"/>
        <v>Jul-2025</v>
      </c>
    </row>
    <row r="256" spans="1:12" x14ac:dyDescent="0.25">
      <c r="A256" s="3" t="s">
        <v>436</v>
      </c>
      <c r="B256" s="6">
        <v>45717</v>
      </c>
      <c r="C256" s="3" t="s">
        <v>12</v>
      </c>
      <c r="D256" s="3" t="s">
        <v>126</v>
      </c>
      <c r="E256" s="3" t="s">
        <v>300</v>
      </c>
      <c r="F256" s="3">
        <v>3</v>
      </c>
      <c r="G256" s="3">
        <v>0</v>
      </c>
      <c r="H256" s="1">
        <f>VLOOKUP(D256,products!A:D,4,FALSE)</f>
        <v>185000</v>
      </c>
      <c r="I256" s="1" t="str">
        <f>VLOOKUP(C256,branches!A:B,2,FALSE)</f>
        <v>Naija Mart Wuse</v>
      </c>
      <c r="J256" s="1">
        <f t="shared" si="6"/>
        <v>555000</v>
      </c>
      <c r="K256" s="1" t="str">
        <f>VLOOKUP(D256,products!A:D,2,FALSE)</f>
        <v>Electronics</v>
      </c>
      <c r="L256" s="1" t="str">
        <f t="shared" si="7"/>
        <v>Mar-2025</v>
      </c>
    </row>
    <row r="257" spans="1:12" x14ac:dyDescent="0.25">
      <c r="A257" s="3" t="s">
        <v>437</v>
      </c>
      <c r="B257" s="6">
        <v>45678</v>
      </c>
      <c r="C257" s="3" t="s">
        <v>36</v>
      </c>
      <c r="D257" s="3" t="s">
        <v>97</v>
      </c>
      <c r="E257" s="3" t="s">
        <v>382</v>
      </c>
      <c r="F257" s="3">
        <v>2</v>
      </c>
      <c r="G257" s="3">
        <v>10</v>
      </c>
      <c r="H257" s="1">
        <f>VLOOKUP(D257,products!A:D,4,FALSE)</f>
        <v>21000</v>
      </c>
      <c r="I257" s="1" t="str">
        <f>VLOOKUP(C257,branches!A:B,2,FALSE)</f>
        <v>Naija Mart Sabon Gari</v>
      </c>
      <c r="J257" s="1">
        <f t="shared" si="6"/>
        <v>37800</v>
      </c>
      <c r="K257" s="1" t="str">
        <f>VLOOKUP(D257,products!A:D,2,FALSE)</f>
        <v>Small Gadgets</v>
      </c>
      <c r="L257" s="1" t="str">
        <f t="shared" si="7"/>
        <v>Jan-2025</v>
      </c>
    </row>
    <row r="258" spans="1:12" x14ac:dyDescent="0.25">
      <c r="A258" s="3" t="s">
        <v>438</v>
      </c>
      <c r="B258" s="6">
        <v>45963</v>
      </c>
      <c r="C258" s="3" t="s">
        <v>16</v>
      </c>
      <c r="D258" s="3" t="s">
        <v>23</v>
      </c>
      <c r="E258" s="3" t="s">
        <v>403</v>
      </c>
      <c r="F258" s="3">
        <v>1</v>
      </c>
      <c r="G258" s="3">
        <v>0</v>
      </c>
      <c r="H258" s="1">
        <f>VLOOKUP(D258,products!A:D,4,FALSE)</f>
        <v>19500</v>
      </c>
      <c r="I258" s="1" t="str">
        <f>VLOOKUP(C258,branches!A:B,2,FALSE)</f>
        <v>Naija Mart Ikeja</v>
      </c>
      <c r="J258" s="1">
        <f t="shared" si="6"/>
        <v>19500</v>
      </c>
      <c r="K258" s="1" t="str">
        <f>VLOOKUP(D258,products!A:D,2,FALSE)</f>
        <v>Home Appliances</v>
      </c>
      <c r="L258" s="1" t="str">
        <f t="shared" si="7"/>
        <v>Nov-2025</v>
      </c>
    </row>
    <row r="259" spans="1:12" x14ac:dyDescent="0.25">
      <c r="A259" s="3" t="s">
        <v>439</v>
      </c>
      <c r="B259" s="6">
        <v>46008</v>
      </c>
      <c r="C259" s="3" t="s">
        <v>16</v>
      </c>
      <c r="D259" s="3" t="s">
        <v>197</v>
      </c>
      <c r="E259" s="3" t="s">
        <v>169</v>
      </c>
      <c r="F259" s="3">
        <v>2</v>
      </c>
      <c r="G259" s="3">
        <v>0</v>
      </c>
      <c r="H259" s="1">
        <f>VLOOKUP(D259,products!A:D,4,FALSE)</f>
        <v>78000</v>
      </c>
      <c r="I259" s="1" t="str">
        <f>VLOOKUP(C259,branches!A:B,2,FALSE)</f>
        <v>Naija Mart Ikeja</v>
      </c>
      <c r="J259" s="1">
        <f t="shared" ref="J259:J322" si="8">F259*H259*(1-G259/100)</f>
        <v>156000</v>
      </c>
      <c r="K259" s="1" t="str">
        <f>VLOOKUP(D259,products!A:D,2,FALSE)</f>
        <v>Electronics</v>
      </c>
      <c r="L259" s="1" t="str">
        <f t="shared" ref="L259:L322" si="9">TEXT(B259,"mmm-yyyy")</f>
        <v>Dec-2025</v>
      </c>
    </row>
    <row r="260" spans="1:12" x14ac:dyDescent="0.25">
      <c r="A260" s="3" t="s">
        <v>440</v>
      </c>
      <c r="B260" s="6">
        <v>45982</v>
      </c>
      <c r="C260" s="3" t="s">
        <v>36</v>
      </c>
      <c r="D260" s="3" t="s">
        <v>258</v>
      </c>
      <c r="E260" s="3" t="s">
        <v>322</v>
      </c>
      <c r="F260" s="3">
        <v>1</v>
      </c>
      <c r="G260" s="3">
        <v>0</v>
      </c>
      <c r="H260" s="1">
        <f>VLOOKUP(D260,products!A:D,4,FALSE)</f>
        <v>95000</v>
      </c>
      <c r="I260" s="1" t="str">
        <f>VLOOKUP(C260,branches!A:B,2,FALSE)</f>
        <v>Naija Mart Sabon Gari</v>
      </c>
      <c r="J260" s="1">
        <f t="shared" si="8"/>
        <v>95000</v>
      </c>
      <c r="K260" s="1" t="str">
        <f>VLOOKUP(D260,products!A:D,2,FALSE)</f>
        <v>Electronics</v>
      </c>
      <c r="L260" s="1" t="str">
        <f t="shared" si="9"/>
        <v>Nov-2025</v>
      </c>
    </row>
    <row r="261" spans="1:12" x14ac:dyDescent="0.25">
      <c r="A261" s="3" t="s">
        <v>441</v>
      </c>
      <c r="B261" s="6">
        <v>45826</v>
      </c>
      <c r="C261" s="3" t="s">
        <v>12</v>
      </c>
      <c r="D261" s="3" t="s">
        <v>13</v>
      </c>
      <c r="E261" s="3" t="s">
        <v>141</v>
      </c>
      <c r="F261" s="3">
        <v>2</v>
      </c>
      <c r="G261" s="3">
        <v>5</v>
      </c>
      <c r="H261" s="1">
        <f>VLOOKUP(D261,products!A:D,4,FALSE)</f>
        <v>24000</v>
      </c>
      <c r="I261" s="1" t="str">
        <f>VLOOKUP(C261,branches!A:B,2,FALSE)</f>
        <v>Naija Mart Wuse</v>
      </c>
      <c r="J261" s="1">
        <f t="shared" si="8"/>
        <v>45600</v>
      </c>
      <c r="K261" s="1" t="str">
        <f>VLOOKUP(D261,products!A:D,2,FALSE)</f>
        <v>Home Appliances</v>
      </c>
      <c r="L261" s="1" t="str">
        <f t="shared" si="9"/>
        <v>Jun-2025</v>
      </c>
    </row>
    <row r="262" spans="1:12" x14ac:dyDescent="0.25">
      <c r="A262" s="3" t="s">
        <v>442</v>
      </c>
      <c r="B262" s="6">
        <v>45756</v>
      </c>
      <c r="C262" s="3" t="s">
        <v>8</v>
      </c>
      <c r="D262" s="3" t="s">
        <v>20</v>
      </c>
      <c r="E262" s="3" t="s">
        <v>274</v>
      </c>
      <c r="F262" s="3">
        <v>1</v>
      </c>
      <c r="G262" s="3">
        <v>15</v>
      </c>
      <c r="H262" s="1">
        <f>VLOOKUP(D262,products!A:D,4,FALSE)</f>
        <v>38000</v>
      </c>
      <c r="I262" s="1" t="str">
        <f>VLOOKUP(C262,branches!A:B,2,FALSE)</f>
        <v>Naija Mart GRA</v>
      </c>
      <c r="J262" s="1">
        <f t="shared" si="8"/>
        <v>32300</v>
      </c>
      <c r="K262" s="1" t="str">
        <f>VLOOKUP(D262,products!A:D,2,FALSE)</f>
        <v>Electronics</v>
      </c>
      <c r="L262" s="1" t="str">
        <f t="shared" si="9"/>
        <v>Apr-2025</v>
      </c>
    </row>
    <row r="263" spans="1:12" x14ac:dyDescent="0.25">
      <c r="A263" s="3" t="s">
        <v>443</v>
      </c>
      <c r="B263" s="6">
        <v>45920</v>
      </c>
      <c r="C263" s="3" t="s">
        <v>16</v>
      </c>
      <c r="D263" s="3" t="s">
        <v>56</v>
      </c>
      <c r="E263" s="3" t="s">
        <v>27</v>
      </c>
      <c r="F263" s="3">
        <v>1</v>
      </c>
      <c r="G263" s="3">
        <v>0</v>
      </c>
      <c r="H263" s="1">
        <f>VLOOKUP(D263,products!A:D,4,FALSE)</f>
        <v>285000</v>
      </c>
      <c r="I263" s="1" t="str">
        <f>VLOOKUP(C263,branches!A:B,2,FALSE)</f>
        <v>Naija Mart Ikeja</v>
      </c>
      <c r="J263" s="1">
        <f t="shared" si="8"/>
        <v>285000</v>
      </c>
      <c r="K263" s="1" t="str">
        <f>VLOOKUP(D263,products!A:D,2,FALSE)</f>
        <v>Home Appliances</v>
      </c>
      <c r="L263" s="1" t="str">
        <f t="shared" si="9"/>
        <v>Sep-2025</v>
      </c>
    </row>
    <row r="264" spans="1:12" x14ac:dyDescent="0.25">
      <c r="A264" s="3" t="s">
        <v>444</v>
      </c>
      <c r="B264" s="6">
        <v>45742</v>
      </c>
      <c r="C264" s="3" t="s">
        <v>16</v>
      </c>
      <c r="D264" s="3" t="s">
        <v>9</v>
      </c>
      <c r="E264" s="3" t="s">
        <v>136</v>
      </c>
      <c r="F264" s="3">
        <v>1</v>
      </c>
      <c r="G264" s="3">
        <v>0</v>
      </c>
      <c r="H264" s="1">
        <f>VLOOKUP(D264,products!A:D,4,FALSE)</f>
        <v>410000</v>
      </c>
      <c r="I264" s="1" t="str">
        <f>VLOOKUP(C264,branches!A:B,2,FALSE)</f>
        <v>Naija Mart Ikeja</v>
      </c>
      <c r="J264" s="1">
        <f t="shared" si="8"/>
        <v>410000</v>
      </c>
      <c r="K264" s="1" t="str">
        <f>VLOOKUP(D264,products!A:D,2,FALSE)</f>
        <v>Home Appliances</v>
      </c>
      <c r="L264" s="1" t="str">
        <f t="shared" si="9"/>
        <v>Mar-2025</v>
      </c>
    </row>
    <row r="265" spans="1:12" x14ac:dyDescent="0.25">
      <c r="A265" s="3" t="s">
        <v>445</v>
      </c>
      <c r="B265" s="6">
        <v>45939</v>
      </c>
      <c r="C265" s="3" t="s">
        <v>16</v>
      </c>
      <c r="D265" s="3" t="s">
        <v>26</v>
      </c>
      <c r="E265" s="3" t="s">
        <v>194</v>
      </c>
      <c r="F265" s="3">
        <v>1</v>
      </c>
      <c r="G265" s="3">
        <v>20</v>
      </c>
      <c r="H265" s="1">
        <f>VLOOKUP(D265,products!A:D,4,FALSE)</f>
        <v>145000</v>
      </c>
      <c r="I265" s="1" t="str">
        <f>VLOOKUP(C265,branches!A:B,2,FALSE)</f>
        <v>Naija Mart Ikeja</v>
      </c>
      <c r="J265" s="1">
        <f t="shared" si="8"/>
        <v>116000</v>
      </c>
      <c r="K265" s="1" t="str">
        <f>VLOOKUP(D265,products!A:D,2,FALSE)</f>
        <v>Electronics</v>
      </c>
      <c r="L265" s="1" t="str">
        <f t="shared" si="9"/>
        <v>Oct-2025</v>
      </c>
    </row>
    <row r="266" spans="1:12" x14ac:dyDescent="0.25">
      <c r="A266" s="3" t="s">
        <v>446</v>
      </c>
      <c r="B266" s="6">
        <v>45835</v>
      </c>
      <c r="C266" s="3" t="s">
        <v>8</v>
      </c>
      <c r="D266" s="3" t="s">
        <v>33</v>
      </c>
      <c r="E266" s="3" t="s">
        <v>297</v>
      </c>
      <c r="F266" s="3">
        <v>1</v>
      </c>
      <c r="G266" s="3">
        <v>5</v>
      </c>
      <c r="H266" s="1">
        <f>VLOOKUP(D266,products!A:D,4,FALSE)</f>
        <v>245000</v>
      </c>
      <c r="I266" s="1" t="str">
        <f>VLOOKUP(C266,branches!A:B,2,FALSE)</f>
        <v>Naija Mart GRA</v>
      </c>
      <c r="J266" s="1">
        <f t="shared" si="8"/>
        <v>232750</v>
      </c>
      <c r="K266" s="1" t="str">
        <f>VLOOKUP(D266,products!A:D,2,FALSE)</f>
        <v>Generators &amp; Power</v>
      </c>
      <c r="L266" s="1" t="str">
        <f t="shared" si="9"/>
        <v>Jun-2025</v>
      </c>
    </row>
    <row r="267" spans="1:12" x14ac:dyDescent="0.25">
      <c r="A267" s="3" t="s">
        <v>447</v>
      </c>
      <c r="B267" s="6">
        <v>45895</v>
      </c>
      <c r="C267" s="3" t="s">
        <v>12</v>
      </c>
      <c r="D267" s="3" t="s">
        <v>49</v>
      </c>
      <c r="E267" s="3" t="s">
        <v>448</v>
      </c>
      <c r="F267" s="3">
        <v>1</v>
      </c>
      <c r="G267" s="3">
        <v>20</v>
      </c>
      <c r="H267" s="1">
        <f>VLOOKUP(D267,products!A:D,4,FALSE)</f>
        <v>28000</v>
      </c>
      <c r="I267" s="1" t="str">
        <f>VLOOKUP(C267,branches!A:B,2,FALSE)</f>
        <v>Naija Mart Wuse</v>
      </c>
      <c r="J267" s="1">
        <f t="shared" si="8"/>
        <v>22400</v>
      </c>
      <c r="K267" s="1" t="str">
        <f>VLOOKUP(D267,products!A:D,2,FALSE)</f>
        <v>Home Appliances</v>
      </c>
      <c r="L267" s="1" t="str">
        <f t="shared" si="9"/>
        <v>Aug-2025</v>
      </c>
    </row>
    <row r="268" spans="1:12" x14ac:dyDescent="0.25">
      <c r="A268" s="3" t="s">
        <v>449</v>
      </c>
      <c r="B268" s="6">
        <v>46006</v>
      </c>
      <c r="C268" s="3" t="s">
        <v>8</v>
      </c>
      <c r="D268" s="3" t="s">
        <v>33</v>
      </c>
      <c r="E268" s="3" t="s">
        <v>141</v>
      </c>
      <c r="F268" s="3">
        <v>1</v>
      </c>
      <c r="G268" s="3">
        <v>15</v>
      </c>
      <c r="H268" s="1">
        <f>VLOOKUP(D268,products!A:D,4,FALSE)</f>
        <v>245000</v>
      </c>
      <c r="I268" s="1" t="str">
        <f>VLOOKUP(C268,branches!A:B,2,FALSE)</f>
        <v>Naija Mart GRA</v>
      </c>
      <c r="J268" s="1">
        <f t="shared" si="8"/>
        <v>208250</v>
      </c>
      <c r="K268" s="1" t="str">
        <f>VLOOKUP(D268,products!A:D,2,FALSE)</f>
        <v>Generators &amp; Power</v>
      </c>
      <c r="L268" s="1" t="str">
        <f t="shared" si="9"/>
        <v>Dec-2025</v>
      </c>
    </row>
    <row r="269" spans="1:12" x14ac:dyDescent="0.25">
      <c r="A269" s="3" t="s">
        <v>450</v>
      </c>
      <c r="B269" s="6">
        <v>45813</v>
      </c>
      <c r="C269" s="3" t="s">
        <v>12</v>
      </c>
      <c r="D269" s="3" t="s">
        <v>9</v>
      </c>
      <c r="E269" s="3" t="s">
        <v>102</v>
      </c>
      <c r="F269" s="3">
        <v>1</v>
      </c>
      <c r="G269" s="3">
        <v>0</v>
      </c>
      <c r="H269" s="1">
        <f>VLOOKUP(D269,products!A:D,4,FALSE)</f>
        <v>410000</v>
      </c>
      <c r="I269" s="1" t="str">
        <f>VLOOKUP(C269,branches!A:B,2,FALSE)</f>
        <v>Naija Mart Wuse</v>
      </c>
      <c r="J269" s="1">
        <f t="shared" si="8"/>
        <v>410000</v>
      </c>
      <c r="K269" s="1" t="str">
        <f>VLOOKUP(D269,products!A:D,2,FALSE)</f>
        <v>Home Appliances</v>
      </c>
      <c r="L269" s="1" t="str">
        <f t="shared" si="9"/>
        <v>Jun-2025</v>
      </c>
    </row>
    <row r="270" spans="1:12" x14ac:dyDescent="0.25">
      <c r="A270" s="3" t="s">
        <v>451</v>
      </c>
      <c r="B270" s="6">
        <v>45915</v>
      </c>
      <c r="C270" s="3" t="s">
        <v>12</v>
      </c>
      <c r="D270" s="3" t="s">
        <v>17</v>
      </c>
      <c r="E270" s="3" t="s">
        <v>209</v>
      </c>
      <c r="F270" s="3">
        <v>1</v>
      </c>
      <c r="G270" s="3">
        <v>0</v>
      </c>
      <c r="H270" s="1">
        <f>VLOOKUP(D270,products!A:D,4,FALSE)</f>
        <v>22000</v>
      </c>
      <c r="I270" s="1" t="str">
        <f>VLOOKUP(C270,branches!A:B,2,FALSE)</f>
        <v>Naija Mart Wuse</v>
      </c>
      <c r="J270" s="1">
        <f t="shared" si="8"/>
        <v>22000</v>
      </c>
      <c r="K270" s="1" t="str">
        <f>VLOOKUP(D270,products!A:D,2,FALSE)</f>
        <v>Home Appliances</v>
      </c>
      <c r="L270" s="1" t="str">
        <f t="shared" si="9"/>
        <v>Sep-2025</v>
      </c>
    </row>
    <row r="271" spans="1:12" x14ac:dyDescent="0.25">
      <c r="A271" s="3" t="s">
        <v>452</v>
      </c>
      <c r="B271" s="6">
        <v>45894</v>
      </c>
      <c r="C271" s="3" t="s">
        <v>12</v>
      </c>
      <c r="D271" s="3" t="s">
        <v>9</v>
      </c>
      <c r="E271" s="3" t="s">
        <v>407</v>
      </c>
      <c r="F271" s="3">
        <v>1</v>
      </c>
      <c r="G271" s="3">
        <v>0</v>
      </c>
      <c r="H271" s="1">
        <f>VLOOKUP(D271,products!A:D,4,FALSE)</f>
        <v>410000</v>
      </c>
      <c r="I271" s="1" t="str">
        <f>VLOOKUP(C271,branches!A:B,2,FALSE)</f>
        <v>Naija Mart Wuse</v>
      </c>
      <c r="J271" s="1">
        <f t="shared" si="8"/>
        <v>410000</v>
      </c>
      <c r="K271" s="1" t="str">
        <f>VLOOKUP(D271,products!A:D,2,FALSE)</f>
        <v>Home Appliances</v>
      </c>
      <c r="L271" s="1" t="str">
        <f t="shared" si="9"/>
        <v>Aug-2025</v>
      </c>
    </row>
    <row r="272" spans="1:12" x14ac:dyDescent="0.25">
      <c r="A272" s="3" t="s">
        <v>453</v>
      </c>
      <c r="B272" s="6">
        <v>46015</v>
      </c>
      <c r="C272" s="3" t="s">
        <v>8</v>
      </c>
      <c r="D272" s="3" t="s">
        <v>51</v>
      </c>
      <c r="E272" s="3" t="s">
        <v>454</v>
      </c>
      <c r="F272" s="3">
        <v>1</v>
      </c>
      <c r="G272" s="3">
        <v>20</v>
      </c>
      <c r="H272" s="1">
        <f>VLOOKUP(D272,products!A:D,4,FALSE)</f>
        <v>18000</v>
      </c>
      <c r="I272" s="1" t="str">
        <f>VLOOKUP(C272,branches!A:B,2,FALSE)</f>
        <v>Naija Mart GRA</v>
      </c>
      <c r="J272" s="1">
        <f t="shared" si="8"/>
        <v>14400</v>
      </c>
      <c r="K272" s="1" t="str">
        <f>VLOOKUP(D272,products!A:D,2,FALSE)</f>
        <v>Small Gadgets</v>
      </c>
      <c r="L272" s="1" t="str">
        <f t="shared" si="9"/>
        <v>Dec-2025</v>
      </c>
    </row>
    <row r="273" spans="1:12" x14ac:dyDescent="0.25">
      <c r="A273" s="3" t="s">
        <v>455</v>
      </c>
      <c r="B273" s="6">
        <v>45757</v>
      </c>
      <c r="C273" s="3" t="s">
        <v>16</v>
      </c>
      <c r="D273" s="3" t="s">
        <v>97</v>
      </c>
      <c r="E273" s="3" t="s">
        <v>169</v>
      </c>
      <c r="F273" s="3">
        <v>2</v>
      </c>
      <c r="G273" s="3">
        <v>5</v>
      </c>
      <c r="H273" s="1">
        <f>VLOOKUP(D273,products!A:D,4,FALSE)</f>
        <v>21000</v>
      </c>
      <c r="I273" s="1" t="str">
        <f>VLOOKUP(C273,branches!A:B,2,FALSE)</f>
        <v>Naija Mart Ikeja</v>
      </c>
      <c r="J273" s="1">
        <f t="shared" si="8"/>
        <v>39900</v>
      </c>
      <c r="K273" s="1" t="str">
        <f>VLOOKUP(D273,products!A:D,2,FALSE)</f>
        <v>Small Gadgets</v>
      </c>
      <c r="L273" s="1" t="str">
        <f t="shared" si="9"/>
        <v>Apr-2025</v>
      </c>
    </row>
    <row r="274" spans="1:12" x14ac:dyDescent="0.25">
      <c r="A274" s="3" t="s">
        <v>456</v>
      </c>
      <c r="B274" s="6">
        <v>45733</v>
      </c>
      <c r="C274" s="3" t="s">
        <v>16</v>
      </c>
      <c r="D274" s="3" t="s">
        <v>49</v>
      </c>
      <c r="E274" s="3" t="s">
        <v>114</v>
      </c>
      <c r="F274" s="3">
        <v>1</v>
      </c>
      <c r="G274" s="3">
        <v>0</v>
      </c>
      <c r="H274" s="1">
        <f>VLOOKUP(D274,products!A:D,4,FALSE)</f>
        <v>28000</v>
      </c>
      <c r="I274" s="1" t="str">
        <f>VLOOKUP(C274,branches!A:B,2,FALSE)</f>
        <v>Naija Mart Ikeja</v>
      </c>
      <c r="J274" s="1">
        <f t="shared" si="8"/>
        <v>28000</v>
      </c>
      <c r="K274" s="1" t="str">
        <f>VLOOKUP(D274,products!A:D,2,FALSE)</f>
        <v>Home Appliances</v>
      </c>
      <c r="L274" s="1" t="str">
        <f t="shared" si="9"/>
        <v>Mar-2025</v>
      </c>
    </row>
    <row r="275" spans="1:12" x14ac:dyDescent="0.25">
      <c r="A275" s="3" t="s">
        <v>457</v>
      </c>
      <c r="B275" s="6">
        <v>45993</v>
      </c>
      <c r="C275" s="3" t="s">
        <v>8</v>
      </c>
      <c r="D275" s="3" t="s">
        <v>9</v>
      </c>
      <c r="E275" s="3" t="s">
        <v>72</v>
      </c>
      <c r="F275" s="3">
        <v>1</v>
      </c>
      <c r="G275" s="3">
        <v>0</v>
      </c>
      <c r="H275" s="1">
        <f>VLOOKUP(D275,products!A:D,4,FALSE)</f>
        <v>410000</v>
      </c>
      <c r="I275" s="1" t="str">
        <f>VLOOKUP(C275,branches!A:B,2,FALSE)</f>
        <v>Naija Mart GRA</v>
      </c>
      <c r="J275" s="1">
        <f t="shared" si="8"/>
        <v>410000</v>
      </c>
      <c r="K275" s="1" t="str">
        <f>VLOOKUP(D275,products!A:D,2,FALSE)</f>
        <v>Home Appliances</v>
      </c>
      <c r="L275" s="1" t="str">
        <f t="shared" si="9"/>
        <v>Dec-2025</v>
      </c>
    </row>
    <row r="276" spans="1:12" x14ac:dyDescent="0.25">
      <c r="A276" s="3" t="s">
        <v>458</v>
      </c>
      <c r="B276" s="6">
        <v>46000</v>
      </c>
      <c r="C276" s="3" t="s">
        <v>16</v>
      </c>
      <c r="D276" s="3" t="s">
        <v>97</v>
      </c>
      <c r="E276" s="3" t="s">
        <v>459</v>
      </c>
      <c r="F276" s="3">
        <v>2</v>
      </c>
      <c r="G276" s="3">
        <v>10</v>
      </c>
      <c r="H276" s="1">
        <f>VLOOKUP(D276,products!A:D,4,FALSE)</f>
        <v>21000</v>
      </c>
      <c r="I276" s="1" t="str">
        <f>VLOOKUP(C276,branches!A:B,2,FALSE)</f>
        <v>Naija Mart Ikeja</v>
      </c>
      <c r="J276" s="1">
        <f t="shared" si="8"/>
        <v>37800</v>
      </c>
      <c r="K276" s="1" t="str">
        <f>VLOOKUP(D276,products!A:D,2,FALSE)</f>
        <v>Small Gadgets</v>
      </c>
      <c r="L276" s="1" t="str">
        <f t="shared" si="9"/>
        <v>Dec-2025</v>
      </c>
    </row>
    <row r="277" spans="1:12" x14ac:dyDescent="0.25">
      <c r="A277" s="3" t="s">
        <v>460</v>
      </c>
      <c r="B277" s="6">
        <v>46019</v>
      </c>
      <c r="C277" s="3" t="s">
        <v>36</v>
      </c>
      <c r="D277" s="3" t="s">
        <v>80</v>
      </c>
      <c r="E277" s="3" t="s">
        <v>461</v>
      </c>
      <c r="F277" s="3">
        <v>1</v>
      </c>
      <c r="G277" s="3">
        <v>0</v>
      </c>
      <c r="H277" s="1">
        <f>VLOOKUP(D277,products!A:D,4,FALSE)</f>
        <v>265000</v>
      </c>
      <c r="I277" s="1" t="str">
        <f>VLOOKUP(C277,branches!A:B,2,FALSE)</f>
        <v>Naija Mart Sabon Gari</v>
      </c>
      <c r="J277" s="1">
        <f t="shared" si="8"/>
        <v>265000</v>
      </c>
      <c r="K277" s="1" t="str">
        <f>VLOOKUP(D277,products!A:D,2,FALSE)</f>
        <v>Home Appliances</v>
      </c>
      <c r="L277" s="1" t="str">
        <f t="shared" si="9"/>
        <v>Dec-2025</v>
      </c>
    </row>
    <row r="278" spans="1:12" x14ac:dyDescent="0.25">
      <c r="A278" s="3" t="s">
        <v>462</v>
      </c>
      <c r="B278" s="6">
        <v>45668</v>
      </c>
      <c r="C278" s="3" t="s">
        <v>8</v>
      </c>
      <c r="D278" s="3" t="s">
        <v>13</v>
      </c>
      <c r="E278" s="3" t="s">
        <v>85</v>
      </c>
      <c r="F278" s="3">
        <v>2</v>
      </c>
      <c r="G278" s="3">
        <v>20</v>
      </c>
      <c r="H278" s="1">
        <f>VLOOKUP(D278,products!A:D,4,FALSE)</f>
        <v>24000</v>
      </c>
      <c r="I278" s="1" t="str">
        <f>VLOOKUP(C278,branches!A:B,2,FALSE)</f>
        <v>Naija Mart GRA</v>
      </c>
      <c r="J278" s="1">
        <f t="shared" si="8"/>
        <v>38400</v>
      </c>
      <c r="K278" s="1" t="str">
        <f>VLOOKUP(D278,products!A:D,2,FALSE)</f>
        <v>Home Appliances</v>
      </c>
      <c r="L278" s="1" t="str">
        <f t="shared" si="9"/>
        <v>Jan-2025</v>
      </c>
    </row>
    <row r="279" spans="1:12" x14ac:dyDescent="0.25">
      <c r="A279" s="3" t="s">
        <v>463</v>
      </c>
      <c r="B279" s="6">
        <v>45693</v>
      </c>
      <c r="C279" s="3" t="s">
        <v>16</v>
      </c>
      <c r="D279" s="3" t="s">
        <v>17</v>
      </c>
      <c r="E279" s="3" t="s">
        <v>189</v>
      </c>
      <c r="F279" s="3">
        <v>1</v>
      </c>
      <c r="G279" s="3">
        <v>0</v>
      </c>
      <c r="H279" s="1">
        <f>VLOOKUP(D279,products!A:D,4,FALSE)</f>
        <v>22000</v>
      </c>
      <c r="I279" s="1" t="str">
        <f>VLOOKUP(C279,branches!A:B,2,FALSE)</f>
        <v>Naija Mart Ikeja</v>
      </c>
      <c r="J279" s="1">
        <f t="shared" si="8"/>
        <v>22000</v>
      </c>
      <c r="K279" s="1" t="str">
        <f>VLOOKUP(D279,products!A:D,2,FALSE)</f>
        <v>Home Appliances</v>
      </c>
      <c r="L279" s="1" t="str">
        <f t="shared" si="9"/>
        <v>Feb-2025</v>
      </c>
    </row>
    <row r="280" spans="1:12" x14ac:dyDescent="0.25">
      <c r="A280" s="3" t="s">
        <v>464</v>
      </c>
      <c r="B280" s="6">
        <v>45736</v>
      </c>
      <c r="C280" s="3" t="s">
        <v>8</v>
      </c>
      <c r="D280" s="3" t="s">
        <v>26</v>
      </c>
      <c r="E280" s="3" t="s">
        <v>430</v>
      </c>
      <c r="F280" s="3">
        <v>2</v>
      </c>
      <c r="G280" s="3">
        <v>0</v>
      </c>
      <c r="H280" s="1">
        <f>VLOOKUP(D280,products!A:D,4,FALSE)</f>
        <v>145000</v>
      </c>
      <c r="I280" s="1" t="str">
        <f>VLOOKUP(C280,branches!A:B,2,FALSE)</f>
        <v>Naija Mart GRA</v>
      </c>
      <c r="J280" s="1">
        <f t="shared" si="8"/>
        <v>290000</v>
      </c>
      <c r="K280" s="1" t="str">
        <f>VLOOKUP(D280,products!A:D,2,FALSE)</f>
        <v>Electronics</v>
      </c>
      <c r="L280" s="1" t="str">
        <f t="shared" si="9"/>
        <v>Mar-2025</v>
      </c>
    </row>
    <row r="281" spans="1:12" x14ac:dyDescent="0.25">
      <c r="A281" s="3" t="s">
        <v>465</v>
      </c>
      <c r="B281" s="6">
        <v>45988</v>
      </c>
      <c r="C281" s="3" t="s">
        <v>16</v>
      </c>
      <c r="D281" s="3" t="s">
        <v>46</v>
      </c>
      <c r="E281" s="3" t="s">
        <v>284</v>
      </c>
      <c r="F281" s="3">
        <v>1</v>
      </c>
      <c r="G281" s="3">
        <v>5</v>
      </c>
      <c r="H281" s="1">
        <f>VLOOKUP(D281,products!A:D,4,FALSE)</f>
        <v>62000</v>
      </c>
      <c r="I281" s="1" t="str">
        <f>VLOOKUP(C281,branches!A:B,2,FALSE)</f>
        <v>Naija Mart Ikeja</v>
      </c>
      <c r="J281" s="1">
        <f t="shared" si="8"/>
        <v>58900</v>
      </c>
      <c r="K281" s="1" t="str">
        <f>VLOOKUP(D281,products!A:D,2,FALSE)</f>
        <v>Home Appliances</v>
      </c>
      <c r="L281" s="1" t="str">
        <f t="shared" si="9"/>
        <v>Nov-2025</v>
      </c>
    </row>
    <row r="282" spans="1:12" x14ac:dyDescent="0.25">
      <c r="A282" s="3" t="s">
        <v>466</v>
      </c>
      <c r="B282" s="6">
        <v>46012</v>
      </c>
      <c r="C282" s="3" t="s">
        <v>8</v>
      </c>
      <c r="D282" s="3" t="s">
        <v>149</v>
      </c>
      <c r="E282" s="3" t="s">
        <v>333</v>
      </c>
      <c r="F282" s="3">
        <v>1</v>
      </c>
      <c r="G282" s="3">
        <v>5</v>
      </c>
      <c r="H282" s="1">
        <f>VLOOKUP(D282,products!A:D,4,FALSE)</f>
        <v>6500</v>
      </c>
      <c r="I282" s="1" t="str">
        <f>VLOOKUP(C282,branches!A:B,2,FALSE)</f>
        <v>Naija Mart GRA</v>
      </c>
      <c r="J282" s="1">
        <f t="shared" si="8"/>
        <v>6175</v>
      </c>
      <c r="K282" s="1" t="str">
        <f>VLOOKUP(D282,products!A:D,2,FALSE)</f>
        <v>Small Gadgets</v>
      </c>
      <c r="L282" s="1" t="str">
        <f t="shared" si="9"/>
        <v>Dec-2025</v>
      </c>
    </row>
    <row r="283" spans="1:12" x14ac:dyDescent="0.25">
      <c r="A283" s="3" t="s">
        <v>467</v>
      </c>
      <c r="B283" s="6">
        <v>45882</v>
      </c>
      <c r="C283" s="3" t="s">
        <v>16</v>
      </c>
      <c r="D283" s="3" t="s">
        <v>91</v>
      </c>
      <c r="E283" s="3" t="s">
        <v>263</v>
      </c>
      <c r="F283" s="3">
        <v>2</v>
      </c>
      <c r="G283" s="3">
        <v>5</v>
      </c>
      <c r="H283" s="1">
        <f>VLOOKUP(D283,products!A:D,4,FALSE)</f>
        <v>5200</v>
      </c>
      <c r="I283" s="1" t="str">
        <f>VLOOKUP(C283,branches!A:B,2,FALSE)</f>
        <v>Naija Mart Ikeja</v>
      </c>
      <c r="J283" s="1">
        <f t="shared" si="8"/>
        <v>9880</v>
      </c>
      <c r="K283" s="1" t="str">
        <f>VLOOKUP(D283,products!A:D,2,FALSE)</f>
        <v>Small Gadgets</v>
      </c>
      <c r="L283" s="1" t="str">
        <f t="shared" si="9"/>
        <v>Aug-2025</v>
      </c>
    </row>
    <row r="284" spans="1:12" x14ac:dyDescent="0.25">
      <c r="A284" s="3" t="s">
        <v>468</v>
      </c>
      <c r="B284" s="6">
        <v>45853</v>
      </c>
      <c r="C284" s="3" t="s">
        <v>16</v>
      </c>
      <c r="D284" s="3" t="s">
        <v>69</v>
      </c>
      <c r="E284" s="3" t="s">
        <v>469</v>
      </c>
      <c r="F284" s="3">
        <v>1</v>
      </c>
      <c r="G284" s="3">
        <v>5</v>
      </c>
      <c r="H284" s="1">
        <f>VLOOKUP(D284,products!A:D,4,FALSE)</f>
        <v>45000</v>
      </c>
      <c r="I284" s="1" t="str">
        <f>VLOOKUP(C284,branches!A:B,2,FALSE)</f>
        <v>Naija Mart Ikeja</v>
      </c>
      <c r="J284" s="1">
        <f t="shared" si="8"/>
        <v>42750</v>
      </c>
      <c r="K284" s="1" t="str">
        <f>VLOOKUP(D284,products!A:D,2,FALSE)</f>
        <v>Electronics</v>
      </c>
      <c r="L284" s="1" t="str">
        <f t="shared" si="9"/>
        <v>Jul-2025</v>
      </c>
    </row>
    <row r="285" spans="1:12" x14ac:dyDescent="0.25">
      <c r="A285" s="3" t="s">
        <v>470</v>
      </c>
      <c r="B285" s="6">
        <v>45788</v>
      </c>
      <c r="C285" s="3" t="s">
        <v>12</v>
      </c>
      <c r="D285" s="3" t="s">
        <v>33</v>
      </c>
      <c r="E285" s="3" t="s">
        <v>100</v>
      </c>
      <c r="F285" s="3">
        <v>1</v>
      </c>
      <c r="G285" s="3">
        <v>5</v>
      </c>
      <c r="H285" s="1">
        <f>VLOOKUP(D285,products!A:D,4,FALSE)</f>
        <v>245000</v>
      </c>
      <c r="I285" s="1" t="str">
        <f>VLOOKUP(C285,branches!A:B,2,FALSE)</f>
        <v>Naija Mart Wuse</v>
      </c>
      <c r="J285" s="1">
        <f t="shared" si="8"/>
        <v>232750</v>
      </c>
      <c r="K285" s="1" t="str">
        <f>VLOOKUP(D285,products!A:D,2,FALSE)</f>
        <v>Generators &amp; Power</v>
      </c>
      <c r="L285" s="1" t="str">
        <f t="shared" si="9"/>
        <v>May-2025</v>
      </c>
    </row>
    <row r="286" spans="1:12" x14ac:dyDescent="0.25">
      <c r="A286" s="3" t="s">
        <v>471</v>
      </c>
      <c r="B286" s="6">
        <v>45911</v>
      </c>
      <c r="C286" s="3" t="s">
        <v>12</v>
      </c>
      <c r="D286" s="3" t="s">
        <v>197</v>
      </c>
      <c r="E286" s="3" t="s">
        <v>472</v>
      </c>
      <c r="F286" s="3">
        <v>3</v>
      </c>
      <c r="G286" s="3">
        <v>5</v>
      </c>
      <c r="H286" s="1">
        <f>VLOOKUP(D286,products!A:D,4,FALSE)</f>
        <v>78000</v>
      </c>
      <c r="I286" s="1" t="str">
        <f>VLOOKUP(C286,branches!A:B,2,FALSE)</f>
        <v>Naija Mart Wuse</v>
      </c>
      <c r="J286" s="1">
        <f t="shared" si="8"/>
        <v>222300</v>
      </c>
      <c r="K286" s="1" t="str">
        <f>VLOOKUP(D286,products!A:D,2,FALSE)</f>
        <v>Electronics</v>
      </c>
      <c r="L286" s="1" t="str">
        <f t="shared" si="9"/>
        <v>Sep-2025</v>
      </c>
    </row>
    <row r="287" spans="1:12" x14ac:dyDescent="0.25">
      <c r="A287" s="3" t="s">
        <v>473</v>
      </c>
      <c r="B287" s="6">
        <v>45987</v>
      </c>
      <c r="C287" s="3" t="s">
        <v>12</v>
      </c>
      <c r="D287" s="3" t="s">
        <v>91</v>
      </c>
      <c r="E287" s="3" t="s">
        <v>163</v>
      </c>
      <c r="F287" s="3">
        <v>1</v>
      </c>
      <c r="G287" s="3">
        <v>10</v>
      </c>
      <c r="H287" s="1">
        <f>VLOOKUP(D287,products!A:D,4,FALSE)</f>
        <v>5200</v>
      </c>
      <c r="I287" s="1" t="str">
        <f>VLOOKUP(C287,branches!A:B,2,FALSE)</f>
        <v>Naija Mart Wuse</v>
      </c>
      <c r="J287" s="1">
        <f t="shared" si="8"/>
        <v>4680</v>
      </c>
      <c r="K287" s="1" t="str">
        <f>VLOOKUP(D287,products!A:D,2,FALSE)</f>
        <v>Small Gadgets</v>
      </c>
      <c r="L287" s="1" t="str">
        <f t="shared" si="9"/>
        <v>Nov-2025</v>
      </c>
    </row>
    <row r="288" spans="1:12" x14ac:dyDescent="0.25">
      <c r="A288" s="3" t="s">
        <v>474</v>
      </c>
      <c r="B288" s="6">
        <v>45723</v>
      </c>
      <c r="C288" s="3" t="s">
        <v>16</v>
      </c>
      <c r="D288" s="3" t="s">
        <v>59</v>
      </c>
      <c r="E288" s="3" t="s">
        <v>475</v>
      </c>
      <c r="F288" s="3">
        <v>1</v>
      </c>
      <c r="G288" s="3">
        <v>0</v>
      </c>
      <c r="H288" s="1">
        <f>VLOOKUP(D288,products!A:D,4,FALSE)</f>
        <v>15000</v>
      </c>
      <c r="I288" s="1" t="str">
        <f>VLOOKUP(C288,branches!A:B,2,FALSE)</f>
        <v>Naija Mart Ikeja</v>
      </c>
      <c r="J288" s="1">
        <f t="shared" si="8"/>
        <v>15000</v>
      </c>
      <c r="K288" s="1" t="str">
        <f>VLOOKUP(D288,products!A:D,2,FALSE)</f>
        <v>Home Appliances</v>
      </c>
      <c r="L288" s="1" t="str">
        <f t="shared" si="9"/>
        <v>Mar-2025</v>
      </c>
    </row>
    <row r="289" spans="1:12" x14ac:dyDescent="0.25">
      <c r="A289" s="3" t="s">
        <v>476</v>
      </c>
      <c r="B289" s="6">
        <v>45672</v>
      </c>
      <c r="C289" s="3" t="s">
        <v>16</v>
      </c>
      <c r="D289" s="3" t="s">
        <v>258</v>
      </c>
      <c r="E289" s="3" t="s">
        <v>477</v>
      </c>
      <c r="F289" s="3">
        <v>1</v>
      </c>
      <c r="G289" s="3">
        <v>15</v>
      </c>
      <c r="H289" s="1">
        <f>VLOOKUP(D289,products!A:D,4,FALSE)</f>
        <v>95000</v>
      </c>
      <c r="I289" s="1" t="str">
        <f>VLOOKUP(C289,branches!A:B,2,FALSE)</f>
        <v>Naija Mart Ikeja</v>
      </c>
      <c r="J289" s="1">
        <f t="shared" si="8"/>
        <v>80750</v>
      </c>
      <c r="K289" s="1" t="str">
        <f>VLOOKUP(D289,products!A:D,2,FALSE)</f>
        <v>Electronics</v>
      </c>
      <c r="L289" s="1" t="str">
        <f t="shared" si="9"/>
        <v>Jan-2025</v>
      </c>
    </row>
    <row r="290" spans="1:12" x14ac:dyDescent="0.25">
      <c r="A290" s="3" t="s">
        <v>478</v>
      </c>
      <c r="B290" s="6">
        <v>45695</v>
      </c>
      <c r="C290" s="3" t="s">
        <v>12</v>
      </c>
      <c r="D290" s="3" t="s">
        <v>80</v>
      </c>
      <c r="E290" s="3" t="s">
        <v>426</v>
      </c>
      <c r="F290" s="3">
        <v>1</v>
      </c>
      <c r="G290" s="3">
        <v>0</v>
      </c>
      <c r="H290" s="1">
        <f>VLOOKUP(D290,products!A:D,4,FALSE)</f>
        <v>265000</v>
      </c>
      <c r="I290" s="1" t="str">
        <f>VLOOKUP(C290,branches!A:B,2,FALSE)</f>
        <v>Naija Mart Wuse</v>
      </c>
      <c r="J290" s="1">
        <f t="shared" si="8"/>
        <v>265000</v>
      </c>
      <c r="K290" s="1" t="str">
        <f>VLOOKUP(D290,products!A:D,2,FALSE)</f>
        <v>Home Appliances</v>
      </c>
      <c r="L290" s="1" t="str">
        <f t="shared" si="9"/>
        <v>Feb-2025</v>
      </c>
    </row>
    <row r="291" spans="1:12" x14ac:dyDescent="0.25">
      <c r="A291" s="3" t="s">
        <v>479</v>
      </c>
      <c r="B291" s="6">
        <v>45860</v>
      </c>
      <c r="C291" s="3" t="s">
        <v>8</v>
      </c>
      <c r="D291" s="3" t="s">
        <v>40</v>
      </c>
      <c r="E291" s="3" t="s">
        <v>480</v>
      </c>
      <c r="F291" s="3">
        <v>2</v>
      </c>
      <c r="G291" s="3">
        <v>0</v>
      </c>
      <c r="H291" s="1">
        <f>VLOOKUP(D291,products!A:D,4,FALSE)</f>
        <v>195000</v>
      </c>
      <c r="I291" s="1" t="str">
        <f>VLOOKUP(C291,branches!A:B,2,FALSE)</f>
        <v>Naija Mart GRA</v>
      </c>
      <c r="J291" s="1">
        <f t="shared" si="8"/>
        <v>390000</v>
      </c>
      <c r="K291" s="1" t="str">
        <f>VLOOKUP(D291,products!A:D,2,FALSE)</f>
        <v>Generators &amp; Power</v>
      </c>
      <c r="L291" s="1" t="str">
        <f t="shared" si="9"/>
        <v>Jul-2025</v>
      </c>
    </row>
    <row r="292" spans="1:12" x14ac:dyDescent="0.25">
      <c r="A292" s="3" t="s">
        <v>481</v>
      </c>
      <c r="B292" s="6">
        <v>45958</v>
      </c>
      <c r="C292" s="3" t="s">
        <v>8</v>
      </c>
      <c r="D292" s="3" t="s">
        <v>33</v>
      </c>
      <c r="E292" s="3" t="s">
        <v>405</v>
      </c>
      <c r="F292" s="3">
        <v>1</v>
      </c>
      <c r="G292" s="3">
        <v>10</v>
      </c>
      <c r="H292" s="1">
        <f>VLOOKUP(D292,products!A:D,4,FALSE)</f>
        <v>245000</v>
      </c>
      <c r="I292" s="1" t="str">
        <f>VLOOKUP(C292,branches!A:B,2,FALSE)</f>
        <v>Naija Mart GRA</v>
      </c>
      <c r="J292" s="1">
        <f t="shared" si="8"/>
        <v>220500</v>
      </c>
      <c r="K292" s="1" t="str">
        <f>VLOOKUP(D292,products!A:D,2,FALSE)</f>
        <v>Generators &amp; Power</v>
      </c>
      <c r="L292" s="1" t="str">
        <f t="shared" si="9"/>
        <v>Oct-2025</v>
      </c>
    </row>
    <row r="293" spans="1:12" x14ac:dyDescent="0.25">
      <c r="A293" s="3" t="s">
        <v>482</v>
      </c>
      <c r="B293" s="6">
        <v>45680</v>
      </c>
      <c r="C293" s="3" t="s">
        <v>12</v>
      </c>
      <c r="D293" s="3" t="s">
        <v>97</v>
      </c>
      <c r="E293" s="3" t="s">
        <v>194</v>
      </c>
      <c r="F293" s="3">
        <v>2</v>
      </c>
      <c r="G293" s="3">
        <v>0</v>
      </c>
      <c r="H293" s="1">
        <f>VLOOKUP(D293,products!A:D,4,FALSE)</f>
        <v>21000</v>
      </c>
      <c r="I293" s="1" t="str">
        <f>VLOOKUP(C293,branches!A:B,2,FALSE)</f>
        <v>Naija Mart Wuse</v>
      </c>
      <c r="J293" s="1">
        <f t="shared" si="8"/>
        <v>42000</v>
      </c>
      <c r="K293" s="1" t="str">
        <f>VLOOKUP(D293,products!A:D,2,FALSE)</f>
        <v>Small Gadgets</v>
      </c>
      <c r="L293" s="1" t="str">
        <f t="shared" si="9"/>
        <v>Jan-2025</v>
      </c>
    </row>
    <row r="294" spans="1:12" x14ac:dyDescent="0.25">
      <c r="A294" s="3" t="s">
        <v>483</v>
      </c>
      <c r="B294" s="6">
        <v>45818</v>
      </c>
      <c r="C294" s="3" t="s">
        <v>16</v>
      </c>
      <c r="D294" s="3" t="s">
        <v>49</v>
      </c>
      <c r="E294" s="3" t="s">
        <v>52</v>
      </c>
      <c r="F294" s="3">
        <v>5</v>
      </c>
      <c r="G294" s="3">
        <v>15</v>
      </c>
      <c r="H294" s="1">
        <f>VLOOKUP(D294,products!A:D,4,FALSE)</f>
        <v>28000</v>
      </c>
      <c r="I294" s="1" t="str">
        <f>VLOOKUP(C294,branches!A:B,2,FALSE)</f>
        <v>Naija Mart Ikeja</v>
      </c>
      <c r="J294" s="1">
        <f t="shared" si="8"/>
        <v>119000</v>
      </c>
      <c r="K294" s="1" t="str">
        <f>VLOOKUP(D294,products!A:D,2,FALSE)</f>
        <v>Home Appliances</v>
      </c>
      <c r="L294" s="1" t="str">
        <f t="shared" si="9"/>
        <v>Jun-2025</v>
      </c>
    </row>
    <row r="295" spans="1:12" x14ac:dyDescent="0.25">
      <c r="A295" s="3" t="s">
        <v>484</v>
      </c>
      <c r="B295" s="6">
        <v>45925</v>
      </c>
      <c r="C295" s="3" t="s">
        <v>12</v>
      </c>
      <c r="D295" s="3" t="s">
        <v>91</v>
      </c>
      <c r="E295" s="3" t="s">
        <v>387</v>
      </c>
      <c r="F295" s="3">
        <v>2</v>
      </c>
      <c r="G295" s="3">
        <v>0</v>
      </c>
      <c r="H295" s="1">
        <f>VLOOKUP(D295,products!A:D,4,FALSE)</f>
        <v>5200</v>
      </c>
      <c r="I295" s="1" t="str">
        <f>VLOOKUP(C295,branches!A:B,2,FALSE)</f>
        <v>Naija Mart Wuse</v>
      </c>
      <c r="J295" s="1">
        <f t="shared" si="8"/>
        <v>10400</v>
      </c>
      <c r="K295" s="1" t="str">
        <f>VLOOKUP(D295,products!A:D,2,FALSE)</f>
        <v>Small Gadgets</v>
      </c>
      <c r="L295" s="1" t="str">
        <f t="shared" si="9"/>
        <v>Sep-2025</v>
      </c>
    </row>
    <row r="296" spans="1:12" x14ac:dyDescent="0.25">
      <c r="A296" s="3" t="s">
        <v>485</v>
      </c>
      <c r="B296" s="6">
        <v>45866</v>
      </c>
      <c r="C296" s="3" t="s">
        <v>8</v>
      </c>
      <c r="D296" s="3" t="s">
        <v>91</v>
      </c>
      <c r="E296" s="3" t="s">
        <v>486</v>
      </c>
      <c r="F296" s="3">
        <v>1</v>
      </c>
      <c r="G296" s="3">
        <v>0</v>
      </c>
      <c r="H296" s="1">
        <f>VLOOKUP(D296,products!A:D,4,FALSE)</f>
        <v>5200</v>
      </c>
      <c r="I296" s="1" t="str">
        <f>VLOOKUP(C296,branches!A:B,2,FALSE)</f>
        <v>Naija Mart GRA</v>
      </c>
      <c r="J296" s="1">
        <f t="shared" si="8"/>
        <v>5200</v>
      </c>
      <c r="K296" s="1" t="str">
        <f>VLOOKUP(D296,products!A:D,2,FALSE)</f>
        <v>Small Gadgets</v>
      </c>
      <c r="L296" s="1" t="str">
        <f t="shared" si="9"/>
        <v>Jul-2025</v>
      </c>
    </row>
    <row r="297" spans="1:12" x14ac:dyDescent="0.25">
      <c r="A297" s="3" t="s">
        <v>487</v>
      </c>
      <c r="B297" s="6">
        <v>45927</v>
      </c>
      <c r="C297" s="3" t="s">
        <v>8</v>
      </c>
      <c r="D297" s="3" t="s">
        <v>43</v>
      </c>
      <c r="E297" s="3" t="s">
        <v>459</v>
      </c>
      <c r="F297" s="3">
        <v>1</v>
      </c>
      <c r="G297" s="3">
        <v>5</v>
      </c>
      <c r="H297" s="1">
        <f>VLOOKUP(D297,products!A:D,4,FALSE)</f>
        <v>74000</v>
      </c>
      <c r="I297" s="1" t="str">
        <f>VLOOKUP(C297,branches!A:B,2,FALSE)</f>
        <v>Naija Mart GRA</v>
      </c>
      <c r="J297" s="1">
        <f t="shared" si="8"/>
        <v>70300</v>
      </c>
      <c r="K297" s="1" t="str">
        <f>VLOOKUP(D297,products!A:D,2,FALSE)</f>
        <v>Home Appliances</v>
      </c>
      <c r="L297" s="1" t="str">
        <f t="shared" si="9"/>
        <v>Sep-2025</v>
      </c>
    </row>
    <row r="298" spans="1:12" x14ac:dyDescent="0.25">
      <c r="A298" s="3" t="s">
        <v>488</v>
      </c>
      <c r="B298" s="6">
        <v>45999</v>
      </c>
      <c r="C298" s="3" t="s">
        <v>16</v>
      </c>
      <c r="D298" s="3" t="s">
        <v>43</v>
      </c>
      <c r="E298" s="3" t="s">
        <v>136</v>
      </c>
      <c r="F298" s="3">
        <v>1</v>
      </c>
      <c r="G298" s="3">
        <v>0</v>
      </c>
      <c r="H298" s="1">
        <f>VLOOKUP(D298,products!A:D,4,FALSE)</f>
        <v>74000</v>
      </c>
      <c r="I298" s="1" t="str">
        <f>VLOOKUP(C298,branches!A:B,2,FALSE)</f>
        <v>Naija Mart Ikeja</v>
      </c>
      <c r="J298" s="1">
        <f t="shared" si="8"/>
        <v>74000</v>
      </c>
      <c r="K298" s="1" t="str">
        <f>VLOOKUP(D298,products!A:D,2,FALSE)</f>
        <v>Home Appliances</v>
      </c>
      <c r="L298" s="1" t="str">
        <f t="shared" si="9"/>
        <v>Dec-2025</v>
      </c>
    </row>
    <row r="299" spans="1:12" x14ac:dyDescent="0.25">
      <c r="A299" s="3" t="s">
        <v>489</v>
      </c>
      <c r="B299" s="6">
        <v>45880</v>
      </c>
      <c r="C299" s="3" t="s">
        <v>8</v>
      </c>
      <c r="D299" s="3" t="s">
        <v>80</v>
      </c>
      <c r="E299" s="3" t="s">
        <v>274</v>
      </c>
      <c r="F299" s="3">
        <v>2</v>
      </c>
      <c r="G299" s="3">
        <v>15</v>
      </c>
      <c r="H299" s="1">
        <f>VLOOKUP(D299,products!A:D,4,FALSE)</f>
        <v>265000</v>
      </c>
      <c r="I299" s="1" t="str">
        <f>VLOOKUP(C299,branches!A:B,2,FALSE)</f>
        <v>Naija Mart GRA</v>
      </c>
      <c r="J299" s="1">
        <f t="shared" si="8"/>
        <v>450500</v>
      </c>
      <c r="K299" s="1" t="str">
        <f>VLOOKUP(D299,products!A:D,2,FALSE)</f>
        <v>Home Appliances</v>
      </c>
      <c r="L299" s="1" t="str">
        <f t="shared" si="9"/>
        <v>Aug-2025</v>
      </c>
    </row>
    <row r="300" spans="1:12" x14ac:dyDescent="0.25">
      <c r="A300" s="3" t="s">
        <v>490</v>
      </c>
      <c r="B300" s="6">
        <v>45717</v>
      </c>
      <c r="C300" s="3" t="s">
        <v>8</v>
      </c>
      <c r="D300" s="3" t="s">
        <v>46</v>
      </c>
      <c r="E300" s="3" t="s">
        <v>491</v>
      </c>
      <c r="F300" s="3">
        <v>1</v>
      </c>
      <c r="G300" s="3">
        <v>20</v>
      </c>
      <c r="H300" s="1">
        <f>VLOOKUP(D300,products!A:D,4,FALSE)</f>
        <v>62000</v>
      </c>
      <c r="I300" s="1" t="str">
        <f>VLOOKUP(C300,branches!A:B,2,FALSE)</f>
        <v>Naija Mart GRA</v>
      </c>
      <c r="J300" s="1">
        <f t="shared" si="8"/>
        <v>49600</v>
      </c>
      <c r="K300" s="1" t="str">
        <f>VLOOKUP(D300,products!A:D,2,FALSE)</f>
        <v>Home Appliances</v>
      </c>
      <c r="L300" s="1" t="str">
        <f t="shared" si="9"/>
        <v>Mar-2025</v>
      </c>
    </row>
    <row r="301" spans="1:12" x14ac:dyDescent="0.25">
      <c r="A301" s="3" t="s">
        <v>492</v>
      </c>
      <c r="B301" s="6">
        <v>45768</v>
      </c>
      <c r="C301" s="3" t="s">
        <v>16</v>
      </c>
      <c r="D301" s="3" t="s">
        <v>94</v>
      </c>
      <c r="E301" s="3" t="s">
        <v>493</v>
      </c>
      <c r="F301" s="3">
        <v>1</v>
      </c>
      <c r="G301" s="3">
        <v>10</v>
      </c>
      <c r="H301" s="1">
        <f>VLOOKUP(D301,products!A:D,4,FALSE)</f>
        <v>320000</v>
      </c>
      <c r="I301" s="1" t="str">
        <f>VLOOKUP(C301,branches!A:B,2,FALSE)</f>
        <v>Naija Mart Ikeja</v>
      </c>
      <c r="J301" s="1">
        <f t="shared" si="8"/>
        <v>288000</v>
      </c>
      <c r="K301" s="1" t="str">
        <f>VLOOKUP(D301,products!A:D,2,FALSE)</f>
        <v>Electronics</v>
      </c>
      <c r="L301" s="1" t="str">
        <f t="shared" si="9"/>
        <v>Apr-2025</v>
      </c>
    </row>
    <row r="302" spans="1:12" x14ac:dyDescent="0.25">
      <c r="A302" s="3" t="s">
        <v>494</v>
      </c>
      <c r="B302" s="6">
        <v>45836</v>
      </c>
      <c r="C302" s="3" t="s">
        <v>16</v>
      </c>
      <c r="D302" s="3" t="s">
        <v>91</v>
      </c>
      <c r="E302" s="3" t="s">
        <v>116</v>
      </c>
      <c r="F302" s="3">
        <v>1</v>
      </c>
      <c r="G302" s="3">
        <v>0</v>
      </c>
      <c r="H302" s="1">
        <f>VLOOKUP(D302,products!A:D,4,FALSE)</f>
        <v>5200</v>
      </c>
      <c r="I302" s="1" t="str">
        <f>VLOOKUP(C302,branches!A:B,2,FALSE)</f>
        <v>Naija Mart Ikeja</v>
      </c>
      <c r="J302" s="1">
        <f t="shared" si="8"/>
        <v>5200</v>
      </c>
      <c r="K302" s="1" t="str">
        <f>VLOOKUP(D302,products!A:D,2,FALSE)</f>
        <v>Small Gadgets</v>
      </c>
      <c r="L302" s="1" t="str">
        <f t="shared" si="9"/>
        <v>Jun-2025</v>
      </c>
    </row>
    <row r="303" spans="1:12" x14ac:dyDescent="0.25">
      <c r="A303" s="3" t="s">
        <v>495</v>
      </c>
      <c r="B303" s="6">
        <v>45659</v>
      </c>
      <c r="C303" s="3" t="s">
        <v>16</v>
      </c>
      <c r="D303" s="3" t="s">
        <v>149</v>
      </c>
      <c r="E303" s="3" t="s">
        <v>67</v>
      </c>
      <c r="F303" s="3">
        <v>1</v>
      </c>
      <c r="G303" s="3">
        <v>0</v>
      </c>
      <c r="H303" s="1">
        <f>VLOOKUP(D303,products!A:D,4,FALSE)</f>
        <v>6500</v>
      </c>
      <c r="I303" s="1" t="str">
        <f>VLOOKUP(C303,branches!A:B,2,FALSE)</f>
        <v>Naija Mart Ikeja</v>
      </c>
      <c r="J303" s="1">
        <f t="shared" si="8"/>
        <v>6500</v>
      </c>
      <c r="K303" s="1" t="str">
        <f>VLOOKUP(D303,products!A:D,2,FALSE)</f>
        <v>Small Gadgets</v>
      </c>
      <c r="L303" s="1" t="str">
        <f t="shared" si="9"/>
        <v>Jan-2025</v>
      </c>
    </row>
    <row r="304" spans="1:12" x14ac:dyDescent="0.25">
      <c r="A304" s="3" t="s">
        <v>496</v>
      </c>
      <c r="B304" s="6">
        <v>45674</v>
      </c>
      <c r="C304" s="3" t="s">
        <v>16</v>
      </c>
      <c r="D304" s="3" t="s">
        <v>9</v>
      </c>
      <c r="E304" s="3" t="s">
        <v>65</v>
      </c>
      <c r="F304" s="3">
        <v>1</v>
      </c>
      <c r="G304" s="3">
        <v>5</v>
      </c>
      <c r="H304" s="1">
        <f>VLOOKUP(D304,products!A:D,4,FALSE)</f>
        <v>410000</v>
      </c>
      <c r="I304" s="1" t="str">
        <f>VLOOKUP(C304,branches!A:B,2,FALSE)</f>
        <v>Naija Mart Ikeja</v>
      </c>
      <c r="J304" s="1">
        <f t="shared" si="8"/>
        <v>389500</v>
      </c>
      <c r="K304" s="1" t="str">
        <f>VLOOKUP(D304,products!A:D,2,FALSE)</f>
        <v>Home Appliances</v>
      </c>
      <c r="L304" s="1" t="str">
        <f t="shared" si="9"/>
        <v>Jan-2025</v>
      </c>
    </row>
    <row r="305" spans="1:12" x14ac:dyDescent="0.25">
      <c r="A305" s="3" t="s">
        <v>497</v>
      </c>
      <c r="B305" s="6">
        <v>45980</v>
      </c>
      <c r="C305" s="3" t="s">
        <v>16</v>
      </c>
      <c r="D305" s="3" t="s">
        <v>258</v>
      </c>
      <c r="E305" s="3" t="s">
        <v>110</v>
      </c>
      <c r="F305" s="3">
        <v>1</v>
      </c>
      <c r="G305" s="3">
        <v>0</v>
      </c>
      <c r="H305" s="1">
        <f>VLOOKUP(D305,products!A:D,4,FALSE)</f>
        <v>95000</v>
      </c>
      <c r="I305" s="1" t="str">
        <f>VLOOKUP(C305,branches!A:B,2,FALSE)</f>
        <v>Naija Mart Ikeja</v>
      </c>
      <c r="J305" s="1">
        <f t="shared" si="8"/>
        <v>95000</v>
      </c>
      <c r="K305" s="1" t="str">
        <f>VLOOKUP(D305,products!A:D,2,FALSE)</f>
        <v>Electronics</v>
      </c>
      <c r="L305" s="1" t="str">
        <f t="shared" si="9"/>
        <v>Nov-2025</v>
      </c>
    </row>
    <row r="306" spans="1:12" x14ac:dyDescent="0.25">
      <c r="A306" s="3" t="s">
        <v>498</v>
      </c>
      <c r="B306" s="6">
        <v>45660</v>
      </c>
      <c r="C306" s="3" t="s">
        <v>16</v>
      </c>
      <c r="D306" s="3" t="s">
        <v>33</v>
      </c>
      <c r="E306" s="3" t="s">
        <v>376</v>
      </c>
      <c r="F306" s="3">
        <v>1</v>
      </c>
      <c r="G306" s="3">
        <v>10</v>
      </c>
      <c r="H306" s="1">
        <f>VLOOKUP(D306,products!A:D,4,FALSE)</f>
        <v>245000</v>
      </c>
      <c r="I306" s="1" t="str">
        <f>VLOOKUP(C306,branches!A:B,2,FALSE)</f>
        <v>Naija Mart Ikeja</v>
      </c>
      <c r="J306" s="1">
        <f t="shared" si="8"/>
        <v>220500</v>
      </c>
      <c r="K306" s="1" t="str">
        <f>VLOOKUP(D306,products!A:D,2,FALSE)</f>
        <v>Generators &amp; Power</v>
      </c>
      <c r="L306" s="1" t="str">
        <f t="shared" si="9"/>
        <v>Jan-2025</v>
      </c>
    </row>
    <row r="307" spans="1:12" x14ac:dyDescent="0.25">
      <c r="A307" s="3" t="s">
        <v>499</v>
      </c>
      <c r="B307" s="6">
        <v>45875</v>
      </c>
      <c r="C307" s="3" t="s">
        <v>8</v>
      </c>
      <c r="D307" s="3" t="s">
        <v>33</v>
      </c>
      <c r="E307" s="3" t="s">
        <v>500</v>
      </c>
      <c r="F307" s="3">
        <v>1</v>
      </c>
      <c r="G307" s="3">
        <v>10</v>
      </c>
      <c r="H307" s="1">
        <f>VLOOKUP(D307,products!A:D,4,FALSE)</f>
        <v>245000</v>
      </c>
      <c r="I307" s="1" t="str">
        <f>VLOOKUP(C307,branches!A:B,2,FALSE)</f>
        <v>Naija Mart GRA</v>
      </c>
      <c r="J307" s="1">
        <f t="shared" si="8"/>
        <v>220500</v>
      </c>
      <c r="K307" s="1" t="str">
        <f>VLOOKUP(D307,products!A:D,2,FALSE)</f>
        <v>Generators &amp; Power</v>
      </c>
      <c r="L307" s="1" t="str">
        <f t="shared" si="9"/>
        <v>Aug-2025</v>
      </c>
    </row>
    <row r="308" spans="1:12" x14ac:dyDescent="0.25">
      <c r="A308" s="3" t="s">
        <v>501</v>
      </c>
      <c r="B308" s="6">
        <v>45772</v>
      </c>
      <c r="C308" s="3" t="s">
        <v>8</v>
      </c>
      <c r="D308" s="3" t="s">
        <v>258</v>
      </c>
      <c r="E308" s="3" t="s">
        <v>256</v>
      </c>
      <c r="F308" s="3">
        <v>2</v>
      </c>
      <c r="G308" s="3">
        <v>0</v>
      </c>
      <c r="H308" s="1">
        <f>VLOOKUP(D308,products!A:D,4,FALSE)</f>
        <v>95000</v>
      </c>
      <c r="I308" s="1" t="str">
        <f>VLOOKUP(C308,branches!A:B,2,FALSE)</f>
        <v>Naija Mart GRA</v>
      </c>
      <c r="J308" s="1">
        <f t="shared" si="8"/>
        <v>190000</v>
      </c>
      <c r="K308" s="1" t="str">
        <f>VLOOKUP(D308,products!A:D,2,FALSE)</f>
        <v>Electronics</v>
      </c>
      <c r="L308" s="1" t="str">
        <f t="shared" si="9"/>
        <v>Apr-2025</v>
      </c>
    </row>
    <row r="309" spans="1:12" x14ac:dyDescent="0.25">
      <c r="A309" s="3" t="s">
        <v>502</v>
      </c>
      <c r="B309" s="6">
        <v>45732</v>
      </c>
      <c r="C309" s="3" t="s">
        <v>8</v>
      </c>
      <c r="D309" s="3" t="s">
        <v>149</v>
      </c>
      <c r="E309" s="3" t="s">
        <v>145</v>
      </c>
      <c r="F309" s="3">
        <v>2</v>
      </c>
      <c r="G309" s="3">
        <v>5</v>
      </c>
      <c r="H309" s="1">
        <f>VLOOKUP(D309,products!A:D,4,FALSE)</f>
        <v>6500</v>
      </c>
      <c r="I309" s="1" t="str">
        <f>VLOOKUP(C309,branches!A:B,2,FALSE)</f>
        <v>Naija Mart GRA</v>
      </c>
      <c r="J309" s="1">
        <f t="shared" si="8"/>
        <v>12350</v>
      </c>
      <c r="K309" s="1" t="str">
        <f>VLOOKUP(D309,products!A:D,2,FALSE)</f>
        <v>Small Gadgets</v>
      </c>
      <c r="L309" s="1" t="str">
        <f t="shared" si="9"/>
        <v>Mar-2025</v>
      </c>
    </row>
    <row r="310" spans="1:12" x14ac:dyDescent="0.25">
      <c r="A310" s="3" t="s">
        <v>503</v>
      </c>
      <c r="B310" s="6">
        <v>45663</v>
      </c>
      <c r="C310" s="3" t="s">
        <v>12</v>
      </c>
      <c r="D310" s="3" t="s">
        <v>80</v>
      </c>
      <c r="E310" s="3" t="s">
        <v>504</v>
      </c>
      <c r="F310" s="3">
        <v>1</v>
      </c>
      <c r="G310" s="3">
        <v>15</v>
      </c>
      <c r="H310" s="1">
        <f>VLOOKUP(D310,products!A:D,4,FALSE)</f>
        <v>265000</v>
      </c>
      <c r="I310" s="1" t="str">
        <f>VLOOKUP(C310,branches!A:B,2,FALSE)</f>
        <v>Naija Mart Wuse</v>
      </c>
      <c r="J310" s="1">
        <f t="shared" si="8"/>
        <v>225250</v>
      </c>
      <c r="K310" s="1" t="str">
        <f>VLOOKUP(D310,products!A:D,2,FALSE)</f>
        <v>Home Appliances</v>
      </c>
      <c r="L310" s="1" t="str">
        <f t="shared" si="9"/>
        <v>Jan-2025</v>
      </c>
    </row>
    <row r="311" spans="1:12" x14ac:dyDescent="0.25">
      <c r="A311" s="3" t="s">
        <v>505</v>
      </c>
      <c r="B311" s="6">
        <v>45704</v>
      </c>
      <c r="C311" s="3" t="s">
        <v>16</v>
      </c>
      <c r="D311" s="3" t="s">
        <v>37</v>
      </c>
      <c r="E311" s="3" t="s">
        <v>174</v>
      </c>
      <c r="F311" s="3">
        <v>5</v>
      </c>
      <c r="G311" s="3">
        <v>0</v>
      </c>
      <c r="H311" s="1">
        <f>VLOOKUP(D311,products!A:D,4,FALSE)</f>
        <v>8500</v>
      </c>
      <c r="I311" s="1" t="str">
        <f>VLOOKUP(C311,branches!A:B,2,FALSE)</f>
        <v>Naija Mart Ikeja</v>
      </c>
      <c r="J311" s="1">
        <f t="shared" si="8"/>
        <v>42500</v>
      </c>
      <c r="K311" s="1" t="str">
        <f>VLOOKUP(D311,products!A:D,2,FALSE)</f>
        <v>Small Gadgets</v>
      </c>
      <c r="L311" s="1" t="str">
        <f t="shared" si="9"/>
        <v>Feb-2025</v>
      </c>
    </row>
    <row r="312" spans="1:12" x14ac:dyDescent="0.25">
      <c r="A312" s="3" t="s">
        <v>506</v>
      </c>
      <c r="B312" s="6">
        <v>46019</v>
      </c>
      <c r="C312" s="3" t="s">
        <v>12</v>
      </c>
      <c r="D312" s="3" t="s">
        <v>37</v>
      </c>
      <c r="E312" s="3" t="s">
        <v>176</v>
      </c>
      <c r="F312" s="3">
        <v>1</v>
      </c>
      <c r="G312" s="3">
        <v>15</v>
      </c>
      <c r="H312" s="1">
        <f>VLOOKUP(D312,products!A:D,4,FALSE)</f>
        <v>8500</v>
      </c>
      <c r="I312" s="1" t="str">
        <f>VLOOKUP(C312,branches!A:B,2,FALSE)</f>
        <v>Naija Mart Wuse</v>
      </c>
      <c r="J312" s="1">
        <f t="shared" si="8"/>
        <v>7225</v>
      </c>
      <c r="K312" s="1" t="str">
        <f>VLOOKUP(D312,products!A:D,2,FALSE)</f>
        <v>Small Gadgets</v>
      </c>
      <c r="L312" s="1" t="str">
        <f t="shared" si="9"/>
        <v>Dec-2025</v>
      </c>
    </row>
    <row r="313" spans="1:12" x14ac:dyDescent="0.25">
      <c r="A313" s="3" t="s">
        <v>507</v>
      </c>
      <c r="B313" s="6">
        <v>45835</v>
      </c>
      <c r="C313" s="3" t="s">
        <v>8</v>
      </c>
      <c r="D313" s="3" t="s">
        <v>97</v>
      </c>
      <c r="E313" s="3" t="s">
        <v>163</v>
      </c>
      <c r="F313" s="3">
        <v>2</v>
      </c>
      <c r="G313" s="3">
        <v>10</v>
      </c>
      <c r="H313" s="1">
        <f>VLOOKUP(D313,products!A:D,4,FALSE)</f>
        <v>21000</v>
      </c>
      <c r="I313" s="1" t="str">
        <f>VLOOKUP(C313,branches!A:B,2,FALSE)</f>
        <v>Naija Mart GRA</v>
      </c>
      <c r="J313" s="1">
        <f t="shared" si="8"/>
        <v>37800</v>
      </c>
      <c r="K313" s="1" t="str">
        <f>VLOOKUP(D313,products!A:D,2,FALSE)</f>
        <v>Small Gadgets</v>
      </c>
      <c r="L313" s="1" t="str">
        <f t="shared" si="9"/>
        <v>Jun-2025</v>
      </c>
    </row>
    <row r="314" spans="1:12" x14ac:dyDescent="0.25">
      <c r="A314" s="3" t="s">
        <v>508</v>
      </c>
      <c r="B314" s="6">
        <v>45988</v>
      </c>
      <c r="C314" s="3" t="s">
        <v>12</v>
      </c>
      <c r="D314" s="3" t="s">
        <v>26</v>
      </c>
      <c r="E314" s="3" t="s">
        <v>423</v>
      </c>
      <c r="F314" s="3">
        <v>1</v>
      </c>
      <c r="G314" s="3">
        <v>15</v>
      </c>
      <c r="H314" s="1">
        <f>VLOOKUP(D314,products!A:D,4,FALSE)</f>
        <v>145000</v>
      </c>
      <c r="I314" s="1" t="str">
        <f>VLOOKUP(C314,branches!A:B,2,FALSE)</f>
        <v>Naija Mart Wuse</v>
      </c>
      <c r="J314" s="1">
        <f t="shared" si="8"/>
        <v>123250</v>
      </c>
      <c r="K314" s="1" t="str">
        <f>VLOOKUP(D314,products!A:D,2,FALSE)</f>
        <v>Electronics</v>
      </c>
      <c r="L314" s="1" t="str">
        <f t="shared" si="9"/>
        <v>Nov-2025</v>
      </c>
    </row>
    <row r="315" spans="1:12" x14ac:dyDescent="0.25">
      <c r="A315" s="3" t="s">
        <v>509</v>
      </c>
      <c r="B315" s="6">
        <v>45812</v>
      </c>
      <c r="C315" s="3" t="s">
        <v>12</v>
      </c>
      <c r="D315" s="3" t="s">
        <v>126</v>
      </c>
      <c r="E315" s="3" t="s">
        <v>29</v>
      </c>
      <c r="F315" s="3">
        <v>1</v>
      </c>
      <c r="G315" s="3">
        <v>0</v>
      </c>
      <c r="H315" s="1">
        <f>VLOOKUP(D315,products!A:D,4,FALSE)</f>
        <v>185000</v>
      </c>
      <c r="I315" s="1" t="str">
        <f>VLOOKUP(C315,branches!A:B,2,FALSE)</f>
        <v>Naija Mart Wuse</v>
      </c>
      <c r="J315" s="1">
        <f t="shared" si="8"/>
        <v>185000</v>
      </c>
      <c r="K315" s="1" t="str">
        <f>VLOOKUP(D315,products!A:D,2,FALSE)</f>
        <v>Electronics</v>
      </c>
      <c r="L315" s="1" t="str">
        <f t="shared" si="9"/>
        <v>Jun-2025</v>
      </c>
    </row>
    <row r="316" spans="1:12" x14ac:dyDescent="0.25">
      <c r="A316" s="3" t="s">
        <v>510</v>
      </c>
      <c r="B316" s="6">
        <v>45874</v>
      </c>
      <c r="C316" s="3" t="s">
        <v>16</v>
      </c>
      <c r="D316" s="3" t="s">
        <v>69</v>
      </c>
      <c r="E316" s="3" t="s">
        <v>475</v>
      </c>
      <c r="F316" s="3">
        <v>1</v>
      </c>
      <c r="G316" s="3">
        <v>0</v>
      </c>
      <c r="H316" s="1">
        <f>VLOOKUP(D316,products!A:D,4,FALSE)</f>
        <v>45000</v>
      </c>
      <c r="I316" s="1" t="str">
        <f>VLOOKUP(C316,branches!A:B,2,FALSE)</f>
        <v>Naija Mart Ikeja</v>
      </c>
      <c r="J316" s="1">
        <f t="shared" si="8"/>
        <v>45000</v>
      </c>
      <c r="K316" s="1" t="str">
        <f>VLOOKUP(D316,products!A:D,2,FALSE)</f>
        <v>Electronics</v>
      </c>
      <c r="L316" s="1" t="str">
        <f t="shared" si="9"/>
        <v>Aug-2025</v>
      </c>
    </row>
    <row r="317" spans="1:12" x14ac:dyDescent="0.25">
      <c r="A317" s="3" t="s">
        <v>511</v>
      </c>
      <c r="B317" s="6">
        <v>45733</v>
      </c>
      <c r="C317" s="3" t="s">
        <v>12</v>
      </c>
      <c r="D317" s="3" t="s">
        <v>59</v>
      </c>
      <c r="E317" s="3" t="s">
        <v>423</v>
      </c>
      <c r="F317" s="3">
        <v>1</v>
      </c>
      <c r="G317" s="3">
        <v>0</v>
      </c>
      <c r="H317" s="1">
        <f>VLOOKUP(D317,products!A:D,4,FALSE)</f>
        <v>15000</v>
      </c>
      <c r="I317" s="1" t="str">
        <f>VLOOKUP(C317,branches!A:B,2,FALSE)</f>
        <v>Naija Mart Wuse</v>
      </c>
      <c r="J317" s="1">
        <f t="shared" si="8"/>
        <v>15000</v>
      </c>
      <c r="K317" s="1" t="str">
        <f>VLOOKUP(D317,products!A:D,2,FALSE)</f>
        <v>Home Appliances</v>
      </c>
      <c r="L317" s="1" t="str">
        <f t="shared" si="9"/>
        <v>Mar-2025</v>
      </c>
    </row>
    <row r="318" spans="1:12" x14ac:dyDescent="0.25">
      <c r="A318" s="3" t="s">
        <v>512</v>
      </c>
      <c r="B318" s="6">
        <v>45982</v>
      </c>
      <c r="C318" s="3" t="s">
        <v>12</v>
      </c>
      <c r="D318" s="3" t="s">
        <v>13</v>
      </c>
      <c r="E318" s="3" t="s">
        <v>486</v>
      </c>
      <c r="F318" s="3">
        <v>1</v>
      </c>
      <c r="G318" s="3">
        <v>10</v>
      </c>
      <c r="H318" s="1">
        <f>VLOOKUP(D318,products!A:D,4,FALSE)</f>
        <v>24000</v>
      </c>
      <c r="I318" s="1" t="str">
        <f>VLOOKUP(C318,branches!A:B,2,FALSE)</f>
        <v>Naija Mart Wuse</v>
      </c>
      <c r="J318" s="1">
        <f t="shared" si="8"/>
        <v>21600</v>
      </c>
      <c r="K318" s="1" t="str">
        <f>VLOOKUP(D318,products!A:D,2,FALSE)</f>
        <v>Home Appliances</v>
      </c>
      <c r="L318" s="1" t="str">
        <f t="shared" si="9"/>
        <v>Nov-2025</v>
      </c>
    </row>
    <row r="319" spans="1:12" x14ac:dyDescent="0.25">
      <c r="A319" s="3" t="s">
        <v>513</v>
      </c>
      <c r="B319" s="6">
        <v>45996</v>
      </c>
      <c r="C319" s="3" t="s">
        <v>16</v>
      </c>
      <c r="D319" s="3" t="s">
        <v>56</v>
      </c>
      <c r="E319" s="3" t="s">
        <v>514</v>
      </c>
      <c r="F319" s="3">
        <v>2</v>
      </c>
      <c r="G319" s="3">
        <v>0</v>
      </c>
      <c r="H319" s="1">
        <f>VLOOKUP(D319,products!A:D,4,FALSE)</f>
        <v>285000</v>
      </c>
      <c r="I319" s="1" t="str">
        <f>VLOOKUP(C319,branches!A:B,2,FALSE)</f>
        <v>Naija Mart Ikeja</v>
      </c>
      <c r="J319" s="1">
        <f t="shared" si="8"/>
        <v>570000</v>
      </c>
      <c r="K319" s="1" t="str">
        <f>VLOOKUP(D319,products!A:D,2,FALSE)</f>
        <v>Home Appliances</v>
      </c>
      <c r="L319" s="1" t="str">
        <f t="shared" si="9"/>
        <v>Dec-2025</v>
      </c>
    </row>
    <row r="320" spans="1:12" x14ac:dyDescent="0.25">
      <c r="A320" s="3" t="s">
        <v>515</v>
      </c>
      <c r="B320" s="6">
        <v>45917</v>
      </c>
      <c r="C320" s="3" t="s">
        <v>36</v>
      </c>
      <c r="D320" s="3" t="s">
        <v>91</v>
      </c>
      <c r="E320" s="3" t="s">
        <v>516</v>
      </c>
      <c r="F320" s="3">
        <v>2</v>
      </c>
      <c r="G320" s="3">
        <v>0</v>
      </c>
      <c r="H320" s="1">
        <f>VLOOKUP(D320,products!A:D,4,FALSE)</f>
        <v>5200</v>
      </c>
      <c r="I320" s="1" t="str">
        <f>VLOOKUP(C320,branches!A:B,2,FALSE)</f>
        <v>Naija Mart Sabon Gari</v>
      </c>
      <c r="J320" s="1">
        <f t="shared" si="8"/>
        <v>10400</v>
      </c>
      <c r="K320" s="1" t="str">
        <f>VLOOKUP(D320,products!A:D,2,FALSE)</f>
        <v>Small Gadgets</v>
      </c>
      <c r="L320" s="1" t="str">
        <f t="shared" si="9"/>
        <v>Sep-2025</v>
      </c>
    </row>
    <row r="321" spans="1:12" x14ac:dyDescent="0.25">
      <c r="A321" s="3" t="s">
        <v>517</v>
      </c>
      <c r="B321" s="6">
        <v>45876</v>
      </c>
      <c r="C321" s="3" t="s">
        <v>12</v>
      </c>
      <c r="D321" s="3" t="s">
        <v>69</v>
      </c>
      <c r="E321" s="3" t="s">
        <v>491</v>
      </c>
      <c r="F321" s="3">
        <v>1</v>
      </c>
      <c r="G321" s="3">
        <v>10</v>
      </c>
      <c r="H321" s="1">
        <f>VLOOKUP(D321,products!A:D,4,FALSE)</f>
        <v>45000</v>
      </c>
      <c r="I321" s="1" t="str">
        <f>VLOOKUP(C321,branches!A:B,2,FALSE)</f>
        <v>Naija Mart Wuse</v>
      </c>
      <c r="J321" s="1">
        <f t="shared" si="8"/>
        <v>40500</v>
      </c>
      <c r="K321" s="1" t="str">
        <f>VLOOKUP(D321,products!A:D,2,FALSE)</f>
        <v>Electronics</v>
      </c>
      <c r="L321" s="1" t="str">
        <f t="shared" si="9"/>
        <v>Aug-2025</v>
      </c>
    </row>
    <row r="322" spans="1:12" x14ac:dyDescent="0.25">
      <c r="A322" s="3" t="s">
        <v>518</v>
      </c>
      <c r="B322" s="6">
        <v>45765</v>
      </c>
      <c r="C322" s="3" t="s">
        <v>8</v>
      </c>
      <c r="D322" s="3" t="s">
        <v>20</v>
      </c>
      <c r="E322" s="3" t="s">
        <v>519</v>
      </c>
      <c r="F322" s="3">
        <v>1</v>
      </c>
      <c r="G322" s="3">
        <v>0</v>
      </c>
      <c r="H322" s="1">
        <f>VLOOKUP(D322,products!A:D,4,FALSE)</f>
        <v>38000</v>
      </c>
      <c r="I322" s="1" t="str">
        <f>VLOOKUP(C322,branches!A:B,2,FALSE)</f>
        <v>Naija Mart GRA</v>
      </c>
      <c r="J322" s="1">
        <f t="shared" si="8"/>
        <v>38000</v>
      </c>
      <c r="K322" s="1" t="str">
        <f>VLOOKUP(D322,products!A:D,2,FALSE)</f>
        <v>Electronics</v>
      </c>
      <c r="L322" s="1" t="str">
        <f t="shared" si="9"/>
        <v>Apr-2025</v>
      </c>
    </row>
    <row r="323" spans="1:12" x14ac:dyDescent="0.25">
      <c r="A323" s="3" t="s">
        <v>520</v>
      </c>
      <c r="B323" s="6">
        <v>45725</v>
      </c>
      <c r="C323" s="3" t="s">
        <v>16</v>
      </c>
      <c r="D323" s="3" t="s">
        <v>40</v>
      </c>
      <c r="E323" s="3" t="s">
        <v>83</v>
      </c>
      <c r="F323" s="3">
        <v>1</v>
      </c>
      <c r="G323" s="3">
        <v>0</v>
      </c>
      <c r="H323" s="1">
        <f>VLOOKUP(D323,products!A:D,4,FALSE)</f>
        <v>195000</v>
      </c>
      <c r="I323" s="1" t="str">
        <f>VLOOKUP(C323,branches!A:B,2,FALSE)</f>
        <v>Naija Mart Ikeja</v>
      </c>
      <c r="J323" s="1">
        <f t="shared" ref="J323:J386" si="10">F323*H323*(1-G323/100)</f>
        <v>195000</v>
      </c>
      <c r="K323" s="1" t="str">
        <f>VLOOKUP(D323,products!A:D,2,FALSE)</f>
        <v>Generators &amp; Power</v>
      </c>
      <c r="L323" s="1" t="str">
        <f t="shared" ref="L323:L386" si="11">TEXT(B323,"mmm-yyyy")</f>
        <v>Mar-2025</v>
      </c>
    </row>
    <row r="324" spans="1:12" x14ac:dyDescent="0.25">
      <c r="A324" s="3" t="s">
        <v>521</v>
      </c>
      <c r="B324" s="6">
        <v>45789</v>
      </c>
      <c r="C324" s="3" t="s">
        <v>16</v>
      </c>
      <c r="D324" s="3" t="s">
        <v>94</v>
      </c>
      <c r="E324" s="3" t="s">
        <v>522</v>
      </c>
      <c r="F324" s="3">
        <v>2</v>
      </c>
      <c r="G324" s="3">
        <v>15</v>
      </c>
      <c r="H324" s="1">
        <f>VLOOKUP(D324,products!A:D,4,FALSE)</f>
        <v>320000</v>
      </c>
      <c r="I324" s="1" t="str">
        <f>VLOOKUP(C324,branches!A:B,2,FALSE)</f>
        <v>Naija Mart Ikeja</v>
      </c>
      <c r="J324" s="1">
        <f t="shared" si="10"/>
        <v>544000</v>
      </c>
      <c r="K324" s="1" t="str">
        <f>VLOOKUP(D324,products!A:D,2,FALSE)</f>
        <v>Electronics</v>
      </c>
      <c r="L324" s="1" t="str">
        <f t="shared" si="11"/>
        <v>May-2025</v>
      </c>
    </row>
    <row r="325" spans="1:12" x14ac:dyDescent="0.25">
      <c r="A325" s="3" t="s">
        <v>523</v>
      </c>
      <c r="B325" s="6">
        <v>45975</v>
      </c>
      <c r="C325" s="3" t="s">
        <v>12</v>
      </c>
      <c r="D325" s="3" t="s">
        <v>9</v>
      </c>
      <c r="E325" s="3" t="s">
        <v>524</v>
      </c>
      <c r="F325" s="3">
        <v>1</v>
      </c>
      <c r="G325" s="3">
        <v>0</v>
      </c>
      <c r="H325" s="1">
        <f>VLOOKUP(D325,products!A:D,4,FALSE)</f>
        <v>410000</v>
      </c>
      <c r="I325" s="1" t="str">
        <f>VLOOKUP(C325,branches!A:B,2,FALSE)</f>
        <v>Naija Mart Wuse</v>
      </c>
      <c r="J325" s="1">
        <f t="shared" si="10"/>
        <v>410000</v>
      </c>
      <c r="K325" s="1" t="str">
        <f>VLOOKUP(D325,products!A:D,2,FALSE)</f>
        <v>Home Appliances</v>
      </c>
      <c r="L325" s="1" t="str">
        <f t="shared" si="11"/>
        <v>Nov-2025</v>
      </c>
    </row>
    <row r="326" spans="1:12" x14ac:dyDescent="0.25">
      <c r="A326" s="3" t="s">
        <v>525</v>
      </c>
      <c r="B326" s="6">
        <v>45922</v>
      </c>
      <c r="C326" s="3" t="s">
        <v>16</v>
      </c>
      <c r="D326" s="3" t="s">
        <v>149</v>
      </c>
      <c r="E326" s="3" t="s">
        <v>526</v>
      </c>
      <c r="F326" s="3">
        <v>1</v>
      </c>
      <c r="G326" s="3">
        <v>0</v>
      </c>
      <c r="H326" s="1">
        <f>VLOOKUP(D326,products!A:D,4,FALSE)</f>
        <v>6500</v>
      </c>
      <c r="I326" s="1" t="str">
        <f>VLOOKUP(C326,branches!A:B,2,FALSE)</f>
        <v>Naija Mart Ikeja</v>
      </c>
      <c r="J326" s="1">
        <f t="shared" si="10"/>
        <v>6500</v>
      </c>
      <c r="K326" s="1" t="str">
        <f>VLOOKUP(D326,products!A:D,2,FALSE)</f>
        <v>Small Gadgets</v>
      </c>
      <c r="L326" s="1" t="str">
        <f t="shared" si="11"/>
        <v>Sep-2025</v>
      </c>
    </row>
    <row r="327" spans="1:12" x14ac:dyDescent="0.25">
      <c r="A327" s="3" t="s">
        <v>527</v>
      </c>
      <c r="B327" s="6">
        <v>45666</v>
      </c>
      <c r="C327" s="3" t="s">
        <v>8</v>
      </c>
      <c r="D327" s="3" t="s">
        <v>13</v>
      </c>
      <c r="E327" s="3" t="s">
        <v>528</v>
      </c>
      <c r="F327" s="3">
        <v>1</v>
      </c>
      <c r="G327" s="3">
        <v>10</v>
      </c>
      <c r="H327" s="1">
        <f>VLOOKUP(D327,products!A:D,4,FALSE)</f>
        <v>24000</v>
      </c>
      <c r="I327" s="1" t="str">
        <f>VLOOKUP(C327,branches!A:B,2,FALSE)</f>
        <v>Naija Mart GRA</v>
      </c>
      <c r="J327" s="1">
        <f t="shared" si="10"/>
        <v>21600</v>
      </c>
      <c r="K327" s="1" t="str">
        <f>VLOOKUP(D327,products!A:D,2,FALSE)</f>
        <v>Home Appliances</v>
      </c>
      <c r="L327" s="1" t="str">
        <f t="shared" si="11"/>
        <v>Jan-2025</v>
      </c>
    </row>
    <row r="328" spans="1:12" x14ac:dyDescent="0.25">
      <c r="A328" s="3" t="s">
        <v>529</v>
      </c>
      <c r="B328" s="6">
        <v>46007</v>
      </c>
      <c r="C328" s="3" t="s">
        <v>8</v>
      </c>
      <c r="D328" s="3" t="s">
        <v>80</v>
      </c>
      <c r="E328" s="3" t="s">
        <v>215</v>
      </c>
      <c r="F328" s="3">
        <v>1</v>
      </c>
      <c r="G328" s="3">
        <v>15</v>
      </c>
      <c r="H328" s="1">
        <f>VLOOKUP(D328,products!A:D,4,FALSE)</f>
        <v>265000</v>
      </c>
      <c r="I328" s="1" t="str">
        <f>VLOOKUP(C328,branches!A:B,2,FALSE)</f>
        <v>Naija Mart GRA</v>
      </c>
      <c r="J328" s="1">
        <f t="shared" si="10"/>
        <v>225250</v>
      </c>
      <c r="K328" s="1" t="str">
        <f>VLOOKUP(D328,products!A:D,2,FALSE)</f>
        <v>Home Appliances</v>
      </c>
      <c r="L328" s="1" t="str">
        <f t="shared" si="11"/>
        <v>Dec-2025</v>
      </c>
    </row>
    <row r="329" spans="1:12" x14ac:dyDescent="0.25">
      <c r="A329" s="3" t="s">
        <v>530</v>
      </c>
      <c r="B329" s="6">
        <v>45904</v>
      </c>
      <c r="C329" s="3" t="s">
        <v>16</v>
      </c>
      <c r="D329" s="3" t="s">
        <v>64</v>
      </c>
      <c r="E329" s="3" t="s">
        <v>161</v>
      </c>
      <c r="F329" s="3">
        <v>1</v>
      </c>
      <c r="G329" s="3">
        <v>20</v>
      </c>
      <c r="H329" s="1">
        <f>VLOOKUP(D329,products!A:D,4,FALSE)</f>
        <v>175000</v>
      </c>
      <c r="I329" s="1" t="str">
        <f>VLOOKUP(C329,branches!A:B,2,FALSE)</f>
        <v>Naija Mart Ikeja</v>
      </c>
      <c r="J329" s="1">
        <f t="shared" si="10"/>
        <v>140000</v>
      </c>
      <c r="K329" s="1" t="str">
        <f>VLOOKUP(D329,products!A:D,2,FALSE)</f>
        <v>Generators &amp; Power</v>
      </c>
      <c r="L329" s="1" t="str">
        <f t="shared" si="11"/>
        <v>Sep-2025</v>
      </c>
    </row>
    <row r="330" spans="1:12" x14ac:dyDescent="0.25">
      <c r="A330" s="3" t="s">
        <v>531</v>
      </c>
      <c r="B330" s="6">
        <v>46002</v>
      </c>
      <c r="C330" s="3" t="s">
        <v>16</v>
      </c>
      <c r="D330" s="3" t="s">
        <v>197</v>
      </c>
      <c r="E330" s="3" t="s">
        <v>116</v>
      </c>
      <c r="F330" s="3">
        <v>1</v>
      </c>
      <c r="G330" s="3">
        <v>5</v>
      </c>
      <c r="H330" s="1">
        <f>VLOOKUP(D330,products!A:D,4,FALSE)</f>
        <v>78000</v>
      </c>
      <c r="I330" s="1" t="str">
        <f>VLOOKUP(C330,branches!A:B,2,FALSE)</f>
        <v>Naija Mart Ikeja</v>
      </c>
      <c r="J330" s="1">
        <f t="shared" si="10"/>
        <v>74100</v>
      </c>
      <c r="K330" s="1" t="str">
        <f>VLOOKUP(D330,products!A:D,2,FALSE)</f>
        <v>Electronics</v>
      </c>
      <c r="L330" s="1" t="str">
        <f t="shared" si="11"/>
        <v>Dec-2025</v>
      </c>
    </row>
    <row r="331" spans="1:12" x14ac:dyDescent="0.25">
      <c r="A331" s="3" t="s">
        <v>532</v>
      </c>
      <c r="B331" s="6">
        <v>45908</v>
      </c>
      <c r="C331" s="3" t="s">
        <v>16</v>
      </c>
      <c r="D331" s="3" t="s">
        <v>49</v>
      </c>
      <c r="E331" s="3" t="s">
        <v>18</v>
      </c>
      <c r="F331" s="3">
        <v>1</v>
      </c>
      <c r="G331" s="3">
        <v>10</v>
      </c>
      <c r="H331" s="1">
        <f>VLOOKUP(D331,products!A:D,4,FALSE)</f>
        <v>28000</v>
      </c>
      <c r="I331" s="1" t="str">
        <f>VLOOKUP(C331,branches!A:B,2,FALSE)</f>
        <v>Naija Mart Ikeja</v>
      </c>
      <c r="J331" s="1">
        <f t="shared" si="10"/>
        <v>25200</v>
      </c>
      <c r="K331" s="1" t="str">
        <f>VLOOKUP(D331,products!A:D,2,FALSE)</f>
        <v>Home Appliances</v>
      </c>
      <c r="L331" s="1" t="str">
        <f t="shared" si="11"/>
        <v>Sep-2025</v>
      </c>
    </row>
    <row r="332" spans="1:12" x14ac:dyDescent="0.25">
      <c r="A332" s="3" t="s">
        <v>533</v>
      </c>
      <c r="B332" s="6">
        <v>45988</v>
      </c>
      <c r="C332" s="3" t="s">
        <v>36</v>
      </c>
      <c r="D332" s="3" t="s">
        <v>80</v>
      </c>
      <c r="E332" s="3" t="s">
        <v>335</v>
      </c>
      <c r="F332" s="3">
        <v>1</v>
      </c>
      <c r="G332" s="3">
        <v>0</v>
      </c>
      <c r="H332" s="1">
        <f>VLOOKUP(D332,products!A:D,4,FALSE)</f>
        <v>265000</v>
      </c>
      <c r="I332" s="1" t="str">
        <f>VLOOKUP(C332,branches!A:B,2,FALSE)</f>
        <v>Naija Mart Sabon Gari</v>
      </c>
      <c r="J332" s="1">
        <f t="shared" si="10"/>
        <v>265000</v>
      </c>
      <c r="K332" s="1" t="str">
        <f>VLOOKUP(D332,products!A:D,2,FALSE)</f>
        <v>Home Appliances</v>
      </c>
      <c r="L332" s="1" t="str">
        <f t="shared" si="11"/>
        <v>Nov-2025</v>
      </c>
    </row>
    <row r="333" spans="1:12" x14ac:dyDescent="0.25">
      <c r="A333" s="3" t="s">
        <v>534</v>
      </c>
      <c r="B333" s="6">
        <v>45702</v>
      </c>
      <c r="C333" s="3" t="s">
        <v>16</v>
      </c>
      <c r="D333" s="3" t="s">
        <v>126</v>
      </c>
      <c r="E333" s="3" t="s">
        <v>403</v>
      </c>
      <c r="F333" s="3">
        <v>1</v>
      </c>
      <c r="G333" s="3">
        <v>0</v>
      </c>
      <c r="H333" s="1">
        <f>VLOOKUP(D333,products!A:D,4,FALSE)</f>
        <v>185000</v>
      </c>
      <c r="I333" s="1" t="str">
        <f>VLOOKUP(C333,branches!A:B,2,FALSE)</f>
        <v>Naija Mart Ikeja</v>
      </c>
      <c r="J333" s="1">
        <f t="shared" si="10"/>
        <v>185000</v>
      </c>
      <c r="K333" s="1" t="str">
        <f>VLOOKUP(D333,products!A:D,2,FALSE)</f>
        <v>Electronics</v>
      </c>
      <c r="L333" s="1" t="str">
        <f t="shared" si="11"/>
        <v>Feb-2025</v>
      </c>
    </row>
    <row r="334" spans="1:12" x14ac:dyDescent="0.25">
      <c r="A334" s="3" t="s">
        <v>535</v>
      </c>
      <c r="B334" s="6">
        <v>45772</v>
      </c>
      <c r="C334" s="3" t="s">
        <v>36</v>
      </c>
      <c r="D334" s="3" t="s">
        <v>20</v>
      </c>
      <c r="E334" s="3" t="s">
        <v>256</v>
      </c>
      <c r="F334" s="3">
        <v>1</v>
      </c>
      <c r="G334" s="3">
        <v>0</v>
      </c>
      <c r="H334" s="1">
        <f>VLOOKUP(D334,products!A:D,4,FALSE)</f>
        <v>38000</v>
      </c>
      <c r="I334" s="1" t="str">
        <f>VLOOKUP(C334,branches!A:B,2,FALSE)</f>
        <v>Naija Mart Sabon Gari</v>
      </c>
      <c r="J334" s="1">
        <f t="shared" si="10"/>
        <v>38000</v>
      </c>
      <c r="K334" s="1" t="str">
        <f>VLOOKUP(D334,products!A:D,2,FALSE)</f>
        <v>Electronics</v>
      </c>
      <c r="L334" s="1" t="str">
        <f t="shared" si="11"/>
        <v>Apr-2025</v>
      </c>
    </row>
    <row r="335" spans="1:12" x14ac:dyDescent="0.25">
      <c r="A335" s="3" t="s">
        <v>536</v>
      </c>
      <c r="B335" s="6">
        <v>45756</v>
      </c>
      <c r="C335" s="3" t="s">
        <v>16</v>
      </c>
      <c r="D335" s="3" t="s">
        <v>33</v>
      </c>
      <c r="E335" s="3" t="s">
        <v>537</v>
      </c>
      <c r="F335" s="3">
        <v>1</v>
      </c>
      <c r="G335" s="3">
        <v>0</v>
      </c>
      <c r="H335" s="1">
        <f>VLOOKUP(D335,products!A:D,4,FALSE)</f>
        <v>245000</v>
      </c>
      <c r="I335" s="1" t="str">
        <f>VLOOKUP(C335,branches!A:B,2,FALSE)</f>
        <v>Naija Mart Ikeja</v>
      </c>
      <c r="J335" s="1">
        <f t="shared" si="10"/>
        <v>245000</v>
      </c>
      <c r="K335" s="1" t="str">
        <f>VLOOKUP(D335,products!A:D,2,FALSE)</f>
        <v>Generators &amp; Power</v>
      </c>
      <c r="L335" s="1" t="str">
        <f t="shared" si="11"/>
        <v>Apr-2025</v>
      </c>
    </row>
    <row r="336" spans="1:12" x14ac:dyDescent="0.25">
      <c r="A336" s="3" t="s">
        <v>538</v>
      </c>
      <c r="B336" s="6">
        <v>45731</v>
      </c>
      <c r="C336" s="3" t="s">
        <v>36</v>
      </c>
      <c r="D336" s="3" t="s">
        <v>94</v>
      </c>
      <c r="E336" s="3" t="s">
        <v>191</v>
      </c>
      <c r="F336" s="3">
        <v>2</v>
      </c>
      <c r="G336" s="3">
        <v>0</v>
      </c>
      <c r="H336" s="1">
        <f>VLOOKUP(D336,products!A:D,4,FALSE)</f>
        <v>320000</v>
      </c>
      <c r="I336" s="1" t="str">
        <f>VLOOKUP(C336,branches!A:B,2,FALSE)</f>
        <v>Naija Mart Sabon Gari</v>
      </c>
      <c r="J336" s="1">
        <f t="shared" si="10"/>
        <v>640000</v>
      </c>
      <c r="K336" s="1" t="str">
        <f>VLOOKUP(D336,products!A:D,2,FALSE)</f>
        <v>Electronics</v>
      </c>
      <c r="L336" s="1" t="str">
        <f t="shared" si="11"/>
        <v>Mar-2025</v>
      </c>
    </row>
    <row r="337" spans="1:12" x14ac:dyDescent="0.25">
      <c r="A337" s="3" t="s">
        <v>539</v>
      </c>
      <c r="B337" s="6">
        <v>45933</v>
      </c>
      <c r="C337" s="3" t="s">
        <v>16</v>
      </c>
      <c r="D337" s="3" t="s">
        <v>46</v>
      </c>
      <c r="E337" s="3" t="s">
        <v>234</v>
      </c>
      <c r="F337" s="3">
        <v>2</v>
      </c>
      <c r="G337" s="3">
        <v>10</v>
      </c>
      <c r="H337" s="1">
        <f>VLOOKUP(D337,products!A:D,4,FALSE)</f>
        <v>62000</v>
      </c>
      <c r="I337" s="1" t="str">
        <f>VLOOKUP(C337,branches!A:B,2,FALSE)</f>
        <v>Naija Mart Ikeja</v>
      </c>
      <c r="J337" s="1">
        <f t="shared" si="10"/>
        <v>111600</v>
      </c>
      <c r="K337" s="1" t="str">
        <f>VLOOKUP(D337,products!A:D,2,FALSE)</f>
        <v>Home Appliances</v>
      </c>
      <c r="L337" s="1" t="str">
        <f t="shared" si="11"/>
        <v>Oct-2025</v>
      </c>
    </row>
    <row r="338" spans="1:12" x14ac:dyDescent="0.25">
      <c r="A338" s="3" t="s">
        <v>540</v>
      </c>
      <c r="B338" s="6">
        <v>45844</v>
      </c>
      <c r="C338" s="3" t="s">
        <v>12</v>
      </c>
      <c r="D338" s="3" t="s">
        <v>9</v>
      </c>
      <c r="E338" s="3" t="s">
        <v>300</v>
      </c>
      <c r="F338" s="3">
        <v>1</v>
      </c>
      <c r="G338" s="3">
        <v>0</v>
      </c>
      <c r="H338" s="1">
        <f>VLOOKUP(D338,products!A:D,4,FALSE)</f>
        <v>410000</v>
      </c>
      <c r="I338" s="1" t="str">
        <f>VLOOKUP(C338,branches!A:B,2,FALSE)</f>
        <v>Naija Mart Wuse</v>
      </c>
      <c r="J338" s="1">
        <f t="shared" si="10"/>
        <v>410000</v>
      </c>
      <c r="K338" s="1" t="str">
        <f>VLOOKUP(D338,products!A:D,2,FALSE)</f>
        <v>Home Appliances</v>
      </c>
      <c r="L338" s="1" t="str">
        <f t="shared" si="11"/>
        <v>Jul-2025</v>
      </c>
    </row>
    <row r="339" spans="1:12" x14ac:dyDescent="0.25">
      <c r="A339" s="3" t="s">
        <v>541</v>
      </c>
      <c r="B339" s="6">
        <v>45942</v>
      </c>
      <c r="C339" s="3" t="s">
        <v>36</v>
      </c>
      <c r="D339" s="3" t="s">
        <v>149</v>
      </c>
      <c r="E339" s="3" t="s">
        <v>189</v>
      </c>
      <c r="F339" s="3">
        <v>2</v>
      </c>
      <c r="G339" s="3">
        <v>5</v>
      </c>
      <c r="H339" s="1">
        <f>VLOOKUP(D339,products!A:D,4,FALSE)</f>
        <v>6500</v>
      </c>
      <c r="I339" s="1" t="str">
        <f>VLOOKUP(C339,branches!A:B,2,FALSE)</f>
        <v>Naija Mart Sabon Gari</v>
      </c>
      <c r="J339" s="1">
        <f t="shared" si="10"/>
        <v>12350</v>
      </c>
      <c r="K339" s="1" t="str">
        <f>VLOOKUP(D339,products!A:D,2,FALSE)</f>
        <v>Small Gadgets</v>
      </c>
      <c r="L339" s="1" t="str">
        <f t="shared" si="11"/>
        <v>Oct-2025</v>
      </c>
    </row>
    <row r="340" spans="1:12" x14ac:dyDescent="0.25">
      <c r="A340" s="3" t="s">
        <v>542</v>
      </c>
      <c r="B340" s="6">
        <v>45703</v>
      </c>
      <c r="C340" s="3" t="s">
        <v>16</v>
      </c>
      <c r="D340" s="3" t="s">
        <v>26</v>
      </c>
      <c r="E340" s="3" t="s">
        <v>514</v>
      </c>
      <c r="F340" s="3">
        <v>1</v>
      </c>
      <c r="G340" s="3">
        <v>0</v>
      </c>
      <c r="H340" s="1">
        <f>VLOOKUP(D340,products!A:D,4,FALSE)</f>
        <v>145000</v>
      </c>
      <c r="I340" s="1" t="str">
        <f>VLOOKUP(C340,branches!A:B,2,FALSE)</f>
        <v>Naija Mart Ikeja</v>
      </c>
      <c r="J340" s="1">
        <f t="shared" si="10"/>
        <v>145000</v>
      </c>
      <c r="K340" s="1" t="str">
        <f>VLOOKUP(D340,products!A:D,2,FALSE)</f>
        <v>Electronics</v>
      </c>
      <c r="L340" s="1" t="str">
        <f t="shared" si="11"/>
        <v>Feb-2025</v>
      </c>
    </row>
    <row r="341" spans="1:12" x14ac:dyDescent="0.25">
      <c r="A341" s="3" t="s">
        <v>543</v>
      </c>
      <c r="B341" s="6">
        <v>45932</v>
      </c>
      <c r="C341" s="3" t="s">
        <v>16</v>
      </c>
      <c r="D341" s="3" t="s">
        <v>49</v>
      </c>
      <c r="E341" s="3" t="s">
        <v>423</v>
      </c>
      <c r="F341" s="3">
        <v>1</v>
      </c>
      <c r="G341" s="3">
        <v>0</v>
      </c>
      <c r="H341" s="1">
        <f>VLOOKUP(D341,products!A:D,4,FALSE)</f>
        <v>28000</v>
      </c>
      <c r="I341" s="1" t="str">
        <f>VLOOKUP(C341,branches!A:B,2,FALSE)</f>
        <v>Naija Mart Ikeja</v>
      </c>
      <c r="J341" s="1">
        <f t="shared" si="10"/>
        <v>28000</v>
      </c>
      <c r="K341" s="1" t="str">
        <f>VLOOKUP(D341,products!A:D,2,FALSE)</f>
        <v>Home Appliances</v>
      </c>
      <c r="L341" s="1" t="str">
        <f t="shared" si="11"/>
        <v>Oct-2025</v>
      </c>
    </row>
    <row r="342" spans="1:12" x14ac:dyDescent="0.25">
      <c r="A342" s="3" t="s">
        <v>544</v>
      </c>
      <c r="B342" s="6">
        <v>45728</v>
      </c>
      <c r="C342" s="3" t="s">
        <v>16</v>
      </c>
      <c r="D342" s="3" t="s">
        <v>17</v>
      </c>
      <c r="E342" s="3" t="s">
        <v>72</v>
      </c>
      <c r="F342" s="3">
        <v>1</v>
      </c>
      <c r="G342" s="3">
        <v>10</v>
      </c>
      <c r="H342" s="1">
        <f>VLOOKUP(D342,products!A:D,4,FALSE)</f>
        <v>22000</v>
      </c>
      <c r="I342" s="1" t="str">
        <f>VLOOKUP(C342,branches!A:B,2,FALSE)</f>
        <v>Naija Mart Ikeja</v>
      </c>
      <c r="J342" s="1">
        <f t="shared" si="10"/>
        <v>19800</v>
      </c>
      <c r="K342" s="1" t="str">
        <f>VLOOKUP(D342,products!A:D,2,FALSE)</f>
        <v>Home Appliances</v>
      </c>
      <c r="L342" s="1" t="str">
        <f t="shared" si="11"/>
        <v>Mar-2025</v>
      </c>
    </row>
    <row r="343" spans="1:12" x14ac:dyDescent="0.25">
      <c r="A343" s="3" t="s">
        <v>545</v>
      </c>
      <c r="B343" s="6">
        <v>45917</v>
      </c>
      <c r="C343" s="3" t="s">
        <v>16</v>
      </c>
      <c r="D343" s="3" t="s">
        <v>64</v>
      </c>
      <c r="E343" s="3" t="s">
        <v>163</v>
      </c>
      <c r="F343" s="3">
        <v>1</v>
      </c>
      <c r="G343" s="3">
        <v>0</v>
      </c>
      <c r="H343" s="1">
        <f>VLOOKUP(D343,products!A:D,4,FALSE)</f>
        <v>175000</v>
      </c>
      <c r="I343" s="1" t="str">
        <f>VLOOKUP(C343,branches!A:B,2,FALSE)</f>
        <v>Naija Mart Ikeja</v>
      </c>
      <c r="J343" s="1">
        <f t="shared" si="10"/>
        <v>175000</v>
      </c>
      <c r="K343" s="1" t="str">
        <f>VLOOKUP(D343,products!A:D,2,FALSE)</f>
        <v>Generators &amp; Power</v>
      </c>
      <c r="L343" s="1" t="str">
        <f t="shared" si="11"/>
        <v>Sep-2025</v>
      </c>
    </row>
    <row r="344" spans="1:12" x14ac:dyDescent="0.25">
      <c r="A344" s="3" t="s">
        <v>546</v>
      </c>
      <c r="B344" s="6">
        <v>45740</v>
      </c>
      <c r="C344" s="3" t="s">
        <v>16</v>
      </c>
      <c r="D344" s="3" t="s">
        <v>126</v>
      </c>
      <c r="E344" s="3" t="s">
        <v>547</v>
      </c>
      <c r="F344" s="3">
        <v>2</v>
      </c>
      <c r="G344" s="3">
        <v>5</v>
      </c>
      <c r="H344" s="1">
        <f>VLOOKUP(D344,products!A:D,4,FALSE)</f>
        <v>185000</v>
      </c>
      <c r="I344" s="1" t="str">
        <f>VLOOKUP(C344,branches!A:B,2,FALSE)</f>
        <v>Naija Mart Ikeja</v>
      </c>
      <c r="J344" s="1">
        <f t="shared" si="10"/>
        <v>351500</v>
      </c>
      <c r="K344" s="1" t="str">
        <f>VLOOKUP(D344,products!A:D,2,FALSE)</f>
        <v>Electronics</v>
      </c>
      <c r="L344" s="1" t="str">
        <f t="shared" si="11"/>
        <v>Mar-2025</v>
      </c>
    </row>
    <row r="345" spans="1:12" x14ac:dyDescent="0.25">
      <c r="A345" s="3" t="s">
        <v>548</v>
      </c>
      <c r="B345" s="6">
        <v>45782</v>
      </c>
      <c r="C345" s="3" t="s">
        <v>16</v>
      </c>
      <c r="D345" s="3" t="s">
        <v>258</v>
      </c>
      <c r="E345" s="3" t="s">
        <v>219</v>
      </c>
      <c r="F345" s="3">
        <v>1</v>
      </c>
      <c r="G345" s="3">
        <v>20</v>
      </c>
      <c r="H345" s="1">
        <f>VLOOKUP(D345,products!A:D,4,FALSE)</f>
        <v>95000</v>
      </c>
      <c r="I345" s="1" t="str">
        <f>VLOOKUP(C345,branches!A:B,2,FALSE)</f>
        <v>Naija Mart Ikeja</v>
      </c>
      <c r="J345" s="1">
        <f t="shared" si="10"/>
        <v>76000</v>
      </c>
      <c r="K345" s="1" t="str">
        <f>VLOOKUP(D345,products!A:D,2,FALSE)</f>
        <v>Electronics</v>
      </c>
      <c r="L345" s="1" t="str">
        <f t="shared" si="11"/>
        <v>May-2025</v>
      </c>
    </row>
    <row r="346" spans="1:12" x14ac:dyDescent="0.25">
      <c r="A346" s="3" t="s">
        <v>549</v>
      </c>
      <c r="B346" s="6">
        <v>45971</v>
      </c>
      <c r="C346" s="3" t="s">
        <v>12</v>
      </c>
      <c r="D346" s="3" t="s">
        <v>91</v>
      </c>
      <c r="E346" s="3" t="s">
        <v>387</v>
      </c>
      <c r="F346" s="3">
        <v>1</v>
      </c>
      <c r="G346" s="3">
        <v>15</v>
      </c>
      <c r="H346" s="1">
        <f>VLOOKUP(D346,products!A:D,4,FALSE)</f>
        <v>5200</v>
      </c>
      <c r="I346" s="1" t="str">
        <f>VLOOKUP(C346,branches!A:B,2,FALSE)</f>
        <v>Naija Mart Wuse</v>
      </c>
      <c r="J346" s="1">
        <f t="shared" si="10"/>
        <v>4420</v>
      </c>
      <c r="K346" s="1" t="str">
        <f>VLOOKUP(D346,products!A:D,2,FALSE)</f>
        <v>Small Gadgets</v>
      </c>
      <c r="L346" s="1" t="str">
        <f t="shared" si="11"/>
        <v>Nov-2025</v>
      </c>
    </row>
    <row r="347" spans="1:12" x14ac:dyDescent="0.25">
      <c r="A347" s="3" t="s">
        <v>550</v>
      </c>
      <c r="B347" s="6">
        <v>45742</v>
      </c>
      <c r="C347" s="3" t="s">
        <v>16</v>
      </c>
      <c r="D347" s="3" t="s">
        <v>51</v>
      </c>
      <c r="E347" s="3" t="s">
        <v>551</v>
      </c>
      <c r="F347" s="3">
        <v>1</v>
      </c>
      <c r="G347" s="3">
        <v>20</v>
      </c>
      <c r="H347" s="1">
        <f>VLOOKUP(D347,products!A:D,4,FALSE)</f>
        <v>18000</v>
      </c>
      <c r="I347" s="1" t="str">
        <f>VLOOKUP(C347,branches!A:B,2,FALSE)</f>
        <v>Naija Mart Ikeja</v>
      </c>
      <c r="J347" s="1">
        <f t="shared" si="10"/>
        <v>14400</v>
      </c>
      <c r="K347" s="1" t="str">
        <f>VLOOKUP(D347,products!A:D,2,FALSE)</f>
        <v>Small Gadgets</v>
      </c>
      <c r="L347" s="1" t="str">
        <f t="shared" si="11"/>
        <v>Mar-2025</v>
      </c>
    </row>
    <row r="348" spans="1:12" x14ac:dyDescent="0.25">
      <c r="A348" s="3" t="s">
        <v>552</v>
      </c>
      <c r="B348" s="6">
        <v>46019</v>
      </c>
      <c r="C348" s="3" t="s">
        <v>16</v>
      </c>
      <c r="D348" s="3" t="s">
        <v>26</v>
      </c>
      <c r="E348" s="3" t="s">
        <v>120</v>
      </c>
      <c r="F348" s="3">
        <v>1</v>
      </c>
      <c r="G348" s="3">
        <v>10</v>
      </c>
      <c r="H348" s="1">
        <f>VLOOKUP(D348,products!A:D,4,FALSE)</f>
        <v>145000</v>
      </c>
      <c r="I348" s="1" t="str">
        <f>VLOOKUP(C348,branches!A:B,2,FALSE)</f>
        <v>Naija Mart Ikeja</v>
      </c>
      <c r="J348" s="1">
        <f t="shared" si="10"/>
        <v>130500</v>
      </c>
      <c r="K348" s="1" t="str">
        <f>VLOOKUP(D348,products!A:D,2,FALSE)</f>
        <v>Electronics</v>
      </c>
      <c r="L348" s="1" t="str">
        <f t="shared" si="11"/>
        <v>Dec-2025</v>
      </c>
    </row>
    <row r="349" spans="1:12" x14ac:dyDescent="0.25">
      <c r="A349" s="3" t="s">
        <v>553</v>
      </c>
      <c r="B349" s="6">
        <v>45751</v>
      </c>
      <c r="C349" s="3" t="s">
        <v>12</v>
      </c>
      <c r="D349" s="3" t="s">
        <v>26</v>
      </c>
      <c r="E349" s="3" t="s">
        <v>65</v>
      </c>
      <c r="F349" s="3">
        <v>1</v>
      </c>
      <c r="G349" s="3">
        <v>0</v>
      </c>
      <c r="H349" s="1">
        <f>VLOOKUP(D349,products!A:D,4,FALSE)</f>
        <v>145000</v>
      </c>
      <c r="I349" s="1" t="str">
        <f>VLOOKUP(C349,branches!A:B,2,FALSE)</f>
        <v>Naija Mart Wuse</v>
      </c>
      <c r="J349" s="1">
        <f t="shared" si="10"/>
        <v>145000</v>
      </c>
      <c r="K349" s="1" t="str">
        <f>VLOOKUP(D349,products!A:D,2,FALSE)</f>
        <v>Electronics</v>
      </c>
      <c r="L349" s="1" t="str">
        <f t="shared" si="11"/>
        <v>Apr-2025</v>
      </c>
    </row>
    <row r="350" spans="1:12" x14ac:dyDescent="0.25">
      <c r="A350" s="3" t="s">
        <v>554</v>
      </c>
      <c r="B350" s="6">
        <v>45956</v>
      </c>
      <c r="C350" s="3" t="s">
        <v>16</v>
      </c>
      <c r="D350" s="3" t="s">
        <v>64</v>
      </c>
      <c r="E350" s="3" t="s">
        <v>250</v>
      </c>
      <c r="F350" s="3">
        <v>2</v>
      </c>
      <c r="G350" s="3">
        <v>0</v>
      </c>
      <c r="H350" s="1">
        <f>VLOOKUP(D350,products!A:D,4,FALSE)</f>
        <v>175000</v>
      </c>
      <c r="I350" s="1" t="str">
        <f>VLOOKUP(C350,branches!A:B,2,FALSE)</f>
        <v>Naija Mart Ikeja</v>
      </c>
      <c r="J350" s="1">
        <f t="shared" si="10"/>
        <v>350000</v>
      </c>
      <c r="K350" s="1" t="str">
        <f>VLOOKUP(D350,products!A:D,2,FALSE)</f>
        <v>Generators &amp; Power</v>
      </c>
      <c r="L350" s="1" t="str">
        <f t="shared" si="11"/>
        <v>Oct-2025</v>
      </c>
    </row>
    <row r="351" spans="1:12" x14ac:dyDescent="0.25">
      <c r="A351" s="3" t="s">
        <v>555</v>
      </c>
      <c r="B351" s="6">
        <v>45674</v>
      </c>
      <c r="C351" s="3" t="s">
        <v>16</v>
      </c>
      <c r="D351" s="3" t="s">
        <v>51</v>
      </c>
      <c r="E351" s="3" t="s">
        <v>245</v>
      </c>
      <c r="F351" s="3">
        <v>1</v>
      </c>
      <c r="G351" s="3">
        <v>0</v>
      </c>
      <c r="H351" s="1">
        <f>VLOOKUP(D351,products!A:D,4,FALSE)</f>
        <v>18000</v>
      </c>
      <c r="I351" s="1" t="str">
        <f>VLOOKUP(C351,branches!A:B,2,FALSE)</f>
        <v>Naija Mart Ikeja</v>
      </c>
      <c r="J351" s="1">
        <f t="shared" si="10"/>
        <v>18000</v>
      </c>
      <c r="K351" s="1" t="str">
        <f>VLOOKUP(D351,products!A:D,2,FALSE)</f>
        <v>Small Gadgets</v>
      </c>
      <c r="L351" s="1" t="str">
        <f t="shared" si="11"/>
        <v>Jan-2025</v>
      </c>
    </row>
    <row r="352" spans="1:12" x14ac:dyDescent="0.25">
      <c r="A352" s="3" t="s">
        <v>556</v>
      </c>
      <c r="B352" s="6">
        <v>45902</v>
      </c>
      <c r="C352" s="3" t="s">
        <v>8</v>
      </c>
      <c r="D352" s="3" t="s">
        <v>80</v>
      </c>
      <c r="E352" s="3" t="s">
        <v>557</v>
      </c>
      <c r="F352" s="3">
        <v>1</v>
      </c>
      <c r="G352" s="3">
        <v>5</v>
      </c>
      <c r="H352" s="1">
        <f>VLOOKUP(D352,products!A:D,4,FALSE)</f>
        <v>265000</v>
      </c>
      <c r="I352" s="1" t="str">
        <f>VLOOKUP(C352,branches!A:B,2,FALSE)</f>
        <v>Naija Mart GRA</v>
      </c>
      <c r="J352" s="1">
        <f t="shared" si="10"/>
        <v>251750</v>
      </c>
      <c r="K352" s="1" t="str">
        <f>VLOOKUP(D352,products!A:D,2,FALSE)</f>
        <v>Home Appliances</v>
      </c>
      <c r="L352" s="1" t="str">
        <f t="shared" si="11"/>
        <v>Sep-2025</v>
      </c>
    </row>
    <row r="353" spans="1:12" x14ac:dyDescent="0.25">
      <c r="A353" s="3" t="s">
        <v>558</v>
      </c>
      <c r="B353" s="6">
        <v>45987</v>
      </c>
      <c r="C353" s="3" t="s">
        <v>12</v>
      </c>
      <c r="D353" s="3" t="s">
        <v>46</v>
      </c>
      <c r="E353" s="3" t="s">
        <v>430</v>
      </c>
      <c r="F353" s="3">
        <v>1</v>
      </c>
      <c r="G353" s="3">
        <v>10</v>
      </c>
      <c r="H353" s="1">
        <f>VLOOKUP(D353,products!A:D,4,FALSE)</f>
        <v>62000</v>
      </c>
      <c r="I353" s="1" t="str">
        <f>VLOOKUP(C353,branches!A:B,2,FALSE)</f>
        <v>Naija Mart Wuse</v>
      </c>
      <c r="J353" s="1">
        <f t="shared" si="10"/>
        <v>55800</v>
      </c>
      <c r="K353" s="1" t="str">
        <f>VLOOKUP(D353,products!A:D,2,FALSE)</f>
        <v>Home Appliances</v>
      </c>
      <c r="L353" s="1" t="str">
        <f t="shared" si="11"/>
        <v>Nov-2025</v>
      </c>
    </row>
    <row r="354" spans="1:12" x14ac:dyDescent="0.25">
      <c r="A354" s="3" t="s">
        <v>559</v>
      </c>
      <c r="B354" s="6">
        <v>45891</v>
      </c>
      <c r="C354" s="3" t="s">
        <v>16</v>
      </c>
      <c r="D354" s="3" t="s">
        <v>43</v>
      </c>
      <c r="E354" s="3" t="s">
        <v>426</v>
      </c>
      <c r="F354" s="3">
        <v>1</v>
      </c>
      <c r="G354" s="3">
        <v>0</v>
      </c>
      <c r="H354" s="1">
        <f>VLOOKUP(D354,products!A:D,4,FALSE)</f>
        <v>74000</v>
      </c>
      <c r="I354" s="1" t="str">
        <f>VLOOKUP(C354,branches!A:B,2,FALSE)</f>
        <v>Naija Mart Ikeja</v>
      </c>
      <c r="J354" s="1">
        <f t="shared" si="10"/>
        <v>74000</v>
      </c>
      <c r="K354" s="1" t="str">
        <f>VLOOKUP(D354,products!A:D,2,FALSE)</f>
        <v>Home Appliances</v>
      </c>
      <c r="L354" s="1" t="str">
        <f t="shared" si="11"/>
        <v>Aug-2025</v>
      </c>
    </row>
    <row r="355" spans="1:12" x14ac:dyDescent="0.25">
      <c r="A355" s="3" t="s">
        <v>560</v>
      </c>
      <c r="B355" s="6">
        <v>45891</v>
      </c>
      <c r="C355" s="3" t="s">
        <v>12</v>
      </c>
      <c r="D355" s="3" t="s">
        <v>49</v>
      </c>
      <c r="E355" s="3" t="s">
        <v>454</v>
      </c>
      <c r="F355" s="3">
        <v>1</v>
      </c>
      <c r="G355" s="3">
        <v>0</v>
      </c>
      <c r="H355" s="1">
        <f>VLOOKUP(D355,products!A:D,4,FALSE)</f>
        <v>28000</v>
      </c>
      <c r="I355" s="1" t="str">
        <f>VLOOKUP(C355,branches!A:B,2,FALSE)</f>
        <v>Naija Mart Wuse</v>
      </c>
      <c r="J355" s="1">
        <f t="shared" si="10"/>
        <v>28000</v>
      </c>
      <c r="K355" s="1" t="str">
        <f>VLOOKUP(D355,products!A:D,2,FALSE)</f>
        <v>Home Appliances</v>
      </c>
      <c r="L355" s="1" t="str">
        <f t="shared" si="11"/>
        <v>Aug-2025</v>
      </c>
    </row>
    <row r="356" spans="1:12" x14ac:dyDescent="0.25">
      <c r="A356" s="3" t="s">
        <v>561</v>
      </c>
      <c r="B356" s="6">
        <v>45753</v>
      </c>
      <c r="C356" s="3" t="s">
        <v>16</v>
      </c>
      <c r="D356" s="3" t="s">
        <v>20</v>
      </c>
      <c r="E356" s="3" t="s">
        <v>134</v>
      </c>
      <c r="F356" s="3">
        <v>1</v>
      </c>
      <c r="G356" s="3">
        <v>10</v>
      </c>
      <c r="H356" s="1">
        <f>VLOOKUP(D356,products!A:D,4,FALSE)</f>
        <v>38000</v>
      </c>
      <c r="I356" s="1" t="str">
        <f>VLOOKUP(C356,branches!A:B,2,FALSE)</f>
        <v>Naija Mart Ikeja</v>
      </c>
      <c r="J356" s="1">
        <f t="shared" si="10"/>
        <v>34200</v>
      </c>
      <c r="K356" s="1" t="str">
        <f>VLOOKUP(D356,products!A:D,2,FALSE)</f>
        <v>Electronics</v>
      </c>
      <c r="L356" s="1" t="str">
        <f t="shared" si="11"/>
        <v>Apr-2025</v>
      </c>
    </row>
    <row r="357" spans="1:12" x14ac:dyDescent="0.25">
      <c r="A357" s="3" t="s">
        <v>562</v>
      </c>
      <c r="B357" s="6">
        <v>45707</v>
      </c>
      <c r="C357" s="3" t="s">
        <v>16</v>
      </c>
      <c r="D357" s="3" t="s">
        <v>197</v>
      </c>
      <c r="E357" s="3" t="s">
        <v>47</v>
      </c>
      <c r="F357" s="3">
        <v>1</v>
      </c>
      <c r="G357" s="3">
        <v>0</v>
      </c>
      <c r="H357" s="1">
        <f>VLOOKUP(D357,products!A:D,4,FALSE)</f>
        <v>78000</v>
      </c>
      <c r="I357" s="1" t="str">
        <f>VLOOKUP(C357,branches!A:B,2,FALSE)</f>
        <v>Naija Mart Ikeja</v>
      </c>
      <c r="J357" s="1">
        <f t="shared" si="10"/>
        <v>78000</v>
      </c>
      <c r="K357" s="1" t="str">
        <f>VLOOKUP(D357,products!A:D,2,FALSE)</f>
        <v>Electronics</v>
      </c>
      <c r="L357" s="1" t="str">
        <f t="shared" si="11"/>
        <v>Feb-2025</v>
      </c>
    </row>
    <row r="358" spans="1:12" x14ac:dyDescent="0.25">
      <c r="A358" s="3" t="s">
        <v>563</v>
      </c>
      <c r="B358" s="6">
        <v>46008</v>
      </c>
      <c r="C358" s="3" t="s">
        <v>16</v>
      </c>
      <c r="D358" s="3" t="s">
        <v>51</v>
      </c>
      <c r="E358" s="3" t="s">
        <v>89</v>
      </c>
      <c r="F358" s="3">
        <v>1</v>
      </c>
      <c r="G358" s="3">
        <v>0</v>
      </c>
      <c r="H358" s="1">
        <f>VLOOKUP(D358,products!A:D,4,FALSE)</f>
        <v>18000</v>
      </c>
      <c r="I358" s="1" t="str">
        <f>VLOOKUP(C358,branches!A:B,2,FALSE)</f>
        <v>Naija Mart Ikeja</v>
      </c>
      <c r="J358" s="1">
        <f t="shared" si="10"/>
        <v>18000</v>
      </c>
      <c r="K358" s="1" t="str">
        <f>VLOOKUP(D358,products!A:D,2,FALSE)</f>
        <v>Small Gadgets</v>
      </c>
      <c r="L358" s="1" t="str">
        <f t="shared" si="11"/>
        <v>Dec-2025</v>
      </c>
    </row>
    <row r="359" spans="1:12" x14ac:dyDescent="0.25">
      <c r="A359" s="3" t="s">
        <v>564</v>
      </c>
      <c r="B359" s="6">
        <v>45844</v>
      </c>
      <c r="C359" s="3" t="s">
        <v>16</v>
      </c>
      <c r="D359" s="3" t="s">
        <v>59</v>
      </c>
      <c r="E359" s="3" t="s">
        <v>263</v>
      </c>
      <c r="F359" s="3">
        <v>1</v>
      </c>
      <c r="G359" s="3">
        <v>0</v>
      </c>
      <c r="H359" s="1">
        <f>VLOOKUP(D359,products!A:D,4,FALSE)</f>
        <v>15000</v>
      </c>
      <c r="I359" s="1" t="str">
        <f>VLOOKUP(C359,branches!A:B,2,FALSE)</f>
        <v>Naija Mart Ikeja</v>
      </c>
      <c r="J359" s="1">
        <f t="shared" si="10"/>
        <v>15000</v>
      </c>
      <c r="K359" s="1" t="str">
        <f>VLOOKUP(D359,products!A:D,2,FALSE)</f>
        <v>Home Appliances</v>
      </c>
      <c r="L359" s="1" t="str">
        <f t="shared" si="11"/>
        <v>Jul-2025</v>
      </c>
    </row>
    <row r="360" spans="1:12" x14ac:dyDescent="0.25">
      <c r="A360" s="3" t="s">
        <v>565</v>
      </c>
      <c r="B360" s="6">
        <v>45883</v>
      </c>
      <c r="C360" s="3" t="s">
        <v>8</v>
      </c>
      <c r="D360" s="3" t="s">
        <v>37</v>
      </c>
      <c r="E360" s="3" t="s">
        <v>566</v>
      </c>
      <c r="F360" s="3">
        <v>1</v>
      </c>
      <c r="G360" s="3">
        <v>0</v>
      </c>
      <c r="H360" s="1">
        <f>VLOOKUP(D360,products!A:D,4,FALSE)</f>
        <v>8500</v>
      </c>
      <c r="I360" s="1" t="str">
        <f>VLOOKUP(C360,branches!A:B,2,FALSE)</f>
        <v>Naija Mart GRA</v>
      </c>
      <c r="J360" s="1">
        <f t="shared" si="10"/>
        <v>8500</v>
      </c>
      <c r="K360" s="1" t="str">
        <f>VLOOKUP(D360,products!A:D,2,FALSE)</f>
        <v>Small Gadgets</v>
      </c>
      <c r="L360" s="1" t="str">
        <f t="shared" si="11"/>
        <v>Aug-2025</v>
      </c>
    </row>
    <row r="361" spans="1:12" x14ac:dyDescent="0.25">
      <c r="A361" s="3" t="s">
        <v>567</v>
      </c>
      <c r="B361" s="6">
        <v>46004</v>
      </c>
      <c r="C361" s="3" t="s">
        <v>8</v>
      </c>
      <c r="D361" s="3" t="s">
        <v>64</v>
      </c>
      <c r="E361" s="3" t="s">
        <v>568</v>
      </c>
      <c r="F361" s="3">
        <v>2</v>
      </c>
      <c r="G361" s="3">
        <v>20</v>
      </c>
      <c r="H361" s="1">
        <f>VLOOKUP(D361,products!A:D,4,FALSE)</f>
        <v>175000</v>
      </c>
      <c r="I361" s="1" t="str">
        <f>VLOOKUP(C361,branches!A:B,2,FALSE)</f>
        <v>Naija Mart GRA</v>
      </c>
      <c r="J361" s="1">
        <f t="shared" si="10"/>
        <v>280000</v>
      </c>
      <c r="K361" s="1" t="str">
        <f>VLOOKUP(D361,products!A:D,2,FALSE)</f>
        <v>Generators &amp; Power</v>
      </c>
      <c r="L361" s="1" t="str">
        <f t="shared" si="11"/>
        <v>Dec-2025</v>
      </c>
    </row>
    <row r="362" spans="1:12" x14ac:dyDescent="0.25">
      <c r="A362" s="3" t="s">
        <v>569</v>
      </c>
      <c r="B362" s="6">
        <v>45727</v>
      </c>
      <c r="C362" s="3" t="s">
        <v>36</v>
      </c>
      <c r="D362" s="3" t="s">
        <v>69</v>
      </c>
      <c r="E362" s="3" t="s">
        <v>44</v>
      </c>
      <c r="F362" s="3">
        <v>1</v>
      </c>
      <c r="G362" s="3">
        <v>30</v>
      </c>
      <c r="H362" s="1">
        <f>VLOOKUP(D362,products!A:D,4,FALSE)</f>
        <v>45000</v>
      </c>
      <c r="I362" s="1" t="str">
        <f>VLOOKUP(C362,branches!A:B,2,FALSE)</f>
        <v>Naija Mart Sabon Gari</v>
      </c>
      <c r="J362" s="1">
        <f t="shared" si="10"/>
        <v>31499.999999999996</v>
      </c>
      <c r="K362" s="1" t="str">
        <f>VLOOKUP(D362,products!A:D,2,FALSE)</f>
        <v>Electronics</v>
      </c>
      <c r="L362" s="1" t="str">
        <f t="shared" si="11"/>
        <v>Mar-2025</v>
      </c>
    </row>
    <row r="363" spans="1:12" x14ac:dyDescent="0.25">
      <c r="A363" s="3" t="s">
        <v>570</v>
      </c>
      <c r="B363" s="6">
        <v>45918</v>
      </c>
      <c r="C363" s="3" t="s">
        <v>12</v>
      </c>
      <c r="D363" s="3" t="s">
        <v>13</v>
      </c>
      <c r="E363" s="3" t="s">
        <v>108</v>
      </c>
      <c r="F363" s="3">
        <v>1</v>
      </c>
      <c r="G363" s="3">
        <v>5</v>
      </c>
      <c r="H363" s="1">
        <f>VLOOKUP(D363,products!A:D,4,FALSE)</f>
        <v>24000</v>
      </c>
      <c r="I363" s="1" t="str">
        <f>VLOOKUP(C363,branches!A:B,2,FALSE)</f>
        <v>Naija Mart Wuse</v>
      </c>
      <c r="J363" s="1">
        <f t="shared" si="10"/>
        <v>22800</v>
      </c>
      <c r="K363" s="1" t="str">
        <f>VLOOKUP(D363,products!A:D,2,FALSE)</f>
        <v>Home Appliances</v>
      </c>
      <c r="L363" s="1" t="str">
        <f t="shared" si="11"/>
        <v>Sep-2025</v>
      </c>
    </row>
    <row r="364" spans="1:12" x14ac:dyDescent="0.25">
      <c r="A364" s="3" t="s">
        <v>571</v>
      </c>
      <c r="B364" s="6">
        <v>45894</v>
      </c>
      <c r="C364" s="3" t="s">
        <v>8</v>
      </c>
      <c r="D364" s="3" t="s">
        <v>197</v>
      </c>
      <c r="E364" s="3" t="s">
        <v>83</v>
      </c>
      <c r="F364" s="3">
        <v>1</v>
      </c>
      <c r="G364" s="3">
        <v>0</v>
      </c>
      <c r="H364" s="1">
        <f>VLOOKUP(D364,products!A:D,4,FALSE)</f>
        <v>78000</v>
      </c>
      <c r="I364" s="1" t="str">
        <f>VLOOKUP(C364,branches!A:B,2,FALSE)</f>
        <v>Naija Mart GRA</v>
      </c>
      <c r="J364" s="1">
        <f t="shared" si="10"/>
        <v>78000</v>
      </c>
      <c r="K364" s="1" t="str">
        <f>VLOOKUP(D364,products!A:D,2,FALSE)</f>
        <v>Electronics</v>
      </c>
      <c r="L364" s="1" t="str">
        <f t="shared" si="11"/>
        <v>Aug-2025</v>
      </c>
    </row>
    <row r="365" spans="1:12" x14ac:dyDescent="0.25">
      <c r="A365" s="3" t="s">
        <v>572</v>
      </c>
      <c r="B365" s="6">
        <v>45836</v>
      </c>
      <c r="C365" s="3" t="s">
        <v>16</v>
      </c>
      <c r="D365" s="3" t="s">
        <v>17</v>
      </c>
      <c r="E365" s="3" t="s">
        <v>217</v>
      </c>
      <c r="F365" s="3">
        <v>1</v>
      </c>
      <c r="G365" s="3">
        <v>0</v>
      </c>
      <c r="H365" s="1">
        <f>VLOOKUP(D365,products!A:D,4,FALSE)</f>
        <v>22000</v>
      </c>
      <c r="I365" s="1" t="str">
        <f>VLOOKUP(C365,branches!A:B,2,FALSE)</f>
        <v>Naija Mart Ikeja</v>
      </c>
      <c r="J365" s="1">
        <f t="shared" si="10"/>
        <v>22000</v>
      </c>
      <c r="K365" s="1" t="str">
        <f>VLOOKUP(D365,products!A:D,2,FALSE)</f>
        <v>Home Appliances</v>
      </c>
      <c r="L365" s="1" t="str">
        <f t="shared" si="11"/>
        <v>Jun-2025</v>
      </c>
    </row>
    <row r="366" spans="1:12" x14ac:dyDescent="0.25">
      <c r="A366" s="3" t="s">
        <v>573</v>
      </c>
      <c r="B366" s="6">
        <v>45695</v>
      </c>
      <c r="C366" s="3" t="s">
        <v>36</v>
      </c>
      <c r="D366" s="3" t="s">
        <v>64</v>
      </c>
      <c r="E366" s="3" t="s">
        <v>574</v>
      </c>
      <c r="F366" s="3">
        <v>1</v>
      </c>
      <c r="G366" s="3">
        <v>0</v>
      </c>
      <c r="H366" s="1">
        <f>VLOOKUP(D366,products!A:D,4,FALSE)</f>
        <v>175000</v>
      </c>
      <c r="I366" s="1" t="str">
        <f>VLOOKUP(C366,branches!A:B,2,FALSE)</f>
        <v>Naija Mart Sabon Gari</v>
      </c>
      <c r="J366" s="1">
        <f t="shared" si="10"/>
        <v>175000</v>
      </c>
      <c r="K366" s="1" t="str">
        <f>VLOOKUP(D366,products!A:D,2,FALSE)</f>
        <v>Generators &amp; Power</v>
      </c>
      <c r="L366" s="1" t="str">
        <f t="shared" si="11"/>
        <v>Feb-2025</v>
      </c>
    </row>
    <row r="367" spans="1:12" x14ac:dyDescent="0.25">
      <c r="A367" s="3" t="s">
        <v>575</v>
      </c>
      <c r="B367" s="6">
        <v>45913</v>
      </c>
      <c r="C367" s="3" t="s">
        <v>16</v>
      </c>
      <c r="D367" s="3" t="s">
        <v>37</v>
      </c>
      <c r="E367" s="3" t="s">
        <v>360</v>
      </c>
      <c r="F367" s="3">
        <v>1</v>
      </c>
      <c r="G367" s="3">
        <v>0</v>
      </c>
      <c r="H367" s="1">
        <f>VLOOKUP(D367,products!A:D,4,FALSE)</f>
        <v>8500</v>
      </c>
      <c r="I367" s="1" t="str">
        <f>VLOOKUP(C367,branches!A:B,2,FALSE)</f>
        <v>Naija Mart Ikeja</v>
      </c>
      <c r="J367" s="1">
        <f t="shared" si="10"/>
        <v>8500</v>
      </c>
      <c r="K367" s="1" t="str">
        <f>VLOOKUP(D367,products!A:D,2,FALSE)</f>
        <v>Small Gadgets</v>
      </c>
      <c r="L367" s="1" t="str">
        <f t="shared" si="11"/>
        <v>Sep-2025</v>
      </c>
    </row>
    <row r="368" spans="1:12" x14ac:dyDescent="0.25">
      <c r="A368" s="3" t="s">
        <v>576</v>
      </c>
      <c r="B368" s="6">
        <v>45928</v>
      </c>
      <c r="C368" s="3" t="s">
        <v>8</v>
      </c>
      <c r="D368" s="3" t="s">
        <v>9</v>
      </c>
      <c r="E368" s="3" t="s">
        <v>44</v>
      </c>
      <c r="F368" s="3">
        <v>2</v>
      </c>
      <c r="G368" s="3">
        <v>0</v>
      </c>
      <c r="H368" s="1">
        <f>VLOOKUP(D368,products!A:D,4,FALSE)</f>
        <v>410000</v>
      </c>
      <c r="I368" s="1" t="str">
        <f>VLOOKUP(C368,branches!A:B,2,FALSE)</f>
        <v>Naija Mart GRA</v>
      </c>
      <c r="J368" s="1">
        <f t="shared" si="10"/>
        <v>820000</v>
      </c>
      <c r="K368" s="1" t="str">
        <f>VLOOKUP(D368,products!A:D,2,FALSE)</f>
        <v>Home Appliances</v>
      </c>
      <c r="L368" s="1" t="str">
        <f t="shared" si="11"/>
        <v>Sep-2025</v>
      </c>
    </row>
    <row r="369" spans="1:12" x14ac:dyDescent="0.25">
      <c r="A369" s="3" t="s">
        <v>577</v>
      </c>
      <c r="B369" s="6">
        <v>45901</v>
      </c>
      <c r="C369" s="3" t="s">
        <v>16</v>
      </c>
      <c r="D369" s="3" t="s">
        <v>23</v>
      </c>
      <c r="E369" s="3" t="s">
        <v>322</v>
      </c>
      <c r="F369" s="3">
        <v>1</v>
      </c>
      <c r="G369" s="3">
        <v>15</v>
      </c>
      <c r="H369" s="1">
        <f>VLOOKUP(D369,products!A:D,4,FALSE)</f>
        <v>19500</v>
      </c>
      <c r="I369" s="1" t="str">
        <f>VLOOKUP(C369,branches!A:B,2,FALSE)</f>
        <v>Naija Mart Ikeja</v>
      </c>
      <c r="J369" s="1">
        <f t="shared" si="10"/>
        <v>16575</v>
      </c>
      <c r="K369" s="1" t="str">
        <f>VLOOKUP(D369,products!A:D,2,FALSE)</f>
        <v>Home Appliances</v>
      </c>
      <c r="L369" s="1" t="str">
        <f t="shared" si="11"/>
        <v>Sep-2025</v>
      </c>
    </row>
    <row r="370" spans="1:12" x14ac:dyDescent="0.25">
      <c r="A370" s="3" t="s">
        <v>578</v>
      </c>
      <c r="B370" s="6">
        <v>45670</v>
      </c>
      <c r="C370" s="3" t="s">
        <v>16</v>
      </c>
      <c r="D370" s="3" t="s">
        <v>64</v>
      </c>
      <c r="E370" s="3" t="s">
        <v>240</v>
      </c>
      <c r="F370" s="3">
        <v>1</v>
      </c>
      <c r="G370" s="3">
        <v>0</v>
      </c>
      <c r="H370" s="1">
        <f>VLOOKUP(D370,products!A:D,4,FALSE)</f>
        <v>175000</v>
      </c>
      <c r="I370" s="1" t="str">
        <f>VLOOKUP(C370,branches!A:B,2,FALSE)</f>
        <v>Naija Mart Ikeja</v>
      </c>
      <c r="J370" s="1">
        <f t="shared" si="10"/>
        <v>175000</v>
      </c>
      <c r="K370" s="1" t="str">
        <f>VLOOKUP(D370,products!A:D,2,FALSE)</f>
        <v>Generators &amp; Power</v>
      </c>
      <c r="L370" s="1" t="str">
        <f t="shared" si="11"/>
        <v>Jan-2025</v>
      </c>
    </row>
    <row r="371" spans="1:12" x14ac:dyDescent="0.25">
      <c r="A371" s="3" t="s">
        <v>579</v>
      </c>
      <c r="B371" s="6">
        <v>45767</v>
      </c>
      <c r="C371" s="3" t="s">
        <v>12</v>
      </c>
      <c r="D371" s="3" t="s">
        <v>149</v>
      </c>
      <c r="E371" s="3" t="s">
        <v>407</v>
      </c>
      <c r="F371" s="3">
        <v>1</v>
      </c>
      <c r="G371" s="3">
        <v>0</v>
      </c>
      <c r="H371" s="1">
        <f>VLOOKUP(D371,products!A:D,4,FALSE)</f>
        <v>6500</v>
      </c>
      <c r="I371" s="1" t="str">
        <f>VLOOKUP(C371,branches!A:B,2,FALSE)</f>
        <v>Naija Mart Wuse</v>
      </c>
      <c r="J371" s="1">
        <f t="shared" si="10"/>
        <v>6500</v>
      </c>
      <c r="K371" s="1" t="str">
        <f>VLOOKUP(D371,products!A:D,2,FALSE)</f>
        <v>Small Gadgets</v>
      </c>
      <c r="L371" s="1" t="str">
        <f t="shared" si="11"/>
        <v>Apr-2025</v>
      </c>
    </row>
    <row r="372" spans="1:12" x14ac:dyDescent="0.25">
      <c r="A372" s="3" t="s">
        <v>580</v>
      </c>
      <c r="B372" s="6">
        <v>45672</v>
      </c>
      <c r="C372" s="3" t="s">
        <v>16</v>
      </c>
      <c r="D372" s="3" t="s">
        <v>64</v>
      </c>
      <c r="E372" s="3" t="s">
        <v>387</v>
      </c>
      <c r="F372" s="3">
        <v>1</v>
      </c>
      <c r="G372" s="3">
        <v>5</v>
      </c>
      <c r="H372" s="1">
        <f>VLOOKUP(D372,products!A:D,4,FALSE)</f>
        <v>175000</v>
      </c>
      <c r="I372" s="1" t="str">
        <f>VLOOKUP(C372,branches!A:B,2,FALSE)</f>
        <v>Naija Mart Ikeja</v>
      </c>
      <c r="J372" s="1">
        <f t="shared" si="10"/>
        <v>166250</v>
      </c>
      <c r="K372" s="1" t="str">
        <f>VLOOKUP(D372,products!A:D,2,FALSE)</f>
        <v>Generators &amp; Power</v>
      </c>
      <c r="L372" s="1" t="str">
        <f t="shared" si="11"/>
        <v>Jan-2025</v>
      </c>
    </row>
    <row r="373" spans="1:12" x14ac:dyDescent="0.25">
      <c r="A373" s="3" t="s">
        <v>581</v>
      </c>
      <c r="B373" s="6">
        <v>45997</v>
      </c>
      <c r="C373" s="3" t="s">
        <v>16</v>
      </c>
      <c r="D373" s="3" t="s">
        <v>64</v>
      </c>
      <c r="E373" s="3" t="s">
        <v>213</v>
      </c>
      <c r="F373" s="3">
        <v>1</v>
      </c>
      <c r="G373" s="3">
        <v>0</v>
      </c>
      <c r="H373" s="1">
        <f>VLOOKUP(D373,products!A:D,4,FALSE)</f>
        <v>175000</v>
      </c>
      <c r="I373" s="1" t="str">
        <f>VLOOKUP(C373,branches!A:B,2,FALSE)</f>
        <v>Naija Mart Ikeja</v>
      </c>
      <c r="J373" s="1">
        <f t="shared" si="10"/>
        <v>175000</v>
      </c>
      <c r="K373" s="1" t="str">
        <f>VLOOKUP(D373,products!A:D,2,FALSE)</f>
        <v>Generators &amp; Power</v>
      </c>
      <c r="L373" s="1" t="str">
        <f t="shared" si="11"/>
        <v>Dec-2025</v>
      </c>
    </row>
    <row r="374" spans="1:12" x14ac:dyDescent="0.25">
      <c r="A374" s="3" t="s">
        <v>582</v>
      </c>
      <c r="B374" s="6">
        <v>45976</v>
      </c>
      <c r="C374" s="3" t="s">
        <v>12</v>
      </c>
      <c r="D374" s="3" t="s">
        <v>49</v>
      </c>
      <c r="E374" s="3" t="s">
        <v>169</v>
      </c>
      <c r="F374" s="3">
        <v>1</v>
      </c>
      <c r="G374" s="3">
        <v>15</v>
      </c>
      <c r="H374" s="1">
        <f>VLOOKUP(D374,products!A:D,4,FALSE)</f>
        <v>28000</v>
      </c>
      <c r="I374" s="1" t="str">
        <f>VLOOKUP(C374,branches!A:B,2,FALSE)</f>
        <v>Naija Mart Wuse</v>
      </c>
      <c r="J374" s="1">
        <f t="shared" si="10"/>
        <v>23800</v>
      </c>
      <c r="K374" s="1" t="str">
        <f>VLOOKUP(D374,products!A:D,2,FALSE)</f>
        <v>Home Appliances</v>
      </c>
      <c r="L374" s="1" t="str">
        <f t="shared" si="11"/>
        <v>Nov-2025</v>
      </c>
    </row>
    <row r="375" spans="1:12" x14ac:dyDescent="0.25">
      <c r="A375" s="3" t="s">
        <v>583</v>
      </c>
      <c r="B375" s="6">
        <v>45958</v>
      </c>
      <c r="C375" s="3" t="s">
        <v>16</v>
      </c>
      <c r="D375" s="3" t="s">
        <v>80</v>
      </c>
      <c r="E375" s="3" t="s">
        <v>182</v>
      </c>
      <c r="F375" s="3">
        <v>2</v>
      </c>
      <c r="G375" s="3">
        <v>0</v>
      </c>
      <c r="H375" s="1">
        <f>VLOOKUP(D375,products!A:D,4,FALSE)</f>
        <v>265000</v>
      </c>
      <c r="I375" s="1" t="str">
        <f>VLOOKUP(C375,branches!A:B,2,FALSE)</f>
        <v>Naija Mart Ikeja</v>
      </c>
      <c r="J375" s="1">
        <f t="shared" si="10"/>
        <v>530000</v>
      </c>
      <c r="K375" s="1" t="str">
        <f>VLOOKUP(D375,products!A:D,2,FALSE)</f>
        <v>Home Appliances</v>
      </c>
      <c r="L375" s="1" t="str">
        <f t="shared" si="11"/>
        <v>Oct-2025</v>
      </c>
    </row>
    <row r="376" spans="1:12" x14ac:dyDescent="0.25">
      <c r="A376" s="3" t="s">
        <v>584</v>
      </c>
      <c r="B376" s="6">
        <v>45685</v>
      </c>
      <c r="C376" s="3" t="s">
        <v>36</v>
      </c>
      <c r="D376" s="3" t="s">
        <v>64</v>
      </c>
      <c r="E376" s="3" t="s">
        <v>169</v>
      </c>
      <c r="F376" s="3">
        <v>1</v>
      </c>
      <c r="G376" s="3">
        <v>5</v>
      </c>
      <c r="H376" s="1">
        <f>VLOOKUP(D376,products!A:D,4,FALSE)</f>
        <v>175000</v>
      </c>
      <c r="I376" s="1" t="str">
        <f>VLOOKUP(C376,branches!A:B,2,FALSE)</f>
        <v>Naija Mart Sabon Gari</v>
      </c>
      <c r="J376" s="1">
        <f t="shared" si="10"/>
        <v>166250</v>
      </c>
      <c r="K376" s="1" t="str">
        <f>VLOOKUP(D376,products!A:D,2,FALSE)</f>
        <v>Generators &amp; Power</v>
      </c>
      <c r="L376" s="1" t="str">
        <f t="shared" si="11"/>
        <v>Jan-2025</v>
      </c>
    </row>
    <row r="377" spans="1:12" x14ac:dyDescent="0.25">
      <c r="A377" s="3" t="s">
        <v>585</v>
      </c>
      <c r="B377" s="6">
        <v>45758</v>
      </c>
      <c r="C377" s="3" t="s">
        <v>12</v>
      </c>
      <c r="D377" s="3" t="s">
        <v>126</v>
      </c>
      <c r="E377" s="3" t="s">
        <v>263</v>
      </c>
      <c r="F377" s="3">
        <v>1</v>
      </c>
      <c r="G377" s="3">
        <v>10</v>
      </c>
      <c r="H377" s="1">
        <f>VLOOKUP(D377,products!A:D,4,FALSE)</f>
        <v>185000</v>
      </c>
      <c r="I377" s="1" t="str">
        <f>VLOOKUP(C377,branches!A:B,2,FALSE)</f>
        <v>Naija Mart Wuse</v>
      </c>
      <c r="J377" s="1">
        <f t="shared" si="10"/>
        <v>166500</v>
      </c>
      <c r="K377" s="1" t="str">
        <f>VLOOKUP(D377,products!A:D,2,FALSE)</f>
        <v>Electronics</v>
      </c>
      <c r="L377" s="1" t="str">
        <f t="shared" si="11"/>
        <v>Apr-2025</v>
      </c>
    </row>
    <row r="378" spans="1:12" x14ac:dyDescent="0.25">
      <c r="A378" s="3" t="s">
        <v>586</v>
      </c>
      <c r="B378" s="6">
        <v>45799</v>
      </c>
      <c r="C378" s="3" t="s">
        <v>16</v>
      </c>
      <c r="D378" s="3" t="s">
        <v>49</v>
      </c>
      <c r="E378" s="3" t="s">
        <v>491</v>
      </c>
      <c r="F378" s="3">
        <v>2</v>
      </c>
      <c r="G378" s="3">
        <v>0</v>
      </c>
      <c r="H378" s="1">
        <f>VLOOKUP(D378,products!A:D,4,FALSE)</f>
        <v>28000</v>
      </c>
      <c r="I378" s="1" t="str">
        <f>VLOOKUP(C378,branches!A:B,2,FALSE)</f>
        <v>Naija Mart Ikeja</v>
      </c>
      <c r="J378" s="1">
        <f t="shared" si="10"/>
        <v>56000</v>
      </c>
      <c r="K378" s="1" t="str">
        <f>VLOOKUP(D378,products!A:D,2,FALSE)</f>
        <v>Home Appliances</v>
      </c>
      <c r="L378" s="1" t="str">
        <f t="shared" si="11"/>
        <v>May-2025</v>
      </c>
    </row>
    <row r="379" spans="1:12" x14ac:dyDescent="0.25">
      <c r="A379" s="3" t="s">
        <v>587</v>
      </c>
      <c r="B379" s="6">
        <v>45801</v>
      </c>
      <c r="C379" s="3" t="s">
        <v>16</v>
      </c>
      <c r="D379" s="3" t="s">
        <v>46</v>
      </c>
      <c r="E379" s="3" t="s">
        <v>528</v>
      </c>
      <c r="F379" s="3">
        <v>1</v>
      </c>
      <c r="G379" s="3">
        <v>15</v>
      </c>
      <c r="H379" s="1">
        <f>VLOOKUP(D379,products!A:D,4,FALSE)</f>
        <v>62000</v>
      </c>
      <c r="I379" s="1" t="str">
        <f>VLOOKUP(C379,branches!A:B,2,FALSE)</f>
        <v>Naija Mart Ikeja</v>
      </c>
      <c r="J379" s="1">
        <f t="shared" si="10"/>
        <v>52700</v>
      </c>
      <c r="K379" s="1" t="str">
        <f>VLOOKUP(D379,products!A:D,2,FALSE)</f>
        <v>Home Appliances</v>
      </c>
      <c r="L379" s="1" t="str">
        <f t="shared" si="11"/>
        <v>May-2025</v>
      </c>
    </row>
    <row r="380" spans="1:12" x14ac:dyDescent="0.25">
      <c r="A380" s="3" t="s">
        <v>588</v>
      </c>
      <c r="B380" s="6">
        <v>45992</v>
      </c>
      <c r="C380" s="3" t="s">
        <v>16</v>
      </c>
      <c r="D380" s="3" t="s">
        <v>126</v>
      </c>
      <c r="E380" s="3" t="s">
        <v>120</v>
      </c>
      <c r="F380" s="3">
        <v>1</v>
      </c>
      <c r="G380" s="3">
        <v>10</v>
      </c>
      <c r="H380" s="1">
        <f>VLOOKUP(D380,products!A:D,4,FALSE)</f>
        <v>185000</v>
      </c>
      <c r="I380" s="1" t="str">
        <f>VLOOKUP(C380,branches!A:B,2,FALSE)</f>
        <v>Naija Mart Ikeja</v>
      </c>
      <c r="J380" s="1">
        <f t="shared" si="10"/>
        <v>166500</v>
      </c>
      <c r="K380" s="1" t="str">
        <f>VLOOKUP(D380,products!A:D,2,FALSE)</f>
        <v>Electronics</v>
      </c>
      <c r="L380" s="1" t="str">
        <f t="shared" si="11"/>
        <v>Dec-2025</v>
      </c>
    </row>
    <row r="381" spans="1:12" x14ac:dyDescent="0.25">
      <c r="A381" s="3" t="s">
        <v>589</v>
      </c>
      <c r="B381" s="6">
        <v>45847</v>
      </c>
      <c r="C381" s="3" t="s">
        <v>36</v>
      </c>
      <c r="D381" s="3" t="s">
        <v>126</v>
      </c>
      <c r="E381" s="3" t="s">
        <v>261</v>
      </c>
      <c r="F381" s="3">
        <v>2</v>
      </c>
      <c r="G381" s="3">
        <v>15</v>
      </c>
      <c r="H381" s="1">
        <f>VLOOKUP(D381,products!A:D,4,FALSE)</f>
        <v>185000</v>
      </c>
      <c r="I381" s="1" t="str">
        <f>VLOOKUP(C381,branches!A:B,2,FALSE)</f>
        <v>Naija Mart Sabon Gari</v>
      </c>
      <c r="J381" s="1">
        <f t="shared" si="10"/>
        <v>314500</v>
      </c>
      <c r="K381" s="1" t="str">
        <f>VLOOKUP(D381,products!A:D,2,FALSE)</f>
        <v>Electronics</v>
      </c>
      <c r="L381" s="1" t="str">
        <f t="shared" si="11"/>
        <v>Jul-2025</v>
      </c>
    </row>
    <row r="382" spans="1:12" x14ac:dyDescent="0.25">
      <c r="A382" s="3" t="s">
        <v>590</v>
      </c>
      <c r="B382" s="6">
        <v>46017</v>
      </c>
      <c r="C382" s="3" t="s">
        <v>12</v>
      </c>
      <c r="D382" s="3" t="s">
        <v>97</v>
      </c>
      <c r="E382" s="3" t="s">
        <v>514</v>
      </c>
      <c r="F382" s="3">
        <v>1</v>
      </c>
      <c r="G382" s="3">
        <v>25</v>
      </c>
      <c r="H382" s="1">
        <f>VLOOKUP(D382,products!A:D,4,FALSE)</f>
        <v>21000</v>
      </c>
      <c r="I382" s="1" t="str">
        <f>VLOOKUP(C382,branches!A:B,2,FALSE)</f>
        <v>Naija Mart Wuse</v>
      </c>
      <c r="J382" s="1">
        <f t="shared" si="10"/>
        <v>15750</v>
      </c>
      <c r="K382" s="1" t="str">
        <f>VLOOKUP(D382,products!A:D,2,FALSE)</f>
        <v>Small Gadgets</v>
      </c>
      <c r="L382" s="1" t="str">
        <f t="shared" si="11"/>
        <v>Dec-2025</v>
      </c>
    </row>
    <row r="383" spans="1:12" x14ac:dyDescent="0.25">
      <c r="A383" s="3" t="s">
        <v>591</v>
      </c>
      <c r="B383" s="6">
        <v>45764</v>
      </c>
      <c r="C383" s="3" t="s">
        <v>12</v>
      </c>
      <c r="D383" s="3" t="s">
        <v>43</v>
      </c>
      <c r="E383" s="3" t="s">
        <v>382</v>
      </c>
      <c r="F383" s="3">
        <v>1</v>
      </c>
      <c r="G383" s="3">
        <v>0</v>
      </c>
      <c r="H383" s="1">
        <f>VLOOKUP(D383,products!A:D,4,FALSE)</f>
        <v>74000</v>
      </c>
      <c r="I383" s="1" t="str">
        <f>VLOOKUP(C383,branches!A:B,2,FALSE)</f>
        <v>Naija Mart Wuse</v>
      </c>
      <c r="J383" s="1">
        <f t="shared" si="10"/>
        <v>74000</v>
      </c>
      <c r="K383" s="1" t="str">
        <f>VLOOKUP(D383,products!A:D,2,FALSE)</f>
        <v>Home Appliances</v>
      </c>
      <c r="L383" s="1" t="str">
        <f t="shared" si="11"/>
        <v>Apr-2025</v>
      </c>
    </row>
    <row r="384" spans="1:12" x14ac:dyDescent="0.25">
      <c r="A384" s="3" t="s">
        <v>592</v>
      </c>
      <c r="B384" s="6">
        <v>45809</v>
      </c>
      <c r="C384" s="3" t="s">
        <v>12</v>
      </c>
      <c r="D384" s="3" t="s">
        <v>17</v>
      </c>
      <c r="E384" s="3" t="s">
        <v>574</v>
      </c>
      <c r="F384" s="3">
        <v>2</v>
      </c>
      <c r="G384" s="3">
        <v>0</v>
      </c>
      <c r="H384" s="1">
        <f>VLOOKUP(D384,products!A:D,4,FALSE)</f>
        <v>22000</v>
      </c>
      <c r="I384" s="1" t="str">
        <f>VLOOKUP(C384,branches!A:B,2,FALSE)</f>
        <v>Naija Mart Wuse</v>
      </c>
      <c r="J384" s="1">
        <f t="shared" si="10"/>
        <v>44000</v>
      </c>
      <c r="K384" s="1" t="str">
        <f>VLOOKUP(D384,products!A:D,2,FALSE)</f>
        <v>Home Appliances</v>
      </c>
      <c r="L384" s="1" t="str">
        <f t="shared" si="11"/>
        <v>Jun-2025</v>
      </c>
    </row>
    <row r="385" spans="1:12" x14ac:dyDescent="0.25">
      <c r="A385" s="3" t="s">
        <v>593</v>
      </c>
      <c r="B385" s="6">
        <v>46010</v>
      </c>
      <c r="C385" s="3" t="s">
        <v>16</v>
      </c>
      <c r="D385" s="3" t="s">
        <v>94</v>
      </c>
      <c r="E385" s="3" t="s">
        <v>594</v>
      </c>
      <c r="F385" s="3">
        <v>1</v>
      </c>
      <c r="G385" s="3">
        <v>5</v>
      </c>
      <c r="H385" s="1">
        <f>VLOOKUP(D385,products!A:D,4,FALSE)</f>
        <v>320000</v>
      </c>
      <c r="I385" s="1" t="str">
        <f>VLOOKUP(C385,branches!A:B,2,FALSE)</f>
        <v>Naija Mart Ikeja</v>
      </c>
      <c r="J385" s="1">
        <f t="shared" si="10"/>
        <v>304000</v>
      </c>
      <c r="K385" s="1" t="str">
        <f>VLOOKUP(D385,products!A:D,2,FALSE)</f>
        <v>Electronics</v>
      </c>
      <c r="L385" s="1" t="str">
        <f t="shared" si="11"/>
        <v>Dec-2025</v>
      </c>
    </row>
    <row r="386" spans="1:12" x14ac:dyDescent="0.25">
      <c r="A386" s="3" t="s">
        <v>595</v>
      </c>
      <c r="B386" s="6">
        <v>45718</v>
      </c>
      <c r="C386" s="3" t="s">
        <v>12</v>
      </c>
      <c r="D386" s="3" t="s">
        <v>13</v>
      </c>
      <c r="E386" s="3" t="s">
        <v>141</v>
      </c>
      <c r="F386" s="3">
        <v>1</v>
      </c>
      <c r="G386" s="3">
        <v>0</v>
      </c>
      <c r="H386" s="1">
        <f>VLOOKUP(D386,products!A:D,4,FALSE)</f>
        <v>24000</v>
      </c>
      <c r="I386" s="1" t="str">
        <f>VLOOKUP(C386,branches!A:B,2,FALSE)</f>
        <v>Naija Mart Wuse</v>
      </c>
      <c r="J386" s="1">
        <f t="shared" si="10"/>
        <v>24000</v>
      </c>
      <c r="K386" s="1" t="str">
        <f>VLOOKUP(D386,products!A:D,2,FALSE)</f>
        <v>Home Appliances</v>
      </c>
      <c r="L386" s="1" t="str">
        <f t="shared" si="11"/>
        <v>Mar-2025</v>
      </c>
    </row>
    <row r="387" spans="1:12" x14ac:dyDescent="0.25">
      <c r="A387" s="3" t="s">
        <v>596</v>
      </c>
      <c r="B387" s="6">
        <v>45826</v>
      </c>
      <c r="C387" s="3" t="s">
        <v>36</v>
      </c>
      <c r="D387" s="3" t="s">
        <v>23</v>
      </c>
      <c r="E387" s="3" t="s">
        <v>597</v>
      </c>
      <c r="F387" s="3">
        <v>1</v>
      </c>
      <c r="G387" s="3">
        <v>0</v>
      </c>
      <c r="H387" s="1">
        <f>VLOOKUP(D387,products!A:D,4,FALSE)</f>
        <v>19500</v>
      </c>
      <c r="I387" s="1" t="str">
        <f>VLOOKUP(C387,branches!A:B,2,FALSE)</f>
        <v>Naija Mart Sabon Gari</v>
      </c>
      <c r="J387" s="1">
        <f t="shared" ref="J387:J450" si="12">F387*H387*(1-G387/100)</f>
        <v>19500</v>
      </c>
      <c r="K387" s="1" t="str">
        <f>VLOOKUP(D387,products!A:D,2,FALSE)</f>
        <v>Home Appliances</v>
      </c>
      <c r="L387" s="1" t="str">
        <f t="shared" ref="L387:L450" si="13">TEXT(B387,"mmm-yyyy")</f>
        <v>Jun-2025</v>
      </c>
    </row>
    <row r="388" spans="1:12" x14ac:dyDescent="0.25">
      <c r="A388" s="3" t="s">
        <v>598</v>
      </c>
      <c r="B388" s="6">
        <v>45881</v>
      </c>
      <c r="C388" s="3" t="s">
        <v>16</v>
      </c>
      <c r="D388" s="3" t="s">
        <v>94</v>
      </c>
      <c r="E388" s="3" t="s">
        <v>138</v>
      </c>
      <c r="F388" s="3">
        <v>1</v>
      </c>
      <c r="G388" s="3">
        <v>15</v>
      </c>
      <c r="H388" s="1">
        <f>VLOOKUP(D388,products!A:D,4,FALSE)</f>
        <v>320000</v>
      </c>
      <c r="I388" s="1" t="str">
        <f>VLOOKUP(C388,branches!A:B,2,FALSE)</f>
        <v>Naija Mart Ikeja</v>
      </c>
      <c r="J388" s="1">
        <f t="shared" si="12"/>
        <v>272000</v>
      </c>
      <c r="K388" s="1" t="str">
        <f>VLOOKUP(D388,products!A:D,2,FALSE)</f>
        <v>Electronics</v>
      </c>
      <c r="L388" s="1" t="str">
        <f t="shared" si="13"/>
        <v>Aug-2025</v>
      </c>
    </row>
    <row r="389" spans="1:12" x14ac:dyDescent="0.25">
      <c r="A389" s="3" t="s">
        <v>599</v>
      </c>
      <c r="B389" s="6">
        <v>45942</v>
      </c>
      <c r="C389" s="3" t="s">
        <v>16</v>
      </c>
      <c r="D389" s="3" t="s">
        <v>91</v>
      </c>
      <c r="E389" s="3" t="s">
        <v>522</v>
      </c>
      <c r="F389" s="3">
        <v>1</v>
      </c>
      <c r="G389" s="3">
        <v>5</v>
      </c>
      <c r="H389" s="1">
        <f>VLOOKUP(D389,products!A:D,4,FALSE)</f>
        <v>5200</v>
      </c>
      <c r="I389" s="1" t="str">
        <f>VLOOKUP(C389,branches!A:B,2,FALSE)</f>
        <v>Naija Mart Ikeja</v>
      </c>
      <c r="J389" s="1">
        <f t="shared" si="12"/>
        <v>4940</v>
      </c>
      <c r="K389" s="1" t="str">
        <f>VLOOKUP(D389,products!A:D,2,FALSE)</f>
        <v>Small Gadgets</v>
      </c>
      <c r="L389" s="1" t="str">
        <f t="shared" si="13"/>
        <v>Oct-2025</v>
      </c>
    </row>
    <row r="390" spans="1:12" x14ac:dyDescent="0.25">
      <c r="A390" s="3" t="s">
        <v>600</v>
      </c>
      <c r="B390" s="6">
        <v>45977</v>
      </c>
      <c r="C390" s="3" t="s">
        <v>8</v>
      </c>
      <c r="D390" s="3" t="s">
        <v>149</v>
      </c>
      <c r="E390" s="3" t="s">
        <v>423</v>
      </c>
      <c r="F390" s="3">
        <v>1</v>
      </c>
      <c r="G390" s="3">
        <v>30</v>
      </c>
      <c r="H390" s="1">
        <f>VLOOKUP(D390,products!A:D,4,FALSE)</f>
        <v>6500</v>
      </c>
      <c r="I390" s="1" t="str">
        <f>VLOOKUP(C390,branches!A:B,2,FALSE)</f>
        <v>Naija Mart GRA</v>
      </c>
      <c r="J390" s="1">
        <f t="shared" si="12"/>
        <v>4550</v>
      </c>
      <c r="K390" s="1" t="str">
        <f>VLOOKUP(D390,products!A:D,2,FALSE)</f>
        <v>Small Gadgets</v>
      </c>
      <c r="L390" s="1" t="str">
        <f t="shared" si="13"/>
        <v>Nov-2025</v>
      </c>
    </row>
    <row r="391" spans="1:12" x14ac:dyDescent="0.25">
      <c r="A391" s="3" t="s">
        <v>601</v>
      </c>
      <c r="B391" s="6">
        <v>45962</v>
      </c>
      <c r="C391" s="3" t="s">
        <v>12</v>
      </c>
      <c r="D391" s="3" t="s">
        <v>97</v>
      </c>
      <c r="E391" s="3" t="s">
        <v>114</v>
      </c>
      <c r="F391" s="3">
        <v>1</v>
      </c>
      <c r="G391" s="3">
        <v>15</v>
      </c>
      <c r="H391" s="1">
        <f>VLOOKUP(D391,products!A:D,4,FALSE)</f>
        <v>21000</v>
      </c>
      <c r="I391" s="1" t="str">
        <f>VLOOKUP(C391,branches!A:B,2,FALSE)</f>
        <v>Naija Mart Wuse</v>
      </c>
      <c r="J391" s="1">
        <f t="shared" si="12"/>
        <v>17850</v>
      </c>
      <c r="K391" s="1" t="str">
        <f>VLOOKUP(D391,products!A:D,2,FALSE)</f>
        <v>Small Gadgets</v>
      </c>
      <c r="L391" s="1" t="str">
        <f t="shared" si="13"/>
        <v>Nov-2025</v>
      </c>
    </row>
    <row r="392" spans="1:12" x14ac:dyDescent="0.25">
      <c r="A392" s="3" t="s">
        <v>602</v>
      </c>
      <c r="B392" s="6">
        <v>45673</v>
      </c>
      <c r="C392" s="3" t="s">
        <v>36</v>
      </c>
      <c r="D392" s="3" t="s">
        <v>56</v>
      </c>
      <c r="E392" s="3" t="s">
        <v>603</v>
      </c>
      <c r="F392" s="3">
        <v>2</v>
      </c>
      <c r="G392" s="3">
        <v>0</v>
      </c>
      <c r="H392" s="1">
        <f>VLOOKUP(D392,products!A:D,4,FALSE)</f>
        <v>285000</v>
      </c>
      <c r="I392" s="1" t="str">
        <f>VLOOKUP(C392,branches!A:B,2,FALSE)</f>
        <v>Naija Mart Sabon Gari</v>
      </c>
      <c r="J392" s="1">
        <f t="shared" si="12"/>
        <v>570000</v>
      </c>
      <c r="K392" s="1" t="str">
        <f>VLOOKUP(D392,products!A:D,2,FALSE)</f>
        <v>Home Appliances</v>
      </c>
      <c r="L392" s="1" t="str">
        <f t="shared" si="13"/>
        <v>Jan-2025</v>
      </c>
    </row>
    <row r="393" spans="1:12" x14ac:dyDescent="0.25">
      <c r="A393" s="3" t="s">
        <v>604</v>
      </c>
      <c r="B393" s="6">
        <v>45975</v>
      </c>
      <c r="C393" s="3" t="s">
        <v>16</v>
      </c>
      <c r="D393" s="3" t="s">
        <v>17</v>
      </c>
      <c r="E393" s="3" t="s">
        <v>605</v>
      </c>
      <c r="F393" s="3">
        <v>2</v>
      </c>
      <c r="G393" s="3">
        <v>15</v>
      </c>
      <c r="H393" s="1">
        <f>VLOOKUP(D393,products!A:D,4,FALSE)</f>
        <v>22000</v>
      </c>
      <c r="I393" s="1" t="str">
        <f>VLOOKUP(C393,branches!A:B,2,FALSE)</f>
        <v>Naija Mart Ikeja</v>
      </c>
      <c r="J393" s="1">
        <f t="shared" si="12"/>
        <v>37400</v>
      </c>
      <c r="K393" s="1" t="str">
        <f>VLOOKUP(D393,products!A:D,2,FALSE)</f>
        <v>Home Appliances</v>
      </c>
      <c r="L393" s="1" t="str">
        <f t="shared" si="13"/>
        <v>Nov-2025</v>
      </c>
    </row>
    <row r="394" spans="1:12" x14ac:dyDescent="0.25">
      <c r="A394" s="3" t="s">
        <v>606</v>
      </c>
      <c r="B394" s="6">
        <v>45856</v>
      </c>
      <c r="C394" s="3" t="s">
        <v>16</v>
      </c>
      <c r="D394" s="3" t="s">
        <v>64</v>
      </c>
      <c r="E394" s="3" t="s">
        <v>18</v>
      </c>
      <c r="F394" s="3">
        <v>1</v>
      </c>
      <c r="G394" s="3">
        <v>5</v>
      </c>
      <c r="H394" s="1">
        <f>VLOOKUP(D394,products!A:D,4,FALSE)</f>
        <v>175000</v>
      </c>
      <c r="I394" s="1" t="str">
        <f>VLOOKUP(C394,branches!A:B,2,FALSE)</f>
        <v>Naija Mart Ikeja</v>
      </c>
      <c r="J394" s="1">
        <f t="shared" si="12"/>
        <v>166250</v>
      </c>
      <c r="K394" s="1" t="str">
        <f>VLOOKUP(D394,products!A:D,2,FALSE)</f>
        <v>Generators &amp; Power</v>
      </c>
      <c r="L394" s="1" t="str">
        <f t="shared" si="13"/>
        <v>Jul-2025</v>
      </c>
    </row>
    <row r="395" spans="1:12" x14ac:dyDescent="0.25">
      <c r="A395" s="3" t="s">
        <v>607</v>
      </c>
      <c r="B395" s="6">
        <v>45855</v>
      </c>
      <c r="C395" s="3" t="s">
        <v>16</v>
      </c>
      <c r="D395" s="3" t="s">
        <v>40</v>
      </c>
      <c r="E395" s="3" t="s">
        <v>159</v>
      </c>
      <c r="F395" s="3">
        <v>1</v>
      </c>
      <c r="G395" s="3">
        <v>5</v>
      </c>
      <c r="H395" s="1">
        <f>VLOOKUP(D395,products!A:D,4,FALSE)</f>
        <v>195000</v>
      </c>
      <c r="I395" s="1" t="str">
        <f>VLOOKUP(C395,branches!A:B,2,FALSE)</f>
        <v>Naija Mart Ikeja</v>
      </c>
      <c r="J395" s="1">
        <f t="shared" si="12"/>
        <v>185250</v>
      </c>
      <c r="K395" s="1" t="str">
        <f>VLOOKUP(D395,products!A:D,2,FALSE)</f>
        <v>Generators &amp; Power</v>
      </c>
      <c r="L395" s="1" t="str">
        <f t="shared" si="13"/>
        <v>Jul-2025</v>
      </c>
    </row>
    <row r="396" spans="1:12" x14ac:dyDescent="0.25">
      <c r="A396" s="3" t="s">
        <v>608</v>
      </c>
      <c r="B396" s="6">
        <v>45979</v>
      </c>
      <c r="C396" s="3" t="s">
        <v>36</v>
      </c>
      <c r="D396" s="3" t="s">
        <v>69</v>
      </c>
      <c r="E396" s="3" t="s">
        <v>62</v>
      </c>
      <c r="F396" s="3">
        <v>1</v>
      </c>
      <c r="G396" s="3">
        <v>20</v>
      </c>
      <c r="H396" s="1">
        <f>VLOOKUP(D396,products!A:D,4,FALSE)</f>
        <v>45000</v>
      </c>
      <c r="I396" s="1" t="str">
        <f>VLOOKUP(C396,branches!A:B,2,FALSE)</f>
        <v>Naija Mart Sabon Gari</v>
      </c>
      <c r="J396" s="1">
        <f t="shared" si="12"/>
        <v>36000</v>
      </c>
      <c r="K396" s="1" t="str">
        <f>VLOOKUP(D396,products!A:D,2,FALSE)</f>
        <v>Electronics</v>
      </c>
      <c r="L396" s="1" t="str">
        <f t="shared" si="13"/>
        <v>Nov-2025</v>
      </c>
    </row>
    <row r="397" spans="1:12" x14ac:dyDescent="0.25">
      <c r="A397" s="3" t="s">
        <v>609</v>
      </c>
      <c r="B397" s="6">
        <v>45983</v>
      </c>
      <c r="C397" s="3" t="s">
        <v>16</v>
      </c>
      <c r="D397" s="3" t="s">
        <v>80</v>
      </c>
      <c r="E397" s="3" t="s">
        <v>78</v>
      </c>
      <c r="F397" s="3">
        <v>1</v>
      </c>
      <c r="G397" s="3">
        <v>25</v>
      </c>
      <c r="H397" s="1">
        <f>VLOOKUP(D397,products!A:D,4,FALSE)</f>
        <v>265000</v>
      </c>
      <c r="I397" s="1" t="str">
        <f>VLOOKUP(C397,branches!A:B,2,FALSE)</f>
        <v>Naija Mart Ikeja</v>
      </c>
      <c r="J397" s="1">
        <f t="shared" si="12"/>
        <v>198750</v>
      </c>
      <c r="K397" s="1" t="str">
        <f>VLOOKUP(D397,products!A:D,2,FALSE)</f>
        <v>Home Appliances</v>
      </c>
      <c r="L397" s="1" t="str">
        <f t="shared" si="13"/>
        <v>Nov-2025</v>
      </c>
    </row>
    <row r="398" spans="1:12" x14ac:dyDescent="0.25">
      <c r="A398" s="3" t="s">
        <v>610</v>
      </c>
      <c r="B398" s="6">
        <v>46013</v>
      </c>
      <c r="C398" s="3" t="s">
        <v>36</v>
      </c>
      <c r="D398" s="3" t="s">
        <v>91</v>
      </c>
      <c r="E398" s="3" t="s">
        <v>524</v>
      </c>
      <c r="F398" s="3">
        <v>2</v>
      </c>
      <c r="G398" s="3">
        <v>30</v>
      </c>
      <c r="H398" s="1">
        <f>VLOOKUP(D398,products!A:D,4,FALSE)</f>
        <v>5200</v>
      </c>
      <c r="I398" s="1" t="str">
        <f>VLOOKUP(C398,branches!A:B,2,FALSE)</f>
        <v>Naija Mart Sabon Gari</v>
      </c>
      <c r="J398" s="1">
        <f t="shared" si="12"/>
        <v>7279.9999999999991</v>
      </c>
      <c r="K398" s="1" t="str">
        <f>VLOOKUP(D398,products!A:D,2,FALSE)</f>
        <v>Small Gadgets</v>
      </c>
      <c r="L398" s="1" t="str">
        <f t="shared" si="13"/>
        <v>Dec-2025</v>
      </c>
    </row>
    <row r="399" spans="1:12" x14ac:dyDescent="0.25">
      <c r="A399" s="3" t="s">
        <v>611</v>
      </c>
      <c r="B399" s="6">
        <v>46003</v>
      </c>
      <c r="C399" s="3" t="s">
        <v>12</v>
      </c>
      <c r="D399" s="3" t="s">
        <v>258</v>
      </c>
      <c r="E399" s="3" t="s">
        <v>118</v>
      </c>
      <c r="F399" s="3">
        <v>1</v>
      </c>
      <c r="G399" s="3">
        <v>10</v>
      </c>
      <c r="H399" s="1">
        <f>VLOOKUP(D399,products!A:D,4,FALSE)</f>
        <v>95000</v>
      </c>
      <c r="I399" s="1" t="str">
        <f>VLOOKUP(C399,branches!A:B,2,FALSE)</f>
        <v>Naija Mart Wuse</v>
      </c>
      <c r="J399" s="1">
        <f t="shared" si="12"/>
        <v>85500</v>
      </c>
      <c r="K399" s="1" t="str">
        <f>VLOOKUP(D399,products!A:D,2,FALSE)</f>
        <v>Electronics</v>
      </c>
      <c r="L399" s="1" t="str">
        <f t="shared" si="13"/>
        <v>Dec-2025</v>
      </c>
    </row>
    <row r="400" spans="1:12" x14ac:dyDescent="0.25">
      <c r="A400" s="3" t="s">
        <v>612</v>
      </c>
      <c r="B400" s="6">
        <v>45966</v>
      </c>
      <c r="C400" s="3" t="s">
        <v>12</v>
      </c>
      <c r="D400" s="3" t="s">
        <v>23</v>
      </c>
      <c r="E400" s="3" t="s">
        <v>514</v>
      </c>
      <c r="F400" s="3">
        <v>1</v>
      </c>
      <c r="G400" s="3">
        <v>0</v>
      </c>
      <c r="H400" s="1">
        <f>VLOOKUP(D400,products!A:D,4,FALSE)</f>
        <v>19500</v>
      </c>
      <c r="I400" s="1" t="str">
        <f>VLOOKUP(C400,branches!A:B,2,FALSE)</f>
        <v>Naija Mart Wuse</v>
      </c>
      <c r="J400" s="1">
        <f t="shared" si="12"/>
        <v>19500</v>
      </c>
      <c r="K400" s="1" t="str">
        <f>VLOOKUP(D400,products!A:D,2,FALSE)</f>
        <v>Home Appliances</v>
      </c>
      <c r="L400" s="1" t="str">
        <f t="shared" si="13"/>
        <v>Nov-2025</v>
      </c>
    </row>
    <row r="401" spans="1:12" x14ac:dyDescent="0.25">
      <c r="A401" s="3" t="s">
        <v>613</v>
      </c>
      <c r="B401" s="6">
        <v>45788</v>
      </c>
      <c r="C401" s="3" t="s">
        <v>16</v>
      </c>
      <c r="D401" s="3" t="s">
        <v>197</v>
      </c>
      <c r="E401" s="3" t="s">
        <v>403</v>
      </c>
      <c r="F401" s="3">
        <v>1</v>
      </c>
      <c r="G401" s="3">
        <v>5</v>
      </c>
      <c r="H401" s="1">
        <f>VLOOKUP(D401,products!A:D,4,FALSE)</f>
        <v>78000</v>
      </c>
      <c r="I401" s="1" t="str">
        <f>VLOOKUP(C401,branches!A:B,2,FALSE)</f>
        <v>Naija Mart Ikeja</v>
      </c>
      <c r="J401" s="1">
        <f t="shared" si="12"/>
        <v>74100</v>
      </c>
      <c r="K401" s="1" t="str">
        <f>VLOOKUP(D401,products!A:D,2,FALSE)</f>
        <v>Electronics</v>
      </c>
      <c r="L401" s="1" t="str">
        <f t="shared" si="13"/>
        <v>May-2025</v>
      </c>
    </row>
    <row r="402" spans="1:12" x14ac:dyDescent="0.25">
      <c r="A402" s="3" t="s">
        <v>614</v>
      </c>
      <c r="B402" s="6">
        <v>45985</v>
      </c>
      <c r="C402" s="3" t="s">
        <v>8</v>
      </c>
      <c r="D402" s="3" t="s">
        <v>94</v>
      </c>
      <c r="E402" s="3" t="s">
        <v>217</v>
      </c>
      <c r="F402" s="3">
        <v>1</v>
      </c>
      <c r="G402" s="3">
        <v>0</v>
      </c>
      <c r="H402" s="1">
        <f>VLOOKUP(D402,products!A:D,4,FALSE)</f>
        <v>320000</v>
      </c>
      <c r="I402" s="1" t="str">
        <f>VLOOKUP(C402,branches!A:B,2,FALSE)</f>
        <v>Naija Mart GRA</v>
      </c>
      <c r="J402" s="1">
        <f t="shared" si="12"/>
        <v>320000</v>
      </c>
      <c r="K402" s="1" t="str">
        <f>VLOOKUP(D402,products!A:D,2,FALSE)</f>
        <v>Electronics</v>
      </c>
      <c r="L402" s="1" t="str">
        <f t="shared" si="13"/>
        <v>Nov-2025</v>
      </c>
    </row>
    <row r="403" spans="1:12" x14ac:dyDescent="0.25">
      <c r="A403" s="3" t="s">
        <v>615</v>
      </c>
      <c r="B403" s="6">
        <v>45828</v>
      </c>
      <c r="C403" s="3" t="s">
        <v>16</v>
      </c>
      <c r="D403" s="3" t="s">
        <v>49</v>
      </c>
      <c r="E403" s="3" t="s">
        <v>136</v>
      </c>
      <c r="F403" s="3">
        <v>1</v>
      </c>
      <c r="G403" s="3">
        <v>5</v>
      </c>
      <c r="H403" s="1">
        <f>VLOOKUP(D403,products!A:D,4,FALSE)</f>
        <v>28000</v>
      </c>
      <c r="I403" s="1" t="str">
        <f>VLOOKUP(C403,branches!A:B,2,FALSE)</f>
        <v>Naija Mart Ikeja</v>
      </c>
      <c r="J403" s="1">
        <f t="shared" si="12"/>
        <v>26600</v>
      </c>
      <c r="K403" s="1" t="str">
        <f>VLOOKUP(D403,products!A:D,2,FALSE)</f>
        <v>Home Appliances</v>
      </c>
      <c r="L403" s="1" t="str">
        <f t="shared" si="13"/>
        <v>Jun-2025</v>
      </c>
    </row>
    <row r="404" spans="1:12" x14ac:dyDescent="0.25">
      <c r="A404" s="3" t="s">
        <v>616</v>
      </c>
      <c r="B404" s="6">
        <v>45897</v>
      </c>
      <c r="C404" s="3" t="s">
        <v>36</v>
      </c>
      <c r="D404" s="3" t="s">
        <v>97</v>
      </c>
      <c r="E404" s="3" t="s">
        <v>209</v>
      </c>
      <c r="F404" s="3">
        <v>1</v>
      </c>
      <c r="G404" s="3">
        <v>0</v>
      </c>
      <c r="H404" s="1">
        <f>VLOOKUP(D404,products!A:D,4,FALSE)</f>
        <v>21000</v>
      </c>
      <c r="I404" s="1" t="str">
        <f>VLOOKUP(C404,branches!A:B,2,FALSE)</f>
        <v>Naija Mart Sabon Gari</v>
      </c>
      <c r="J404" s="1">
        <f t="shared" si="12"/>
        <v>21000</v>
      </c>
      <c r="K404" s="1" t="str">
        <f>VLOOKUP(D404,products!A:D,2,FALSE)</f>
        <v>Small Gadgets</v>
      </c>
      <c r="L404" s="1" t="str">
        <f t="shared" si="13"/>
        <v>Aug-2025</v>
      </c>
    </row>
    <row r="405" spans="1:12" x14ac:dyDescent="0.25">
      <c r="A405" s="3" t="s">
        <v>617</v>
      </c>
      <c r="B405" s="6">
        <v>45719</v>
      </c>
      <c r="C405" s="3" t="s">
        <v>8</v>
      </c>
      <c r="D405" s="3" t="s">
        <v>56</v>
      </c>
      <c r="E405" s="3" t="s">
        <v>618</v>
      </c>
      <c r="F405" s="3">
        <v>1</v>
      </c>
      <c r="G405" s="3">
        <v>0</v>
      </c>
      <c r="H405" s="1">
        <f>VLOOKUP(D405,products!A:D,4,FALSE)</f>
        <v>285000</v>
      </c>
      <c r="I405" s="1" t="str">
        <f>VLOOKUP(C405,branches!A:B,2,FALSE)</f>
        <v>Naija Mart GRA</v>
      </c>
      <c r="J405" s="1">
        <f t="shared" si="12"/>
        <v>285000</v>
      </c>
      <c r="K405" s="1" t="str">
        <f>VLOOKUP(D405,products!A:D,2,FALSE)</f>
        <v>Home Appliances</v>
      </c>
      <c r="L405" s="1" t="str">
        <f t="shared" si="13"/>
        <v>Mar-2025</v>
      </c>
    </row>
    <row r="406" spans="1:12" x14ac:dyDescent="0.25">
      <c r="A406" s="3" t="s">
        <v>619</v>
      </c>
      <c r="B406" s="6">
        <v>45749</v>
      </c>
      <c r="C406" s="3" t="s">
        <v>16</v>
      </c>
      <c r="D406" s="3" t="s">
        <v>33</v>
      </c>
      <c r="E406" s="3" t="s">
        <v>603</v>
      </c>
      <c r="F406" s="3">
        <v>5</v>
      </c>
      <c r="G406" s="3">
        <v>0</v>
      </c>
      <c r="H406" s="1">
        <f>VLOOKUP(D406,products!A:D,4,FALSE)</f>
        <v>245000</v>
      </c>
      <c r="I406" s="1" t="str">
        <f>VLOOKUP(C406,branches!A:B,2,FALSE)</f>
        <v>Naija Mart Ikeja</v>
      </c>
      <c r="J406" s="1">
        <f t="shared" si="12"/>
        <v>1225000</v>
      </c>
      <c r="K406" s="1" t="str">
        <f>VLOOKUP(D406,products!A:D,2,FALSE)</f>
        <v>Generators &amp; Power</v>
      </c>
      <c r="L406" s="1" t="str">
        <f t="shared" si="13"/>
        <v>Apr-2025</v>
      </c>
    </row>
    <row r="407" spans="1:12" x14ac:dyDescent="0.25">
      <c r="A407" s="3" t="s">
        <v>620</v>
      </c>
      <c r="B407" s="6">
        <v>46003</v>
      </c>
      <c r="C407" s="3" t="s">
        <v>16</v>
      </c>
      <c r="D407" s="3" t="s">
        <v>20</v>
      </c>
      <c r="E407" s="3" t="s">
        <v>621</v>
      </c>
      <c r="F407" s="3">
        <v>5</v>
      </c>
      <c r="G407" s="3">
        <v>5</v>
      </c>
      <c r="H407" s="1">
        <f>VLOOKUP(D407,products!A:D,4,FALSE)</f>
        <v>38000</v>
      </c>
      <c r="I407" s="1" t="str">
        <f>VLOOKUP(C407,branches!A:B,2,FALSE)</f>
        <v>Naija Mart Ikeja</v>
      </c>
      <c r="J407" s="1">
        <f t="shared" si="12"/>
        <v>180500</v>
      </c>
      <c r="K407" s="1" t="str">
        <f>VLOOKUP(D407,products!A:D,2,FALSE)</f>
        <v>Electronics</v>
      </c>
      <c r="L407" s="1" t="str">
        <f t="shared" si="13"/>
        <v>Dec-2025</v>
      </c>
    </row>
    <row r="408" spans="1:12" x14ac:dyDescent="0.25">
      <c r="A408" s="3" t="s">
        <v>622</v>
      </c>
      <c r="B408" s="6">
        <v>46016</v>
      </c>
      <c r="C408" s="3" t="s">
        <v>16</v>
      </c>
      <c r="D408" s="3" t="s">
        <v>20</v>
      </c>
      <c r="E408" s="3" t="s">
        <v>623</v>
      </c>
      <c r="F408" s="3">
        <v>1</v>
      </c>
      <c r="G408" s="3">
        <v>10</v>
      </c>
      <c r="H408" s="1">
        <f>VLOOKUP(D408,products!A:D,4,FALSE)</f>
        <v>38000</v>
      </c>
      <c r="I408" s="1" t="str">
        <f>VLOOKUP(C408,branches!A:B,2,FALSE)</f>
        <v>Naija Mart Ikeja</v>
      </c>
      <c r="J408" s="1">
        <f t="shared" si="12"/>
        <v>34200</v>
      </c>
      <c r="K408" s="1" t="str">
        <f>VLOOKUP(D408,products!A:D,2,FALSE)</f>
        <v>Electronics</v>
      </c>
      <c r="L408" s="1" t="str">
        <f t="shared" si="13"/>
        <v>Dec-2025</v>
      </c>
    </row>
    <row r="409" spans="1:12" x14ac:dyDescent="0.25">
      <c r="A409" s="3" t="s">
        <v>624</v>
      </c>
      <c r="B409" s="6">
        <v>45986</v>
      </c>
      <c r="C409" s="3" t="s">
        <v>12</v>
      </c>
      <c r="D409" s="3" t="s">
        <v>40</v>
      </c>
      <c r="E409" s="3" t="s">
        <v>566</v>
      </c>
      <c r="F409" s="3">
        <v>1</v>
      </c>
      <c r="G409" s="3">
        <v>15</v>
      </c>
      <c r="H409" s="1">
        <f>VLOOKUP(D409,products!A:D,4,FALSE)</f>
        <v>195000</v>
      </c>
      <c r="I409" s="1" t="str">
        <f>VLOOKUP(C409,branches!A:B,2,FALSE)</f>
        <v>Naija Mart Wuse</v>
      </c>
      <c r="J409" s="1">
        <f t="shared" si="12"/>
        <v>165750</v>
      </c>
      <c r="K409" s="1" t="str">
        <f>VLOOKUP(D409,products!A:D,2,FALSE)</f>
        <v>Generators &amp; Power</v>
      </c>
      <c r="L409" s="1" t="str">
        <f t="shared" si="13"/>
        <v>Nov-2025</v>
      </c>
    </row>
    <row r="410" spans="1:12" x14ac:dyDescent="0.25">
      <c r="A410" s="3" t="s">
        <v>625</v>
      </c>
      <c r="B410" s="6">
        <v>45992</v>
      </c>
      <c r="C410" s="3" t="s">
        <v>36</v>
      </c>
      <c r="D410" s="3" t="s">
        <v>80</v>
      </c>
      <c r="E410" s="3" t="s">
        <v>108</v>
      </c>
      <c r="F410" s="3">
        <v>1</v>
      </c>
      <c r="G410" s="3">
        <v>25</v>
      </c>
      <c r="H410" s="1">
        <f>VLOOKUP(D410,products!A:D,4,FALSE)</f>
        <v>265000</v>
      </c>
      <c r="I410" s="1" t="str">
        <f>VLOOKUP(C410,branches!A:B,2,FALSE)</f>
        <v>Naija Mart Sabon Gari</v>
      </c>
      <c r="J410" s="1">
        <f t="shared" si="12"/>
        <v>198750</v>
      </c>
      <c r="K410" s="1" t="str">
        <f>VLOOKUP(D410,products!A:D,2,FALSE)</f>
        <v>Home Appliances</v>
      </c>
      <c r="L410" s="1" t="str">
        <f t="shared" si="13"/>
        <v>Dec-2025</v>
      </c>
    </row>
    <row r="411" spans="1:12" x14ac:dyDescent="0.25">
      <c r="A411" s="3" t="s">
        <v>626</v>
      </c>
      <c r="B411" s="6">
        <v>45994</v>
      </c>
      <c r="C411" s="3" t="s">
        <v>16</v>
      </c>
      <c r="D411" s="3" t="s">
        <v>59</v>
      </c>
      <c r="E411" s="3" t="s">
        <v>500</v>
      </c>
      <c r="F411" s="3">
        <v>1</v>
      </c>
      <c r="G411" s="3">
        <v>0</v>
      </c>
      <c r="H411" s="1">
        <f>VLOOKUP(D411,products!A:D,4,FALSE)</f>
        <v>15000</v>
      </c>
      <c r="I411" s="1" t="str">
        <f>VLOOKUP(C411,branches!A:B,2,FALSE)</f>
        <v>Naija Mart Ikeja</v>
      </c>
      <c r="J411" s="1">
        <f t="shared" si="12"/>
        <v>15000</v>
      </c>
      <c r="K411" s="1" t="str">
        <f>VLOOKUP(D411,products!A:D,2,FALSE)</f>
        <v>Home Appliances</v>
      </c>
      <c r="L411" s="1" t="str">
        <f t="shared" si="13"/>
        <v>Dec-2025</v>
      </c>
    </row>
    <row r="412" spans="1:12" x14ac:dyDescent="0.25">
      <c r="A412" s="3" t="s">
        <v>627</v>
      </c>
      <c r="B412" s="6">
        <v>45894</v>
      </c>
      <c r="C412" s="3" t="s">
        <v>12</v>
      </c>
      <c r="D412" s="3" t="s">
        <v>20</v>
      </c>
      <c r="E412" s="3" t="s">
        <v>38</v>
      </c>
      <c r="F412" s="3">
        <v>1</v>
      </c>
      <c r="G412" s="3">
        <v>15</v>
      </c>
      <c r="H412" s="1">
        <f>VLOOKUP(D412,products!A:D,4,FALSE)</f>
        <v>38000</v>
      </c>
      <c r="I412" s="1" t="str">
        <f>VLOOKUP(C412,branches!A:B,2,FALSE)</f>
        <v>Naija Mart Wuse</v>
      </c>
      <c r="J412" s="1">
        <f t="shared" si="12"/>
        <v>32300</v>
      </c>
      <c r="K412" s="1" t="str">
        <f>VLOOKUP(D412,products!A:D,2,FALSE)</f>
        <v>Electronics</v>
      </c>
      <c r="L412" s="1" t="str">
        <f t="shared" si="13"/>
        <v>Aug-2025</v>
      </c>
    </row>
    <row r="413" spans="1:12" x14ac:dyDescent="0.25">
      <c r="A413" s="3" t="s">
        <v>628</v>
      </c>
      <c r="B413" s="6">
        <v>45737</v>
      </c>
      <c r="C413" s="3" t="s">
        <v>16</v>
      </c>
      <c r="D413" s="3" t="s">
        <v>26</v>
      </c>
      <c r="E413" s="3" t="s">
        <v>245</v>
      </c>
      <c r="F413" s="3">
        <v>1</v>
      </c>
      <c r="G413" s="3">
        <v>5</v>
      </c>
      <c r="H413" s="1">
        <f>VLOOKUP(D413,products!A:D,4,FALSE)</f>
        <v>145000</v>
      </c>
      <c r="I413" s="1" t="str">
        <f>VLOOKUP(C413,branches!A:B,2,FALSE)</f>
        <v>Naija Mart Ikeja</v>
      </c>
      <c r="J413" s="1">
        <f t="shared" si="12"/>
        <v>137750</v>
      </c>
      <c r="K413" s="1" t="str">
        <f>VLOOKUP(D413,products!A:D,2,FALSE)</f>
        <v>Electronics</v>
      </c>
      <c r="L413" s="1" t="str">
        <f t="shared" si="13"/>
        <v>Mar-2025</v>
      </c>
    </row>
    <row r="414" spans="1:12" x14ac:dyDescent="0.25">
      <c r="A414" s="3" t="s">
        <v>629</v>
      </c>
      <c r="B414" s="6">
        <v>45882</v>
      </c>
      <c r="C414" s="3" t="s">
        <v>8</v>
      </c>
      <c r="D414" s="3" t="s">
        <v>40</v>
      </c>
      <c r="E414" s="3" t="s">
        <v>623</v>
      </c>
      <c r="F414" s="3">
        <v>1</v>
      </c>
      <c r="G414" s="3">
        <v>0</v>
      </c>
      <c r="H414" s="1">
        <f>VLOOKUP(D414,products!A:D,4,FALSE)</f>
        <v>195000</v>
      </c>
      <c r="I414" s="1" t="str">
        <f>VLOOKUP(C414,branches!A:B,2,FALSE)</f>
        <v>Naija Mart GRA</v>
      </c>
      <c r="J414" s="1">
        <f t="shared" si="12"/>
        <v>195000</v>
      </c>
      <c r="K414" s="1" t="str">
        <f>VLOOKUP(D414,products!A:D,2,FALSE)</f>
        <v>Generators &amp; Power</v>
      </c>
      <c r="L414" s="1" t="str">
        <f t="shared" si="13"/>
        <v>Aug-2025</v>
      </c>
    </row>
    <row r="415" spans="1:12" x14ac:dyDescent="0.25">
      <c r="A415" s="3" t="s">
        <v>630</v>
      </c>
      <c r="B415" s="6">
        <v>45978</v>
      </c>
      <c r="C415" s="3" t="s">
        <v>12</v>
      </c>
      <c r="D415" s="3" t="s">
        <v>43</v>
      </c>
      <c r="E415" s="3" t="s">
        <v>72</v>
      </c>
      <c r="F415" s="3">
        <v>1</v>
      </c>
      <c r="G415" s="3">
        <v>10</v>
      </c>
      <c r="H415" s="1">
        <f>VLOOKUP(D415,products!A:D,4,FALSE)</f>
        <v>74000</v>
      </c>
      <c r="I415" s="1" t="str">
        <f>VLOOKUP(C415,branches!A:B,2,FALSE)</f>
        <v>Naija Mart Wuse</v>
      </c>
      <c r="J415" s="1">
        <f t="shared" si="12"/>
        <v>66600</v>
      </c>
      <c r="K415" s="1" t="str">
        <f>VLOOKUP(D415,products!A:D,2,FALSE)</f>
        <v>Home Appliances</v>
      </c>
      <c r="L415" s="1" t="str">
        <f t="shared" si="13"/>
        <v>Nov-2025</v>
      </c>
    </row>
    <row r="416" spans="1:12" x14ac:dyDescent="0.25">
      <c r="A416" s="3" t="s">
        <v>631</v>
      </c>
      <c r="B416" s="6">
        <v>46009</v>
      </c>
      <c r="C416" s="3" t="s">
        <v>12</v>
      </c>
      <c r="D416" s="3" t="s">
        <v>258</v>
      </c>
      <c r="E416" s="3" t="s">
        <v>605</v>
      </c>
      <c r="F416" s="3">
        <v>1</v>
      </c>
      <c r="G416" s="3">
        <v>0</v>
      </c>
      <c r="H416" s="1">
        <f>VLOOKUP(D416,products!A:D,4,FALSE)</f>
        <v>95000</v>
      </c>
      <c r="I416" s="1" t="str">
        <f>VLOOKUP(C416,branches!A:B,2,FALSE)</f>
        <v>Naija Mart Wuse</v>
      </c>
      <c r="J416" s="1">
        <f t="shared" si="12"/>
        <v>95000</v>
      </c>
      <c r="K416" s="1" t="str">
        <f>VLOOKUP(D416,products!A:D,2,FALSE)</f>
        <v>Electronics</v>
      </c>
      <c r="L416" s="1" t="str">
        <f t="shared" si="13"/>
        <v>Dec-2025</v>
      </c>
    </row>
    <row r="417" spans="1:12" x14ac:dyDescent="0.25">
      <c r="A417" s="3" t="s">
        <v>632</v>
      </c>
      <c r="B417" s="6">
        <v>46013</v>
      </c>
      <c r="C417" s="3" t="s">
        <v>16</v>
      </c>
      <c r="D417" s="3" t="s">
        <v>33</v>
      </c>
      <c r="E417" s="3" t="s">
        <v>180</v>
      </c>
      <c r="F417" s="3">
        <v>1</v>
      </c>
      <c r="G417" s="3">
        <v>20</v>
      </c>
      <c r="H417" s="1">
        <f>VLOOKUP(D417,products!A:D,4,FALSE)</f>
        <v>245000</v>
      </c>
      <c r="I417" s="1" t="str">
        <f>VLOOKUP(C417,branches!A:B,2,FALSE)</f>
        <v>Naija Mart Ikeja</v>
      </c>
      <c r="J417" s="1">
        <f t="shared" si="12"/>
        <v>196000</v>
      </c>
      <c r="K417" s="1" t="str">
        <f>VLOOKUP(D417,products!A:D,2,FALSE)</f>
        <v>Generators &amp; Power</v>
      </c>
      <c r="L417" s="1" t="str">
        <f t="shared" si="13"/>
        <v>Dec-2025</v>
      </c>
    </row>
    <row r="418" spans="1:12" x14ac:dyDescent="0.25">
      <c r="A418" s="3" t="s">
        <v>633</v>
      </c>
      <c r="B418" s="6">
        <v>45848</v>
      </c>
      <c r="C418" s="3" t="s">
        <v>16</v>
      </c>
      <c r="D418" s="3" t="s">
        <v>94</v>
      </c>
      <c r="E418" s="3" t="s">
        <v>269</v>
      </c>
      <c r="F418" s="3">
        <v>5</v>
      </c>
      <c r="G418" s="3">
        <v>0</v>
      </c>
      <c r="H418" s="1">
        <f>VLOOKUP(D418,products!A:D,4,FALSE)</f>
        <v>320000</v>
      </c>
      <c r="I418" s="1" t="str">
        <f>VLOOKUP(C418,branches!A:B,2,FALSE)</f>
        <v>Naija Mart Ikeja</v>
      </c>
      <c r="J418" s="1">
        <f t="shared" si="12"/>
        <v>1600000</v>
      </c>
      <c r="K418" s="1" t="str">
        <f>VLOOKUP(D418,products!A:D,2,FALSE)</f>
        <v>Electronics</v>
      </c>
      <c r="L418" s="1" t="str">
        <f t="shared" si="13"/>
        <v>Jul-2025</v>
      </c>
    </row>
    <row r="419" spans="1:12" x14ac:dyDescent="0.25">
      <c r="A419" s="3" t="s">
        <v>634</v>
      </c>
      <c r="B419" s="6">
        <v>45728</v>
      </c>
      <c r="C419" s="3" t="s">
        <v>16</v>
      </c>
      <c r="D419" s="3" t="s">
        <v>59</v>
      </c>
      <c r="E419" s="3" t="s">
        <v>263</v>
      </c>
      <c r="F419" s="3">
        <v>1</v>
      </c>
      <c r="G419" s="3">
        <v>20</v>
      </c>
      <c r="H419" s="1">
        <f>VLOOKUP(D419,products!A:D,4,FALSE)</f>
        <v>15000</v>
      </c>
      <c r="I419" s="1" t="str">
        <f>VLOOKUP(C419,branches!A:B,2,FALSE)</f>
        <v>Naija Mart Ikeja</v>
      </c>
      <c r="J419" s="1">
        <f t="shared" si="12"/>
        <v>12000</v>
      </c>
      <c r="K419" s="1" t="str">
        <f>VLOOKUP(D419,products!A:D,2,FALSE)</f>
        <v>Home Appliances</v>
      </c>
      <c r="L419" s="1" t="str">
        <f t="shared" si="13"/>
        <v>Mar-2025</v>
      </c>
    </row>
    <row r="420" spans="1:12" x14ac:dyDescent="0.25">
      <c r="A420" s="3" t="s">
        <v>635</v>
      </c>
      <c r="B420" s="6">
        <v>45792</v>
      </c>
      <c r="C420" s="3" t="s">
        <v>16</v>
      </c>
      <c r="D420" s="3" t="s">
        <v>20</v>
      </c>
      <c r="E420" s="3" t="s">
        <v>203</v>
      </c>
      <c r="F420" s="3">
        <v>2</v>
      </c>
      <c r="G420" s="3">
        <v>20</v>
      </c>
      <c r="H420" s="1">
        <f>VLOOKUP(D420,products!A:D,4,FALSE)</f>
        <v>38000</v>
      </c>
      <c r="I420" s="1" t="str">
        <f>VLOOKUP(C420,branches!A:B,2,FALSE)</f>
        <v>Naija Mart Ikeja</v>
      </c>
      <c r="J420" s="1">
        <f t="shared" si="12"/>
        <v>60800</v>
      </c>
      <c r="K420" s="1" t="str">
        <f>VLOOKUP(D420,products!A:D,2,FALSE)</f>
        <v>Electronics</v>
      </c>
      <c r="L420" s="1" t="str">
        <f t="shared" si="13"/>
        <v>May-2025</v>
      </c>
    </row>
    <row r="421" spans="1:12" x14ac:dyDescent="0.25">
      <c r="A421" s="3" t="s">
        <v>636</v>
      </c>
      <c r="B421" s="6">
        <v>45922</v>
      </c>
      <c r="C421" s="3" t="s">
        <v>8</v>
      </c>
      <c r="D421" s="3" t="s">
        <v>197</v>
      </c>
      <c r="E421" s="3" t="s">
        <v>637</v>
      </c>
      <c r="F421" s="3">
        <v>2</v>
      </c>
      <c r="G421" s="3">
        <v>0</v>
      </c>
      <c r="H421" s="1">
        <f>VLOOKUP(D421,products!A:D,4,FALSE)</f>
        <v>78000</v>
      </c>
      <c r="I421" s="1" t="str">
        <f>VLOOKUP(C421,branches!A:B,2,FALSE)</f>
        <v>Naija Mart GRA</v>
      </c>
      <c r="J421" s="1">
        <f t="shared" si="12"/>
        <v>156000</v>
      </c>
      <c r="K421" s="1" t="str">
        <f>VLOOKUP(D421,products!A:D,2,FALSE)</f>
        <v>Electronics</v>
      </c>
      <c r="L421" s="1" t="str">
        <f t="shared" si="13"/>
        <v>Sep-2025</v>
      </c>
    </row>
    <row r="422" spans="1:12" x14ac:dyDescent="0.25">
      <c r="A422" s="3" t="s">
        <v>638</v>
      </c>
      <c r="B422" s="6">
        <v>45759</v>
      </c>
      <c r="C422" s="3" t="s">
        <v>12</v>
      </c>
      <c r="D422" s="3" t="s">
        <v>37</v>
      </c>
      <c r="E422" s="3" t="s">
        <v>423</v>
      </c>
      <c r="F422" s="3">
        <v>1</v>
      </c>
      <c r="G422" s="3">
        <v>5</v>
      </c>
      <c r="H422" s="1">
        <f>VLOOKUP(D422,products!A:D,4,FALSE)</f>
        <v>8500</v>
      </c>
      <c r="I422" s="1" t="str">
        <f>VLOOKUP(C422,branches!A:B,2,FALSE)</f>
        <v>Naija Mart Wuse</v>
      </c>
      <c r="J422" s="1">
        <f t="shared" si="12"/>
        <v>8075</v>
      </c>
      <c r="K422" s="1" t="str">
        <f>VLOOKUP(D422,products!A:D,2,FALSE)</f>
        <v>Small Gadgets</v>
      </c>
      <c r="L422" s="1" t="str">
        <f t="shared" si="13"/>
        <v>Apr-2025</v>
      </c>
    </row>
    <row r="423" spans="1:12" x14ac:dyDescent="0.25">
      <c r="A423" s="3" t="s">
        <v>639</v>
      </c>
      <c r="B423" s="6">
        <v>45967</v>
      </c>
      <c r="C423" s="3" t="s">
        <v>16</v>
      </c>
      <c r="D423" s="3" t="s">
        <v>49</v>
      </c>
      <c r="E423" s="3" t="s">
        <v>400</v>
      </c>
      <c r="F423" s="3">
        <v>1</v>
      </c>
      <c r="G423" s="3">
        <v>0</v>
      </c>
      <c r="H423" s="1">
        <f>VLOOKUP(D423,products!A:D,4,FALSE)</f>
        <v>28000</v>
      </c>
      <c r="I423" s="1" t="str">
        <f>VLOOKUP(C423,branches!A:B,2,FALSE)</f>
        <v>Naija Mart Ikeja</v>
      </c>
      <c r="J423" s="1">
        <f t="shared" si="12"/>
        <v>28000</v>
      </c>
      <c r="K423" s="1" t="str">
        <f>VLOOKUP(D423,products!A:D,2,FALSE)</f>
        <v>Home Appliances</v>
      </c>
      <c r="L423" s="1" t="str">
        <f t="shared" si="13"/>
        <v>Nov-2025</v>
      </c>
    </row>
    <row r="424" spans="1:12" x14ac:dyDescent="0.25">
      <c r="A424" s="3" t="s">
        <v>640</v>
      </c>
      <c r="B424" s="6">
        <v>45762</v>
      </c>
      <c r="C424" s="3" t="s">
        <v>12</v>
      </c>
      <c r="D424" s="3" t="s">
        <v>80</v>
      </c>
      <c r="E424" s="3" t="s">
        <v>21</v>
      </c>
      <c r="F424" s="3">
        <v>1</v>
      </c>
      <c r="G424" s="3">
        <v>0</v>
      </c>
      <c r="H424" s="1">
        <f>VLOOKUP(D424,products!A:D,4,FALSE)</f>
        <v>265000</v>
      </c>
      <c r="I424" s="1" t="str">
        <f>VLOOKUP(C424,branches!A:B,2,FALSE)</f>
        <v>Naija Mart Wuse</v>
      </c>
      <c r="J424" s="1">
        <f t="shared" si="12"/>
        <v>265000</v>
      </c>
      <c r="K424" s="1" t="str">
        <f>VLOOKUP(D424,products!A:D,2,FALSE)</f>
        <v>Home Appliances</v>
      </c>
      <c r="L424" s="1" t="str">
        <f t="shared" si="13"/>
        <v>Apr-2025</v>
      </c>
    </row>
    <row r="425" spans="1:12" x14ac:dyDescent="0.25">
      <c r="A425" s="3" t="s">
        <v>641</v>
      </c>
      <c r="B425" s="6">
        <v>45880</v>
      </c>
      <c r="C425" s="3" t="s">
        <v>8</v>
      </c>
      <c r="D425" s="3" t="s">
        <v>13</v>
      </c>
      <c r="E425" s="3" t="s">
        <v>367</v>
      </c>
      <c r="F425" s="3">
        <v>1</v>
      </c>
      <c r="G425" s="3">
        <v>5</v>
      </c>
      <c r="H425" s="1">
        <f>VLOOKUP(D425,products!A:D,4,FALSE)</f>
        <v>24000</v>
      </c>
      <c r="I425" s="1" t="str">
        <f>VLOOKUP(C425,branches!A:B,2,FALSE)</f>
        <v>Naija Mart GRA</v>
      </c>
      <c r="J425" s="1">
        <f t="shared" si="12"/>
        <v>22800</v>
      </c>
      <c r="K425" s="1" t="str">
        <f>VLOOKUP(D425,products!A:D,2,FALSE)</f>
        <v>Home Appliances</v>
      </c>
      <c r="L425" s="1" t="str">
        <f t="shared" si="13"/>
        <v>Aug-2025</v>
      </c>
    </row>
    <row r="426" spans="1:12" x14ac:dyDescent="0.25">
      <c r="A426" s="3" t="s">
        <v>642</v>
      </c>
      <c r="B426" s="6">
        <v>45783</v>
      </c>
      <c r="C426" s="3" t="s">
        <v>8</v>
      </c>
      <c r="D426" s="3" t="s">
        <v>94</v>
      </c>
      <c r="E426" s="3" t="s">
        <v>322</v>
      </c>
      <c r="F426" s="3">
        <v>2</v>
      </c>
      <c r="G426" s="3">
        <v>20</v>
      </c>
      <c r="H426" s="1">
        <f>VLOOKUP(D426,products!A:D,4,FALSE)</f>
        <v>320000</v>
      </c>
      <c r="I426" s="1" t="str">
        <f>VLOOKUP(C426,branches!A:B,2,FALSE)</f>
        <v>Naija Mart GRA</v>
      </c>
      <c r="J426" s="1">
        <f t="shared" si="12"/>
        <v>512000</v>
      </c>
      <c r="K426" s="1" t="str">
        <f>VLOOKUP(D426,products!A:D,2,FALSE)</f>
        <v>Electronics</v>
      </c>
      <c r="L426" s="1" t="str">
        <f t="shared" si="13"/>
        <v>May-2025</v>
      </c>
    </row>
    <row r="427" spans="1:12" x14ac:dyDescent="0.25">
      <c r="A427" s="3" t="s">
        <v>643</v>
      </c>
      <c r="B427" s="6">
        <v>45971</v>
      </c>
      <c r="C427" s="3" t="s">
        <v>12</v>
      </c>
      <c r="D427" s="3" t="s">
        <v>126</v>
      </c>
      <c r="E427" s="3" t="s">
        <v>405</v>
      </c>
      <c r="F427" s="3">
        <v>1</v>
      </c>
      <c r="G427" s="3">
        <v>0</v>
      </c>
      <c r="H427" s="1">
        <f>VLOOKUP(D427,products!A:D,4,FALSE)</f>
        <v>185000</v>
      </c>
      <c r="I427" s="1" t="str">
        <f>VLOOKUP(C427,branches!A:B,2,FALSE)</f>
        <v>Naija Mart Wuse</v>
      </c>
      <c r="J427" s="1">
        <f t="shared" si="12"/>
        <v>185000</v>
      </c>
      <c r="K427" s="1" t="str">
        <f>VLOOKUP(D427,products!A:D,2,FALSE)</f>
        <v>Electronics</v>
      </c>
      <c r="L427" s="1" t="str">
        <f t="shared" si="13"/>
        <v>Nov-2025</v>
      </c>
    </row>
    <row r="428" spans="1:12" x14ac:dyDescent="0.25">
      <c r="A428" s="3" t="s">
        <v>644</v>
      </c>
      <c r="B428" s="6">
        <v>45963</v>
      </c>
      <c r="C428" s="3" t="s">
        <v>36</v>
      </c>
      <c r="D428" s="3" t="s">
        <v>40</v>
      </c>
      <c r="E428" s="3" t="s">
        <v>472</v>
      </c>
      <c r="F428" s="3">
        <v>2</v>
      </c>
      <c r="G428" s="3">
        <v>15</v>
      </c>
      <c r="H428" s="1">
        <f>VLOOKUP(D428,products!A:D,4,FALSE)</f>
        <v>195000</v>
      </c>
      <c r="I428" s="1" t="str">
        <f>VLOOKUP(C428,branches!A:B,2,FALSE)</f>
        <v>Naija Mart Sabon Gari</v>
      </c>
      <c r="J428" s="1">
        <f t="shared" si="12"/>
        <v>331500</v>
      </c>
      <c r="K428" s="1" t="str">
        <f>VLOOKUP(D428,products!A:D,2,FALSE)</f>
        <v>Generators &amp; Power</v>
      </c>
      <c r="L428" s="1" t="str">
        <f t="shared" si="13"/>
        <v>Nov-2025</v>
      </c>
    </row>
    <row r="429" spans="1:12" x14ac:dyDescent="0.25">
      <c r="A429" s="3" t="s">
        <v>645</v>
      </c>
      <c r="B429" s="6">
        <v>45987</v>
      </c>
      <c r="C429" s="3" t="s">
        <v>12</v>
      </c>
      <c r="D429" s="3" t="s">
        <v>17</v>
      </c>
      <c r="E429" s="3" t="s">
        <v>62</v>
      </c>
      <c r="F429" s="3">
        <v>1</v>
      </c>
      <c r="G429" s="3">
        <v>25</v>
      </c>
      <c r="H429" s="1">
        <f>VLOOKUP(D429,products!A:D,4,FALSE)</f>
        <v>22000</v>
      </c>
      <c r="I429" s="1" t="str">
        <f>VLOOKUP(C429,branches!A:B,2,FALSE)</f>
        <v>Naija Mart Wuse</v>
      </c>
      <c r="J429" s="1">
        <f t="shared" si="12"/>
        <v>16500</v>
      </c>
      <c r="K429" s="1" t="str">
        <f>VLOOKUP(D429,products!A:D,2,FALSE)</f>
        <v>Home Appliances</v>
      </c>
      <c r="L429" s="1" t="str">
        <f t="shared" si="13"/>
        <v>Nov-2025</v>
      </c>
    </row>
    <row r="430" spans="1:12" x14ac:dyDescent="0.25">
      <c r="A430" s="3" t="s">
        <v>646</v>
      </c>
      <c r="B430" s="6">
        <v>45786</v>
      </c>
      <c r="C430" s="3" t="s">
        <v>12</v>
      </c>
      <c r="D430" s="3" t="s">
        <v>51</v>
      </c>
      <c r="E430" s="3" t="s">
        <v>78</v>
      </c>
      <c r="F430" s="3">
        <v>1</v>
      </c>
      <c r="G430" s="3">
        <v>0</v>
      </c>
      <c r="H430" s="1">
        <f>VLOOKUP(D430,products!A:D,4,FALSE)</f>
        <v>18000</v>
      </c>
      <c r="I430" s="1" t="str">
        <f>VLOOKUP(C430,branches!A:B,2,FALSE)</f>
        <v>Naija Mart Wuse</v>
      </c>
      <c r="J430" s="1">
        <f t="shared" si="12"/>
        <v>18000</v>
      </c>
      <c r="K430" s="1" t="str">
        <f>VLOOKUP(D430,products!A:D,2,FALSE)</f>
        <v>Small Gadgets</v>
      </c>
      <c r="L430" s="1" t="str">
        <f t="shared" si="13"/>
        <v>May-2025</v>
      </c>
    </row>
    <row r="431" spans="1:12" x14ac:dyDescent="0.25">
      <c r="A431" s="3" t="s">
        <v>647</v>
      </c>
      <c r="B431" s="6">
        <v>45832</v>
      </c>
      <c r="C431" s="3" t="s">
        <v>16</v>
      </c>
      <c r="D431" s="3" t="s">
        <v>51</v>
      </c>
      <c r="E431" s="3" t="s">
        <v>648</v>
      </c>
      <c r="F431" s="3">
        <v>3</v>
      </c>
      <c r="G431" s="3">
        <v>15</v>
      </c>
      <c r="H431" s="1">
        <f>VLOOKUP(D431,products!A:D,4,FALSE)</f>
        <v>18000</v>
      </c>
      <c r="I431" s="1" t="str">
        <f>VLOOKUP(C431,branches!A:B,2,FALSE)</f>
        <v>Naija Mart Ikeja</v>
      </c>
      <c r="J431" s="1">
        <f t="shared" si="12"/>
        <v>45900</v>
      </c>
      <c r="K431" s="1" t="str">
        <f>VLOOKUP(D431,products!A:D,2,FALSE)</f>
        <v>Small Gadgets</v>
      </c>
      <c r="L431" s="1" t="str">
        <f t="shared" si="13"/>
        <v>Jun-2025</v>
      </c>
    </row>
    <row r="432" spans="1:12" x14ac:dyDescent="0.25">
      <c r="A432" s="3" t="s">
        <v>649</v>
      </c>
      <c r="B432" s="6">
        <v>45967</v>
      </c>
      <c r="C432" s="3" t="s">
        <v>16</v>
      </c>
      <c r="D432" s="3" t="s">
        <v>49</v>
      </c>
      <c r="E432" s="3" t="s">
        <v>650</v>
      </c>
      <c r="F432" s="3">
        <v>1</v>
      </c>
      <c r="G432" s="3">
        <v>0</v>
      </c>
      <c r="H432" s="1">
        <f>VLOOKUP(D432,products!A:D,4,FALSE)</f>
        <v>28000</v>
      </c>
      <c r="I432" s="1" t="str">
        <f>VLOOKUP(C432,branches!A:B,2,FALSE)</f>
        <v>Naija Mart Ikeja</v>
      </c>
      <c r="J432" s="1">
        <f t="shared" si="12"/>
        <v>28000</v>
      </c>
      <c r="K432" s="1" t="str">
        <f>VLOOKUP(D432,products!A:D,2,FALSE)</f>
        <v>Home Appliances</v>
      </c>
      <c r="L432" s="1" t="str">
        <f t="shared" si="13"/>
        <v>Nov-2025</v>
      </c>
    </row>
    <row r="433" spans="1:12" x14ac:dyDescent="0.25">
      <c r="A433" s="3" t="s">
        <v>651</v>
      </c>
      <c r="B433" s="6">
        <v>45785</v>
      </c>
      <c r="C433" s="3" t="s">
        <v>36</v>
      </c>
      <c r="D433" s="3" t="s">
        <v>46</v>
      </c>
      <c r="E433" s="3" t="s">
        <v>420</v>
      </c>
      <c r="F433" s="3">
        <v>1</v>
      </c>
      <c r="G433" s="3">
        <v>0</v>
      </c>
      <c r="H433" s="1">
        <f>VLOOKUP(D433,products!A:D,4,FALSE)</f>
        <v>62000</v>
      </c>
      <c r="I433" s="1" t="str">
        <f>VLOOKUP(C433,branches!A:B,2,FALSE)</f>
        <v>Naija Mart Sabon Gari</v>
      </c>
      <c r="J433" s="1">
        <f t="shared" si="12"/>
        <v>62000</v>
      </c>
      <c r="K433" s="1" t="str">
        <f>VLOOKUP(D433,products!A:D,2,FALSE)</f>
        <v>Home Appliances</v>
      </c>
      <c r="L433" s="1" t="str">
        <f t="shared" si="13"/>
        <v>May-2025</v>
      </c>
    </row>
    <row r="434" spans="1:12" x14ac:dyDescent="0.25">
      <c r="A434" s="3" t="s">
        <v>652</v>
      </c>
      <c r="B434" s="6">
        <v>45937</v>
      </c>
      <c r="C434" s="3" t="s">
        <v>16</v>
      </c>
      <c r="D434" s="3" t="s">
        <v>56</v>
      </c>
      <c r="E434" s="3" t="s">
        <v>400</v>
      </c>
      <c r="F434" s="3">
        <v>1</v>
      </c>
      <c r="G434" s="3">
        <v>0</v>
      </c>
      <c r="H434" s="1">
        <f>VLOOKUP(D434,products!A:D,4,FALSE)</f>
        <v>285000</v>
      </c>
      <c r="I434" s="1" t="str">
        <f>VLOOKUP(C434,branches!A:B,2,FALSE)</f>
        <v>Naija Mart Ikeja</v>
      </c>
      <c r="J434" s="1">
        <f t="shared" si="12"/>
        <v>285000</v>
      </c>
      <c r="K434" s="1" t="str">
        <f>VLOOKUP(D434,products!A:D,2,FALSE)</f>
        <v>Home Appliances</v>
      </c>
      <c r="L434" s="1" t="str">
        <f t="shared" si="13"/>
        <v>Oct-2025</v>
      </c>
    </row>
    <row r="435" spans="1:12" x14ac:dyDescent="0.25">
      <c r="A435" s="3" t="s">
        <v>653</v>
      </c>
      <c r="B435" s="6">
        <v>45699</v>
      </c>
      <c r="C435" s="3" t="s">
        <v>12</v>
      </c>
      <c r="D435" s="3" t="s">
        <v>26</v>
      </c>
      <c r="E435" s="3" t="s">
        <v>390</v>
      </c>
      <c r="F435" s="3">
        <v>1</v>
      </c>
      <c r="G435" s="3">
        <v>5</v>
      </c>
      <c r="H435" s="1">
        <f>VLOOKUP(D435,products!A:D,4,FALSE)</f>
        <v>145000</v>
      </c>
      <c r="I435" s="1" t="str">
        <f>VLOOKUP(C435,branches!A:B,2,FALSE)</f>
        <v>Naija Mart Wuse</v>
      </c>
      <c r="J435" s="1">
        <f t="shared" si="12"/>
        <v>137750</v>
      </c>
      <c r="K435" s="1" t="str">
        <f>VLOOKUP(D435,products!A:D,2,FALSE)</f>
        <v>Electronics</v>
      </c>
      <c r="L435" s="1" t="str">
        <f t="shared" si="13"/>
        <v>Feb-2025</v>
      </c>
    </row>
    <row r="436" spans="1:12" x14ac:dyDescent="0.25">
      <c r="A436" s="3" t="s">
        <v>654</v>
      </c>
      <c r="B436" s="6">
        <v>45660</v>
      </c>
      <c r="C436" s="3" t="s">
        <v>8</v>
      </c>
      <c r="D436" s="3" t="s">
        <v>94</v>
      </c>
      <c r="E436" s="3" t="s">
        <v>302</v>
      </c>
      <c r="F436" s="3">
        <v>1</v>
      </c>
      <c r="G436" s="3">
        <v>5</v>
      </c>
      <c r="H436" s="1">
        <f>VLOOKUP(D436,products!A:D,4,FALSE)</f>
        <v>320000</v>
      </c>
      <c r="I436" s="1" t="str">
        <f>VLOOKUP(C436,branches!A:B,2,FALSE)</f>
        <v>Naija Mart GRA</v>
      </c>
      <c r="J436" s="1">
        <f t="shared" si="12"/>
        <v>304000</v>
      </c>
      <c r="K436" s="1" t="str">
        <f>VLOOKUP(D436,products!A:D,2,FALSE)</f>
        <v>Electronics</v>
      </c>
      <c r="L436" s="1" t="str">
        <f t="shared" si="13"/>
        <v>Jan-2025</v>
      </c>
    </row>
    <row r="437" spans="1:12" x14ac:dyDescent="0.25">
      <c r="A437" s="3" t="s">
        <v>655</v>
      </c>
      <c r="B437" s="6">
        <v>45694</v>
      </c>
      <c r="C437" s="3" t="s">
        <v>16</v>
      </c>
      <c r="D437" s="3" t="s">
        <v>26</v>
      </c>
      <c r="E437" s="3" t="s">
        <v>41</v>
      </c>
      <c r="F437" s="3">
        <v>1</v>
      </c>
      <c r="G437" s="3">
        <v>0</v>
      </c>
      <c r="H437" s="1">
        <f>VLOOKUP(D437,products!A:D,4,FALSE)</f>
        <v>145000</v>
      </c>
      <c r="I437" s="1" t="str">
        <f>VLOOKUP(C437,branches!A:B,2,FALSE)</f>
        <v>Naija Mart Ikeja</v>
      </c>
      <c r="J437" s="1">
        <f t="shared" si="12"/>
        <v>145000</v>
      </c>
      <c r="K437" s="1" t="str">
        <f>VLOOKUP(D437,products!A:D,2,FALSE)</f>
        <v>Electronics</v>
      </c>
      <c r="L437" s="1" t="str">
        <f t="shared" si="13"/>
        <v>Feb-2025</v>
      </c>
    </row>
    <row r="438" spans="1:12" x14ac:dyDescent="0.25">
      <c r="A438" s="3" t="s">
        <v>656</v>
      </c>
      <c r="B438" s="6">
        <v>45717</v>
      </c>
      <c r="C438" s="3" t="s">
        <v>12</v>
      </c>
      <c r="D438" s="3" t="s">
        <v>59</v>
      </c>
      <c r="E438" s="3" t="s">
        <v>293</v>
      </c>
      <c r="F438" s="3">
        <v>1</v>
      </c>
      <c r="G438" s="3">
        <v>0</v>
      </c>
      <c r="H438" s="1">
        <f>VLOOKUP(D438,products!A:D,4,FALSE)</f>
        <v>15000</v>
      </c>
      <c r="I438" s="1" t="str">
        <f>VLOOKUP(C438,branches!A:B,2,FALSE)</f>
        <v>Naija Mart Wuse</v>
      </c>
      <c r="J438" s="1">
        <f t="shared" si="12"/>
        <v>15000</v>
      </c>
      <c r="K438" s="1" t="str">
        <f>VLOOKUP(D438,products!A:D,2,FALSE)</f>
        <v>Home Appliances</v>
      </c>
      <c r="L438" s="1" t="str">
        <f t="shared" si="13"/>
        <v>Mar-2025</v>
      </c>
    </row>
    <row r="439" spans="1:12" x14ac:dyDescent="0.25">
      <c r="A439" s="3" t="s">
        <v>657</v>
      </c>
      <c r="B439" s="6">
        <v>45768</v>
      </c>
      <c r="C439" s="3" t="s">
        <v>16</v>
      </c>
      <c r="D439" s="3" t="s">
        <v>46</v>
      </c>
      <c r="E439" s="3" t="s">
        <v>360</v>
      </c>
      <c r="F439" s="3">
        <v>1</v>
      </c>
      <c r="G439" s="3">
        <v>10</v>
      </c>
      <c r="H439" s="1">
        <f>VLOOKUP(D439,products!A:D,4,FALSE)</f>
        <v>62000</v>
      </c>
      <c r="I439" s="1" t="str">
        <f>VLOOKUP(C439,branches!A:B,2,FALSE)</f>
        <v>Naija Mart Ikeja</v>
      </c>
      <c r="J439" s="1">
        <f t="shared" si="12"/>
        <v>55800</v>
      </c>
      <c r="K439" s="1" t="str">
        <f>VLOOKUP(D439,products!A:D,2,FALSE)</f>
        <v>Home Appliances</v>
      </c>
      <c r="L439" s="1" t="str">
        <f t="shared" si="13"/>
        <v>Apr-2025</v>
      </c>
    </row>
    <row r="440" spans="1:12" x14ac:dyDescent="0.25">
      <c r="A440" s="3" t="s">
        <v>658</v>
      </c>
      <c r="B440" s="6">
        <v>45977</v>
      </c>
      <c r="C440" s="3" t="s">
        <v>12</v>
      </c>
      <c r="D440" s="3" t="s">
        <v>80</v>
      </c>
      <c r="E440" s="3" t="s">
        <v>659</v>
      </c>
      <c r="F440" s="3">
        <v>1</v>
      </c>
      <c r="G440" s="3">
        <v>10</v>
      </c>
      <c r="H440" s="1">
        <f>VLOOKUP(D440,products!A:D,4,FALSE)</f>
        <v>265000</v>
      </c>
      <c r="I440" s="1" t="str">
        <f>VLOOKUP(C440,branches!A:B,2,FALSE)</f>
        <v>Naija Mart Wuse</v>
      </c>
      <c r="J440" s="1">
        <f t="shared" si="12"/>
        <v>238500</v>
      </c>
      <c r="K440" s="1" t="str">
        <f>VLOOKUP(D440,products!A:D,2,FALSE)</f>
        <v>Home Appliances</v>
      </c>
      <c r="L440" s="1" t="str">
        <f t="shared" si="13"/>
        <v>Nov-2025</v>
      </c>
    </row>
    <row r="441" spans="1:12" x14ac:dyDescent="0.25">
      <c r="A441" s="3" t="s">
        <v>660</v>
      </c>
      <c r="B441" s="6">
        <v>45819</v>
      </c>
      <c r="C441" s="3" t="s">
        <v>16</v>
      </c>
      <c r="D441" s="3" t="s">
        <v>43</v>
      </c>
      <c r="E441" s="3" t="s">
        <v>661</v>
      </c>
      <c r="F441" s="3">
        <v>1</v>
      </c>
      <c r="G441" s="3">
        <v>0</v>
      </c>
      <c r="H441" s="1">
        <f>VLOOKUP(D441,products!A:D,4,FALSE)</f>
        <v>74000</v>
      </c>
      <c r="I441" s="1" t="str">
        <f>VLOOKUP(C441,branches!A:B,2,FALSE)</f>
        <v>Naija Mart Ikeja</v>
      </c>
      <c r="J441" s="1">
        <f t="shared" si="12"/>
        <v>74000</v>
      </c>
      <c r="K441" s="1" t="str">
        <f>VLOOKUP(D441,products!A:D,2,FALSE)</f>
        <v>Home Appliances</v>
      </c>
      <c r="L441" s="1" t="str">
        <f t="shared" si="13"/>
        <v>Jun-2025</v>
      </c>
    </row>
    <row r="442" spans="1:12" x14ac:dyDescent="0.25">
      <c r="A442" s="3" t="s">
        <v>662</v>
      </c>
      <c r="B442" s="6">
        <v>45668</v>
      </c>
      <c r="C442" s="3" t="s">
        <v>16</v>
      </c>
      <c r="D442" s="3" t="s">
        <v>97</v>
      </c>
      <c r="E442" s="3" t="s">
        <v>663</v>
      </c>
      <c r="F442" s="3">
        <v>1</v>
      </c>
      <c r="G442" s="3">
        <v>5</v>
      </c>
      <c r="H442" s="1">
        <f>VLOOKUP(D442,products!A:D,4,FALSE)</f>
        <v>21000</v>
      </c>
      <c r="I442" s="1" t="str">
        <f>VLOOKUP(C442,branches!A:B,2,FALSE)</f>
        <v>Naija Mart Ikeja</v>
      </c>
      <c r="J442" s="1">
        <f t="shared" si="12"/>
        <v>19950</v>
      </c>
      <c r="K442" s="1" t="str">
        <f>VLOOKUP(D442,products!A:D,2,FALSE)</f>
        <v>Small Gadgets</v>
      </c>
      <c r="L442" s="1" t="str">
        <f t="shared" si="13"/>
        <v>Jan-2025</v>
      </c>
    </row>
    <row r="443" spans="1:12" x14ac:dyDescent="0.25">
      <c r="A443" s="3" t="s">
        <v>664</v>
      </c>
      <c r="B443" s="6">
        <v>45665</v>
      </c>
      <c r="C443" s="3" t="s">
        <v>12</v>
      </c>
      <c r="D443" s="3" t="s">
        <v>23</v>
      </c>
      <c r="E443" s="3" t="s">
        <v>62</v>
      </c>
      <c r="F443" s="3">
        <v>1</v>
      </c>
      <c r="G443" s="3">
        <v>0</v>
      </c>
      <c r="H443" s="1">
        <f>VLOOKUP(D443,products!A:D,4,FALSE)</f>
        <v>19500</v>
      </c>
      <c r="I443" s="1" t="str">
        <f>VLOOKUP(C443,branches!A:B,2,FALSE)</f>
        <v>Naija Mart Wuse</v>
      </c>
      <c r="J443" s="1">
        <f t="shared" si="12"/>
        <v>19500</v>
      </c>
      <c r="K443" s="1" t="str">
        <f>VLOOKUP(D443,products!A:D,2,FALSE)</f>
        <v>Home Appliances</v>
      </c>
      <c r="L443" s="1" t="str">
        <f t="shared" si="13"/>
        <v>Jan-2025</v>
      </c>
    </row>
    <row r="444" spans="1:12" x14ac:dyDescent="0.25">
      <c r="A444" s="3" t="s">
        <v>665</v>
      </c>
      <c r="B444" s="6">
        <v>46007</v>
      </c>
      <c r="C444" s="3" t="s">
        <v>8</v>
      </c>
      <c r="D444" s="3" t="s">
        <v>94</v>
      </c>
      <c r="E444" s="3" t="s">
        <v>136</v>
      </c>
      <c r="F444" s="3">
        <v>1</v>
      </c>
      <c r="G444" s="3">
        <v>10</v>
      </c>
      <c r="H444" s="1">
        <f>VLOOKUP(D444,products!A:D,4,FALSE)</f>
        <v>320000</v>
      </c>
      <c r="I444" s="1" t="str">
        <f>VLOOKUP(C444,branches!A:B,2,FALSE)</f>
        <v>Naija Mart GRA</v>
      </c>
      <c r="J444" s="1">
        <f t="shared" si="12"/>
        <v>288000</v>
      </c>
      <c r="K444" s="1" t="str">
        <f>VLOOKUP(D444,products!A:D,2,FALSE)</f>
        <v>Electronics</v>
      </c>
      <c r="L444" s="1" t="str">
        <f t="shared" si="13"/>
        <v>Dec-2025</v>
      </c>
    </row>
    <row r="445" spans="1:12" x14ac:dyDescent="0.25">
      <c r="A445" s="3" t="s">
        <v>666</v>
      </c>
      <c r="B445" s="6">
        <v>45664</v>
      </c>
      <c r="C445" s="3" t="s">
        <v>12</v>
      </c>
      <c r="D445" s="3" t="s">
        <v>51</v>
      </c>
      <c r="E445" s="3" t="s">
        <v>326</v>
      </c>
      <c r="F445" s="3">
        <v>1</v>
      </c>
      <c r="G445" s="3">
        <v>0</v>
      </c>
      <c r="H445" s="1">
        <f>VLOOKUP(D445,products!A:D,4,FALSE)</f>
        <v>18000</v>
      </c>
      <c r="I445" s="1" t="str">
        <f>VLOOKUP(C445,branches!A:B,2,FALSE)</f>
        <v>Naija Mart Wuse</v>
      </c>
      <c r="J445" s="1">
        <f t="shared" si="12"/>
        <v>18000</v>
      </c>
      <c r="K445" s="1" t="str">
        <f>VLOOKUP(D445,products!A:D,2,FALSE)</f>
        <v>Small Gadgets</v>
      </c>
      <c r="L445" s="1" t="str">
        <f t="shared" si="13"/>
        <v>Jan-2025</v>
      </c>
    </row>
    <row r="446" spans="1:12" x14ac:dyDescent="0.25">
      <c r="A446" s="3" t="s">
        <v>667</v>
      </c>
      <c r="B446" s="6">
        <v>45895</v>
      </c>
      <c r="C446" s="3" t="s">
        <v>36</v>
      </c>
      <c r="D446" s="3" t="s">
        <v>94</v>
      </c>
      <c r="E446" s="3" t="s">
        <v>114</v>
      </c>
      <c r="F446" s="3">
        <v>2</v>
      </c>
      <c r="G446" s="3">
        <v>0</v>
      </c>
      <c r="H446" s="1">
        <f>VLOOKUP(D446,products!A:D,4,FALSE)</f>
        <v>320000</v>
      </c>
      <c r="I446" s="1" t="str">
        <f>VLOOKUP(C446,branches!A:B,2,FALSE)</f>
        <v>Naija Mart Sabon Gari</v>
      </c>
      <c r="J446" s="1">
        <f t="shared" si="12"/>
        <v>640000</v>
      </c>
      <c r="K446" s="1" t="str">
        <f>VLOOKUP(D446,products!A:D,2,FALSE)</f>
        <v>Electronics</v>
      </c>
      <c r="L446" s="1" t="str">
        <f t="shared" si="13"/>
        <v>Aug-2025</v>
      </c>
    </row>
    <row r="447" spans="1:12" x14ac:dyDescent="0.25">
      <c r="A447" s="3" t="s">
        <v>668</v>
      </c>
      <c r="B447" s="6">
        <v>45936</v>
      </c>
      <c r="C447" s="3" t="s">
        <v>16</v>
      </c>
      <c r="D447" s="3" t="s">
        <v>51</v>
      </c>
      <c r="E447" s="3" t="s">
        <v>326</v>
      </c>
      <c r="F447" s="3">
        <v>2</v>
      </c>
      <c r="G447" s="3">
        <v>0</v>
      </c>
      <c r="H447" s="1">
        <f>VLOOKUP(D447,products!A:D,4,FALSE)</f>
        <v>18000</v>
      </c>
      <c r="I447" s="1" t="str">
        <f>VLOOKUP(C447,branches!A:B,2,FALSE)</f>
        <v>Naija Mart Ikeja</v>
      </c>
      <c r="J447" s="1">
        <f t="shared" si="12"/>
        <v>36000</v>
      </c>
      <c r="K447" s="1" t="str">
        <f>VLOOKUP(D447,products!A:D,2,FALSE)</f>
        <v>Small Gadgets</v>
      </c>
      <c r="L447" s="1" t="str">
        <f t="shared" si="13"/>
        <v>Oct-2025</v>
      </c>
    </row>
    <row r="448" spans="1:12" x14ac:dyDescent="0.25">
      <c r="A448" s="3" t="s">
        <v>669</v>
      </c>
      <c r="B448" s="6">
        <v>45874</v>
      </c>
      <c r="C448" s="3" t="s">
        <v>36</v>
      </c>
      <c r="D448" s="3" t="s">
        <v>9</v>
      </c>
      <c r="E448" s="3" t="s">
        <v>198</v>
      </c>
      <c r="F448" s="3">
        <v>1</v>
      </c>
      <c r="G448" s="3">
        <v>0</v>
      </c>
      <c r="H448" s="1">
        <f>VLOOKUP(D448,products!A:D,4,FALSE)</f>
        <v>410000</v>
      </c>
      <c r="I448" s="1" t="str">
        <f>VLOOKUP(C448,branches!A:B,2,FALSE)</f>
        <v>Naija Mart Sabon Gari</v>
      </c>
      <c r="J448" s="1">
        <f t="shared" si="12"/>
        <v>410000</v>
      </c>
      <c r="K448" s="1" t="str">
        <f>VLOOKUP(D448,products!A:D,2,FALSE)</f>
        <v>Home Appliances</v>
      </c>
      <c r="L448" s="1" t="str">
        <f t="shared" si="13"/>
        <v>Aug-2025</v>
      </c>
    </row>
    <row r="449" spans="1:12" x14ac:dyDescent="0.25">
      <c r="A449" s="3" t="s">
        <v>670</v>
      </c>
      <c r="B449" s="6">
        <v>45963</v>
      </c>
      <c r="C449" s="3" t="s">
        <v>12</v>
      </c>
      <c r="D449" s="3" t="s">
        <v>43</v>
      </c>
      <c r="E449" s="3" t="s">
        <v>245</v>
      </c>
      <c r="F449" s="3">
        <v>1</v>
      </c>
      <c r="G449" s="3">
        <v>5</v>
      </c>
      <c r="H449" s="1">
        <f>VLOOKUP(D449,products!A:D,4,FALSE)</f>
        <v>74000</v>
      </c>
      <c r="I449" s="1" t="str">
        <f>VLOOKUP(C449,branches!A:B,2,FALSE)</f>
        <v>Naija Mart Wuse</v>
      </c>
      <c r="J449" s="1">
        <f t="shared" si="12"/>
        <v>70300</v>
      </c>
      <c r="K449" s="1" t="str">
        <f>VLOOKUP(D449,products!A:D,2,FALSE)</f>
        <v>Home Appliances</v>
      </c>
      <c r="L449" s="1" t="str">
        <f t="shared" si="13"/>
        <v>Nov-2025</v>
      </c>
    </row>
    <row r="450" spans="1:12" x14ac:dyDescent="0.25">
      <c r="A450" s="3" t="s">
        <v>671</v>
      </c>
      <c r="B450" s="6">
        <v>45998</v>
      </c>
      <c r="C450" s="3" t="s">
        <v>12</v>
      </c>
      <c r="D450" s="3" t="s">
        <v>37</v>
      </c>
      <c r="E450" s="3" t="s">
        <v>367</v>
      </c>
      <c r="F450" s="3">
        <v>1</v>
      </c>
      <c r="G450" s="3">
        <v>15</v>
      </c>
      <c r="H450" s="1">
        <f>VLOOKUP(D450,products!A:D,4,FALSE)</f>
        <v>8500</v>
      </c>
      <c r="I450" s="1" t="str">
        <f>VLOOKUP(C450,branches!A:B,2,FALSE)</f>
        <v>Naija Mart Wuse</v>
      </c>
      <c r="J450" s="1">
        <f t="shared" si="12"/>
        <v>7225</v>
      </c>
      <c r="K450" s="1" t="str">
        <f>VLOOKUP(D450,products!A:D,2,FALSE)</f>
        <v>Small Gadgets</v>
      </c>
      <c r="L450" s="1" t="str">
        <f t="shared" si="13"/>
        <v>Dec-2025</v>
      </c>
    </row>
    <row r="451" spans="1:12" x14ac:dyDescent="0.25">
      <c r="A451" s="3" t="s">
        <v>672</v>
      </c>
      <c r="B451" s="6">
        <v>45820</v>
      </c>
      <c r="C451" s="3" t="s">
        <v>8</v>
      </c>
      <c r="D451" s="3" t="s">
        <v>43</v>
      </c>
      <c r="E451" s="3" t="s">
        <v>673</v>
      </c>
      <c r="F451" s="3">
        <v>1</v>
      </c>
      <c r="G451" s="3">
        <v>20</v>
      </c>
      <c r="H451" s="1">
        <f>VLOOKUP(D451,products!A:D,4,FALSE)</f>
        <v>74000</v>
      </c>
      <c r="I451" s="1" t="str">
        <f>VLOOKUP(C451,branches!A:B,2,FALSE)</f>
        <v>Naija Mart GRA</v>
      </c>
      <c r="J451" s="1">
        <f t="shared" ref="J451:J514" si="14">F451*H451*(1-G451/100)</f>
        <v>59200</v>
      </c>
      <c r="K451" s="1" t="str">
        <f>VLOOKUP(D451,products!A:D,2,FALSE)</f>
        <v>Home Appliances</v>
      </c>
      <c r="L451" s="1" t="str">
        <f t="shared" ref="L451:L514" si="15">TEXT(B451,"mmm-yyyy")</f>
        <v>Jun-2025</v>
      </c>
    </row>
    <row r="452" spans="1:12" x14ac:dyDescent="0.25">
      <c r="A452" s="3" t="s">
        <v>674</v>
      </c>
      <c r="B452" s="6">
        <v>45811</v>
      </c>
      <c r="C452" s="3" t="s">
        <v>36</v>
      </c>
      <c r="D452" s="3" t="s">
        <v>40</v>
      </c>
      <c r="E452" s="3" t="s">
        <v>174</v>
      </c>
      <c r="F452" s="3">
        <v>2</v>
      </c>
      <c r="G452" s="3">
        <v>0</v>
      </c>
      <c r="H452" s="1">
        <f>VLOOKUP(D452,products!A:D,4,FALSE)</f>
        <v>195000</v>
      </c>
      <c r="I452" s="1" t="str">
        <f>VLOOKUP(C452,branches!A:B,2,FALSE)</f>
        <v>Naija Mart Sabon Gari</v>
      </c>
      <c r="J452" s="1">
        <f t="shared" si="14"/>
        <v>390000</v>
      </c>
      <c r="K452" s="1" t="str">
        <f>VLOOKUP(D452,products!A:D,2,FALSE)</f>
        <v>Generators &amp; Power</v>
      </c>
      <c r="L452" s="1" t="str">
        <f t="shared" si="15"/>
        <v>Jun-2025</v>
      </c>
    </row>
    <row r="453" spans="1:12" x14ac:dyDescent="0.25">
      <c r="A453" s="3" t="s">
        <v>675</v>
      </c>
      <c r="B453" s="6">
        <v>45833</v>
      </c>
      <c r="C453" s="3" t="s">
        <v>36</v>
      </c>
      <c r="D453" s="3" t="s">
        <v>56</v>
      </c>
      <c r="E453" s="3" t="s">
        <v>623</v>
      </c>
      <c r="F453" s="3">
        <v>1</v>
      </c>
      <c r="G453" s="3">
        <v>0</v>
      </c>
      <c r="H453" s="1">
        <f>VLOOKUP(D453,products!A:D,4,FALSE)</f>
        <v>285000</v>
      </c>
      <c r="I453" s="1" t="str">
        <f>VLOOKUP(C453,branches!A:B,2,FALSE)</f>
        <v>Naija Mart Sabon Gari</v>
      </c>
      <c r="J453" s="1">
        <f t="shared" si="14"/>
        <v>285000</v>
      </c>
      <c r="K453" s="1" t="str">
        <f>VLOOKUP(D453,products!A:D,2,FALSE)</f>
        <v>Home Appliances</v>
      </c>
      <c r="L453" s="1" t="str">
        <f t="shared" si="15"/>
        <v>Jun-2025</v>
      </c>
    </row>
    <row r="454" spans="1:12" x14ac:dyDescent="0.25">
      <c r="A454" s="3" t="s">
        <v>676</v>
      </c>
      <c r="B454" s="6">
        <v>46014</v>
      </c>
      <c r="C454" s="3" t="s">
        <v>12</v>
      </c>
      <c r="D454" s="3" t="s">
        <v>69</v>
      </c>
      <c r="E454" s="3" t="s">
        <v>461</v>
      </c>
      <c r="F454" s="3">
        <v>1</v>
      </c>
      <c r="G454" s="3">
        <v>5</v>
      </c>
      <c r="H454" s="1">
        <f>VLOOKUP(D454,products!A:D,4,FALSE)</f>
        <v>45000</v>
      </c>
      <c r="I454" s="1" t="str">
        <f>VLOOKUP(C454,branches!A:B,2,FALSE)</f>
        <v>Naija Mart Wuse</v>
      </c>
      <c r="J454" s="1">
        <f t="shared" si="14"/>
        <v>42750</v>
      </c>
      <c r="K454" s="1" t="str">
        <f>VLOOKUP(D454,products!A:D,2,FALSE)</f>
        <v>Electronics</v>
      </c>
      <c r="L454" s="1" t="str">
        <f t="shared" si="15"/>
        <v>Dec-2025</v>
      </c>
    </row>
    <row r="455" spans="1:12" x14ac:dyDescent="0.25">
      <c r="A455" s="3" t="s">
        <v>677</v>
      </c>
      <c r="B455" s="6">
        <v>45827</v>
      </c>
      <c r="C455" s="3" t="s">
        <v>36</v>
      </c>
      <c r="D455" s="3" t="s">
        <v>197</v>
      </c>
      <c r="E455" s="3" t="s">
        <v>207</v>
      </c>
      <c r="F455" s="3">
        <v>3</v>
      </c>
      <c r="G455" s="3">
        <v>5</v>
      </c>
      <c r="H455" s="1">
        <f>VLOOKUP(D455,products!A:D,4,FALSE)</f>
        <v>78000</v>
      </c>
      <c r="I455" s="1" t="str">
        <f>VLOOKUP(C455,branches!A:B,2,FALSE)</f>
        <v>Naija Mart Sabon Gari</v>
      </c>
      <c r="J455" s="1">
        <f t="shared" si="14"/>
        <v>222300</v>
      </c>
      <c r="K455" s="1" t="str">
        <f>VLOOKUP(D455,products!A:D,2,FALSE)</f>
        <v>Electronics</v>
      </c>
      <c r="L455" s="1" t="str">
        <f t="shared" si="15"/>
        <v>Jun-2025</v>
      </c>
    </row>
    <row r="456" spans="1:12" x14ac:dyDescent="0.25">
      <c r="A456" s="3" t="s">
        <v>678</v>
      </c>
      <c r="B456" s="6">
        <v>45813</v>
      </c>
      <c r="C456" s="3" t="s">
        <v>36</v>
      </c>
      <c r="D456" s="3" t="s">
        <v>69</v>
      </c>
      <c r="E456" s="3" t="s">
        <v>302</v>
      </c>
      <c r="F456" s="3">
        <v>1</v>
      </c>
      <c r="G456" s="3">
        <v>10</v>
      </c>
      <c r="H456" s="1">
        <f>VLOOKUP(D456,products!A:D,4,FALSE)</f>
        <v>45000</v>
      </c>
      <c r="I456" s="1" t="str">
        <f>VLOOKUP(C456,branches!A:B,2,FALSE)</f>
        <v>Naija Mart Sabon Gari</v>
      </c>
      <c r="J456" s="1">
        <f t="shared" si="14"/>
        <v>40500</v>
      </c>
      <c r="K456" s="1" t="str">
        <f>VLOOKUP(D456,products!A:D,2,FALSE)</f>
        <v>Electronics</v>
      </c>
      <c r="L456" s="1" t="str">
        <f t="shared" si="15"/>
        <v>Jun-2025</v>
      </c>
    </row>
    <row r="457" spans="1:12" x14ac:dyDescent="0.25">
      <c r="A457" s="3" t="s">
        <v>679</v>
      </c>
      <c r="B457" s="6">
        <v>45962</v>
      </c>
      <c r="C457" s="3" t="s">
        <v>8</v>
      </c>
      <c r="D457" s="3" t="s">
        <v>94</v>
      </c>
      <c r="E457" s="3" t="s">
        <v>274</v>
      </c>
      <c r="F457" s="3">
        <v>1</v>
      </c>
      <c r="G457" s="3">
        <v>5</v>
      </c>
      <c r="H457" s="1">
        <f>VLOOKUP(D457,products!A:D,4,FALSE)</f>
        <v>320000</v>
      </c>
      <c r="I457" s="1" t="str">
        <f>VLOOKUP(C457,branches!A:B,2,FALSE)</f>
        <v>Naija Mart GRA</v>
      </c>
      <c r="J457" s="1">
        <f t="shared" si="14"/>
        <v>304000</v>
      </c>
      <c r="K457" s="1" t="str">
        <f>VLOOKUP(D457,products!A:D,2,FALSE)</f>
        <v>Electronics</v>
      </c>
      <c r="L457" s="1" t="str">
        <f t="shared" si="15"/>
        <v>Nov-2025</v>
      </c>
    </row>
    <row r="458" spans="1:12" x14ac:dyDescent="0.25">
      <c r="A458" s="3" t="s">
        <v>680</v>
      </c>
      <c r="B458" s="6">
        <v>45701</v>
      </c>
      <c r="C458" s="3" t="s">
        <v>12</v>
      </c>
      <c r="D458" s="3" t="s">
        <v>91</v>
      </c>
      <c r="E458" s="3" t="s">
        <v>313</v>
      </c>
      <c r="F458" s="3">
        <v>1</v>
      </c>
      <c r="G458" s="3">
        <v>0</v>
      </c>
      <c r="H458" s="1">
        <f>VLOOKUP(D458,products!A:D,4,FALSE)</f>
        <v>5200</v>
      </c>
      <c r="I458" s="1" t="str">
        <f>VLOOKUP(C458,branches!A:B,2,FALSE)</f>
        <v>Naija Mart Wuse</v>
      </c>
      <c r="J458" s="1">
        <f t="shared" si="14"/>
        <v>5200</v>
      </c>
      <c r="K458" s="1" t="str">
        <f>VLOOKUP(D458,products!A:D,2,FALSE)</f>
        <v>Small Gadgets</v>
      </c>
      <c r="L458" s="1" t="str">
        <f t="shared" si="15"/>
        <v>Feb-2025</v>
      </c>
    </row>
    <row r="459" spans="1:12" x14ac:dyDescent="0.25">
      <c r="A459" s="3" t="s">
        <v>681</v>
      </c>
      <c r="B459" s="6">
        <v>45680</v>
      </c>
      <c r="C459" s="3" t="s">
        <v>36</v>
      </c>
      <c r="D459" s="3" t="s">
        <v>43</v>
      </c>
      <c r="E459" s="3" t="s">
        <v>87</v>
      </c>
      <c r="F459" s="3">
        <v>2</v>
      </c>
      <c r="G459" s="3">
        <v>5</v>
      </c>
      <c r="H459" s="1">
        <f>VLOOKUP(D459,products!A:D,4,FALSE)</f>
        <v>74000</v>
      </c>
      <c r="I459" s="1" t="str">
        <f>VLOOKUP(C459,branches!A:B,2,FALSE)</f>
        <v>Naija Mart Sabon Gari</v>
      </c>
      <c r="J459" s="1">
        <f t="shared" si="14"/>
        <v>140600</v>
      </c>
      <c r="K459" s="1" t="str">
        <f>VLOOKUP(D459,products!A:D,2,FALSE)</f>
        <v>Home Appliances</v>
      </c>
      <c r="L459" s="1" t="str">
        <f t="shared" si="15"/>
        <v>Jan-2025</v>
      </c>
    </row>
    <row r="460" spans="1:12" x14ac:dyDescent="0.25">
      <c r="A460" s="3" t="s">
        <v>682</v>
      </c>
      <c r="B460" s="6">
        <v>45672</v>
      </c>
      <c r="C460" s="3" t="s">
        <v>16</v>
      </c>
      <c r="D460" s="3" t="s">
        <v>9</v>
      </c>
      <c r="E460" s="3" t="s">
        <v>683</v>
      </c>
      <c r="F460" s="3">
        <v>2</v>
      </c>
      <c r="G460" s="3">
        <v>5</v>
      </c>
      <c r="H460" s="1">
        <f>VLOOKUP(D460,products!A:D,4,FALSE)</f>
        <v>410000</v>
      </c>
      <c r="I460" s="1" t="str">
        <f>VLOOKUP(C460,branches!A:B,2,FALSE)</f>
        <v>Naija Mart Ikeja</v>
      </c>
      <c r="J460" s="1">
        <f t="shared" si="14"/>
        <v>779000</v>
      </c>
      <c r="K460" s="1" t="str">
        <f>VLOOKUP(D460,products!A:D,2,FALSE)</f>
        <v>Home Appliances</v>
      </c>
      <c r="L460" s="1" t="str">
        <f t="shared" si="15"/>
        <v>Jan-2025</v>
      </c>
    </row>
    <row r="461" spans="1:12" x14ac:dyDescent="0.25">
      <c r="A461" s="3" t="s">
        <v>684</v>
      </c>
      <c r="B461" s="6">
        <v>45970</v>
      </c>
      <c r="C461" s="3" t="s">
        <v>8</v>
      </c>
      <c r="D461" s="3" t="s">
        <v>49</v>
      </c>
      <c r="E461" s="3" t="s">
        <v>10</v>
      </c>
      <c r="F461" s="3">
        <v>2</v>
      </c>
      <c r="G461" s="3">
        <v>0</v>
      </c>
      <c r="H461" s="1">
        <f>VLOOKUP(D461,products!A:D,4,FALSE)</f>
        <v>28000</v>
      </c>
      <c r="I461" s="1" t="str">
        <f>VLOOKUP(C461,branches!A:B,2,FALSE)</f>
        <v>Naija Mart GRA</v>
      </c>
      <c r="J461" s="1">
        <f t="shared" si="14"/>
        <v>56000</v>
      </c>
      <c r="K461" s="1" t="str">
        <f>VLOOKUP(D461,products!A:D,2,FALSE)</f>
        <v>Home Appliances</v>
      </c>
      <c r="L461" s="1" t="str">
        <f t="shared" si="15"/>
        <v>Nov-2025</v>
      </c>
    </row>
    <row r="462" spans="1:12" x14ac:dyDescent="0.25">
      <c r="A462" s="3" t="s">
        <v>685</v>
      </c>
      <c r="B462" s="6">
        <v>45668</v>
      </c>
      <c r="C462" s="3" t="s">
        <v>12</v>
      </c>
      <c r="D462" s="3" t="s">
        <v>126</v>
      </c>
      <c r="E462" s="3" t="s">
        <v>186</v>
      </c>
      <c r="F462" s="3">
        <v>1</v>
      </c>
      <c r="G462" s="3">
        <v>0</v>
      </c>
      <c r="H462" s="1">
        <f>VLOOKUP(D462,products!A:D,4,FALSE)</f>
        <v>185000</v>
      </c>
      <c r="I462" s="1" t="str">
        <f>VLOOKUP(C462,branches!A:B,2,FALSE)</f>
        <v>Naija Mart Wuse</v>
      </c>
      <c r="J462" s="1">
        <f t="shared" si="14"/>
        <v>185000</v>
      </c>
      <c r="K462" s="1" t="str">
        <f>VLOOKUP(D462,products!A:D,2,FALSE)</f>
        <v>Electronics</v>
      </c>
      <c r="L462" s="1" t="str">
        <f t="shared" si="15"/>
        <v>Jan-2025</v>
      </c>
    </row>
    <row r="463" spans="1:12" x14ac:dyDescent="0.25">
      <c r="A463" s="3" t="s">
        <v>686</v>
      </c>
      <c r="B463" s="6">
        <v>45976</v>
      </c>
      <c r="C463" s="3" t="s">
        <v>12</v>
      </c>
      <c r="D463" s="3" t="s">
        <v>26</v>
      </c>
      <c r="E463" s="3" t="s">
        <v>95</v>
      </c>
      <c r="F463" s="3">
        <v>2</v>
      </c>
      <c r="G463" s="3">
        <v>30</v>
      </c>
      <c r="H463" s="1">
        <f>VLOOKUP(D463,products!A:D,4,FALSE)</f>
        <v>145000</v>
      </c>
      <c r="I463" s="1" t="str">
        <f>VLOOKUP(C463,branches!A:B,2,FALSE)</f>
        <v>Naija Mart Wuse</v>
      </c>
      <c r="J463" s="1">
        <f t="shared" si="14"/>
        <v>203000</v>
      </c>
      <c r="K463" s="1" t="str">
        <f>VLOOKUP(D463,products!A:D,2,FALSE)</f>
        <v>Electronics</v>
      </c>
      <c r="L463" s="1" t="str">
        <f t="shared" si="15"/>
        <v>Nov-2025</v>
      </c>
    </row>
    <row r="464" spans="1:12" x14ac:dyDescent="0.25">
      <c r="A464" s="3" t="s">
        <v>687</v>
      </c>
      <c r="B464" s="6">
        <v>45694</v>
      </c>
      <c r="C464" s="3" t="s">
        <v>16</v>
      </c>
      <c r="D464" s="3" t="s">
        <v>40</v>
      </c>
      <c r="E464" s="3" t="s">
        <v>186</v>
      </c>
      <c r="F464" s="3">
        <v>1</v>
      </c>
      <c r="G464" s="3">
        <v>5</v>
      </c>
      <c r="H464" s="1">
        <f>VLOOKUP(D464,products!A:D,4,FALSE)</f>
        <v>195000</v>
      </c>
      <c r="I464" s="1" t="str">
        <f>VLOOKUP(C464,branches!A:B,2,FALSE)</f>
        <v>Naija Mart Ikeja</v>
      </c>
      <c r="J464" s="1">
        <f t="shared" si="14"/>
        <v>185250</v>
      </c>
      <c r="K464" s="1" t="str">
        <f>VLOOKUP(D464,products!A:D,2,FALSE)</f>
        <v>Generators &amp; Power</v>
      </c>
      <c r="L464" s="1" t="str">
        <f t="shared" si="15"/>
        <v>Feb-2025</v>
      </c>
    </row>
    <row r="465" spans="1:12" x14ac:dyDescent="0.25">
      <c r="A465" s="3" t="s">
        <v>688</v>
      </c>
      <c r="B465" s="6">
        <v>45666</v>
      </c>
      <c r="C465" s="3" t="s">
        <v>12</v>
      </c>
      <c r="D465" s="3" t="s">
        <v>149</v>
      </c>
      <c r="E465" s="3" t="s">
        <v>313</v>
      </c>
      <c r="F465" s="3">
        <v>1</v>
      </c>
      <c r="G465" s="3">
        <v>5</v>
      </c>
      <c r="H465" s="1">
        <f>VLOOKUP(D465,products!A:D,4,FALSE)</f>
        <v>6500</v>
      </c>
      <c r="I465" s="1" t="str">
        <f>VLOOKUP(C465,branches!A:B,2,FALSE)</f>
        <v>Naija Mart Wuse</v>
      </c>
      <c r="J465" s="1">
        <f t="shared" si="14"/>
        <v>6175</v>
      </c>
      <c r="K465" s="1" t="str">
        <f>VLOOKUP(D465,products!A:D,2,FALSE)</f>
        <v>Small Gadgets</v>
      </c>
      <c r="L465" s="1" t="str">
        <f t="shared" si="15"/>
        <v>Jan-2025</v>
      </c>
    </row>
    <row r="466" spans="1:12" x14ac:dyDescent="0.25">
      <c r="A466" s="3" t="s">
        <v>689</v>
      </c>
      <c r="B466" s="6">
        <v>45984</v>
      </c>
      <c r="C466" s="3" t="s">
        <v>12</v>
      </c>
      <c r="D466" s="3" t="s">
        <v>126</v>
      </c>
      <c r="E466" s="3" t="s">
        <v>240</v>
      </c>
      <c r="F466" s="3">
        <v>1</v>
      </c>
      <c r="G466" s="3">
        <v>5</v>
      </c>
      <c r="H466" s="1">
        <f>VLOOKUP(D466,products!A:D,4,FALSE)</f>
        <v>185000</v>
      </c>
      <c r="I466" s="1" t="str">
        <f>VLOOKUP(C466,branches!A:B,2,FALSE)</f>
        <v>Naija Mart Wuse</v>
      </c>
      <c r="J466" s="1">
        <f t="shared" si="14"/>
        <v>175750</v>
      </c>
      <c r="K466" s="1" t="str">
        <f>VLOOKUP(D466,products!A:D,2,FALSE)</f>
        <v>Electronics</v>
      </c>
      <c r="L466" s="1" t="str">
        <f t="shared" si="15"/>
        <v>Nov-2025</v>
      </c>
    </row>
    <row r="467" spans="1:12" x14ac:dyDescent="0.25">
      <c r="A467" s="3" t="s">
        <v>690</v>
      </c>
      <c r="B467" s="6">
        <v>45717</v>
      </c>
      <c r="C467" s="3" t="s">
        <v>8</v>
      </c>
      <c r="D467" s="3" t="s">
        <v>40</v>
      </c>
      <c r="E467" s="3" t="s">
        <v>691</v>
      </c>
      <c r="F467" s="3">
        <v>1</v>
      </c>
      <c r="G467" s="3">
        <v>0</v>
      </c>
      <c r="H467" s="1">
        <f>VLOOKUP(D467,products!A:D,4,FALSE)</f>
        <v>195000</v>
      </c>
      <c r="I467" s="1" t="str">
        <f>VLOOKUP(C467,branches!A:B,2,FALSE)</f>
        <v>Naija Mart GRA</v>
      </c>
      <c r="J467" s="1">
        <f t="shared" si="14"/>
        <v>195000</v>
      </c>
      <c r="K467" s="1" t="str">
        <f>VLOOKUP(D467,products!A:D,2,FALSE)</f>
        <v>Generators &amp; Power</v>
      </c>
      <c r="L467" s="1" t="str">
        <f t="shared" si="15"/>
        <v>Mar-2025</v>
      </c>
    </row>
    <row r="468" spans="1:12" x14ac:dyDescent="0.25">
      <c r="A468" s="3" t="s">
        <v>692</v>
      </c>
      <c r="B468" s="6">
        <v>45857</v>
      </c>
      <c r="C468" s="3" t="s">
        <v>16</v>
      </c>
      <c r="D468" s="3" t="s">
        <v>40</v>
      </c>
      <c r="E468" s="3" t="s">
        <v>693</v>
      </c>
      <c r="F468" s="3">
        <v>1</v>
      </c>
      <c r="G468" s="3">
        <v>15</v>
      </c>
      <c r="H468" s="1">
        <f>VLOOKUP(D468,products!A:D,4,FALSE)</f>
        <v>195000</v>
      </c>
      <c r="I468" s="1" t="str">
        <f>VLOOKUP(C468,branches!A:B,2,FALSE)</f>
        <v>Naija Mart Ikeja</v>
      </c>
      <c r="J468" s="1">
        <f t="shared" si="14"/>
        <v>165750</v>
      </c>
      <c r="K468" s="1" t="str">
        <f>VLOOKUP(D468,products!A:D,2,FALSE)</f>
        <v>Generators &amp; Power</v>
      </c>
      <c r="L468" s="1" t="str">
        <f t="shared" si="15"/>
        <v>Jul-2025</v>
      </c>
    </row>
    <row r="469" spans="1:12" x14ac:dyDescent="0.25">
      <c r="A469" s="3" t="s">
        <v>694</v>
      </c>
      <c r="B469" s="6">
        <v>45873</v>
      </c>
      <c r="C469" s="3" t="s">
        <v>16</v>
      </c>
      <c r="D469" s="3" t="s">
        <v>40</v>
      </c>
      <c r="E469" s="3" t="s">
        <v>189</v>
      </c>
      <c r="F469" s="3">
        <v>2</v>
      </c>
      <c r="G469" s="3">
        <v>5</v>
      </c>
      <c r="H469" s="1">
        <f>VLOOKUP(D469,products!A:D,4,FALSE)</f>
        <v>195000</v>
      </c>
      <c r="I469" s="1" t="str">
        <f>VLOOKUP(C469,branches!A:B,2,FALSE)</f>
        <v>Naija Mart Ikeja</v>
      </c>
      <c r="J469" s="1">
        <f t="shared" si="14"/>
        <v>370500</v>
      </c>
      <c r="K469" s="1" t="str">
        <f>VLOOKUP(D469,products!A:D,2,FALSE)</f>
        <v>Generators &amp; Power</v>
      </c>
      <c r="L469" s="1" t="str">
        <f t="shared" si="15"/>
        <v>Aug-2025</v>
      </c>
    </row>
    <row r="470" spans="1:12" x14ac:dyDescent="0.25">
      <c r="A470" s="3" t="s">
        <v>695</v>
      </c>
      <c r="B470" s="6">
        <v>45843</v>
      </c>
      <c r="C470" s="3" t="s">
        <v>36</v>
      </c>
      <c r="D470" s="3" t="s">
        <v>51</v>
      </c>
      <c r="E470" s="3" t="s">
        <v>269</v>
      </c>
      <c r="F470" s="3">
        <v>3</v>
      </c>
      <c r="G470" s="3">
        <v>5</v>
      </c>
      <c r="H470" s="1">
        <f>VLOOKUP(D470,products!A:D,4,FALSE)</f>
        <v>18000</v>
      </c>
      <c r="I470" s="1" t="str">
        <f>VLOOKUP(C470,branches!A:B,2,FALSE)</f>
        <v>Naija Mart Sabon Gari</v>
      </c>
      <c r="J470" s="1">
        <f t="shared" si="14"/>
        <v>51300</v>
      </c>
      <c r="K470" s="1" t="str">
        <f>VLOOKUP(D470,products!A:D,2,FALSE)</f>
        <v>Small Gadgets</v>
      </c>
      <c r="L470" s="1" t="str">
        <f t="shared" si="15"/>
        <v>Jul-2025</v>
      </c>
    </row>
    <row r="471" spans="1:12" x14ac:dyDescent="0.25">
      <c r="A471" s="3" t="s">
        <v>696</v>
      </c>
      <c r="B471" s="6">
        <v>46018</v>
      </c>
      <c r="C471" s="3" t="s">
        <v>12</v>
      </c>
      <c r="D471" s="3" t="s">
        <v>49</v>
      </c>
      <c r="E471" s="3" t="s">
        <v>274</v>
      </c>
      <c r="F471" s="3">
        <v>1</v>
      </c>
      <c r="G471" s="3">
        <v>20</v>
      </c>
      <c r="H471" s="1">
        <f>VLOOKUP(D471,products!A:D,4,FALSE)</f>
        <v>28000</v>
      </c>
      <c r="I471" s="1" t="str">
        <f>VLOOKUP(C471,branches!A:B,2,FALSE)</f>
        <v>Naija Mart Wuse</v>
      </c>
      <c r="J471" s="1">
        <f t="shared" si="14"/>
        <v>22400</v>
      </c>
      <c r="K471" s="1" t="str">
        <f>VLOOKUP(D471,products!A:D,2,FALSE)</f>
        <v>Home Appliances</v>
      </c>
      <c r="L471" s="1" t="str">
        <f t="shared" si="15"/>
        <v>Dec-2025</v>
      </c>
    </row>
    <row r="472" spans="1:12" x14ac:dyDescent="0.25">
      <c r="A472" s="3" t="s">
        <v>697</v>
      </c>
      <c r="B472" s="6">
        <v>45674</v>
      </c>
      <c r="C472" s="3" t="s">
        <v>12</v>
      </c>
      <c r="D472" s="3" t="s">
        <v>56</v>
      </c>
      <c r="E472" s="3" t="s">
        <v>288</v>
      </c>
      <c r="F472" s="3">
        <v>1</v>
      </c>
      <c r="G472" s="3">
        <v>20</v>
      </c>
      <c r="H472" s="1">
        <f>VLOOKUP(D472,products!A:D,4,FALSE)</f>
        <v>285000</v>
      </c>
      <c r="I472" s="1" t="str">
        <f>VLOOKUP(C472,branches!A:B,2,FALSE)</f>
        <v>Naija Mart Wuse</v>
      </c>
      <c r="J472" s="1">
        <f t="shared" si="14"/>
        <v>228000</v>
      </c>
      <c r="K472" s="1" t="str">
        <f>VLOOKUP(D472,products!A:D,2,FALSE)</f>
        <v>Home Appliances</v>
      </c>
      <c r="L472" s="1" t="str">
        <f t="shared" si="15"/>
        <v>Jan-2025</v>
      </c>
    </row>
    <row r="473" spans="1:12" x14ac:dyDescent="0.25">
      <c r="A473" s="3" t="s">
        <v>698</v>
      </c>
      <c r="B473" s="6">
        <v>45783</v>
      </c>
      <c r="C473" s="3" t="s">
        <v>16</v>
      </c>
      <c r="D473" s="3" t="s">
        <v>46</v>
      </c>
      <c r="E473" s="3" t="s">
        <v>118</v>
      </c>
      <c r="F473" s="3">
        <v>2</v>
      </c>
      <c r="G473" s="3">
        <v>0</v>
      </c>
      <c r="H473" s="1">
        <f>VLOOKUP(D473,products!A:D,4,FALSE)</f>
        <v>62000</v>
      </c>
      <c r="I473" s="1" t="str">
        <f>VLOOKUP(C473,branches!A:B,2,FALSE)</f>
        <v>Naija Mart Ikeja</v>
      </c>
      <c r="J473" s="1">
        <f t="shared" si="14"/>
        <v>124000</v>
      </c>
      <c r="K473" s="1" t="str">
        <f>VLOOKUP(D473,products!A:D,2,FALSE)</f>
        <v>Home Appliances</v>
      </c>
      <c r="L473" s="1" t="str">
        <f t="shared" si="15"/>
        <v>May-2025</v>
      </c>
    </row>
    <row r="474" spans="1:12" x14ac:dyDescent="0.25">
      <c r="A474" s="3" t="s">
        <v>699</v>
      </c>
      <c r="B474" s="6">
        <v>45674</v>
      </c>
      <c r="C474" s="3" t="s">
        <v>16</v>
      </c>
      <c r="D474" s="3" t="s">
        <v>126</v>
      </c>
      <c r="E474" s="3" t="s">
        <v>448</v>
      </c>
      <c r="F474" s="3">
        <v>1</v>
      </c>
      <c r="G474" s="3">
        <v>15</v>
      </c>
      <c r="H474" s="1">
        <f>VLOOKUP(D474,products!A:D,4,FALSE)</f>
        <v>185000</v>
      </c>
      <c r="I474" s="1" t="str">
        <f>VLOOKUP(C474,branches!A:B,2,FALSE)</f>
        <v>Naija Mart Ikeja</v>
      </c>
      <c r="J474" s="1">
        <f t="shared" si="14"/>
        <v>157250</v>
      </c>
      <c r="K474" s="1" t="str">
        <f>VLOOKUP(D474,products!A:D,2,FALSE)</f>
        <v>Electronics</v>
      </c>
      <c r="L474" s="1" t="str">
        <f t="shared" si="15"/>
        <v>Jan-2025</v>
      </c>
    </row>
    <row r="475" spans="1:12" x14ac:dyDescent="0.25">
      <c r="A475" s="3" t="s">
        <v>700</v>
      </c>
      <c r="B475" s="6">
        <v>46016</v>
      </c>
      <c r="C475" s="3" t="s">
        <v>16</v>
      </c>
      <c r="D475" s="3" t="s">
        <v>40</v>
      </c>
      <c r="E475" s="3" t="s">
        <v>693</v>
      </c>
      <c r="F475" s="3">
        <v>1</v>
      </c>
      <c r="G475" s="3">
        <v>20</v>
      </c>
      <c r="H475" s="1">
        <f>VLOOKUP(D475,products!A:D,4,FALSE)</f>
        <v>195000</v>
      </c>
      <c r="I475" s="1" t="str">
        <f>VLOOKUP(C475,branches!A:B,2,FALSE)</f>
        <v>Naija Mart Ikeja</v>
      </c>
      <c r="J475" s="1">
        <f t="shared" si="14"/>
        <v>156000</v>
      </c>
      <c r="K475" s="1" t="str">
        <f>VLOOKUP(D475,products!A:D,2,FALSE)</f>
        <v>Generators &amp; Power</v>
      </c>
      <c r="L475" s="1" t="str">
        <f t="shared" si="15"/>
        <v>Dec-2025</v>
      </c>
    </row>
    <row r="476" spans="1:12" x14ac:dyDescent="0.25">
      <c r="A476" s="3" t="s">
        <v>701</v>
      </c>
      <c r="B476" s="6">
        <v>45870</v>
      </c>
      <c r="C476" s="3" t="s">
        <v>36</v>
      </c>
      <c r="D476" s="3" t="s">
        <v>20</v>
      </c>
      <c r="E476" s="3" t="s">
        <v>376</v>
      </c>
      <c r="F476" s="3">
        <v>1</v>
      </c>
      <c r="G476" s="3">
        <v>10</v>
      </c>
      <c r="H476" s="1">
        <f>VLOOKUP(D476,products!A:D,4,FALSE)</f>
        <v>38000</v>
      </c>
      <c r="I476" s="1" t="str">
        <f>VLOOKUP(C476,branches!A:B,2,FALSE)</f>
        <v>Naija Mart Sabon Gari</v>
      </c>
      <c r="J476" s="1">
        <f t="shared" si="14"/>
        <v>34200</v>
      </c>
      <c r="K476" s="1" t="str">
        <f>VLOOKUP(D476,products!A:D,2,FALSE)</f>
        <v>Electronics</v>
      </c>
      <c r="L476" s="1" t="str">
        <f t="shared" si="15"/>
        <v>Aug-2025</v>
      </c>
    </row>
    <row r="477" spans="1:12" x14ac:dyDescent="0.25">
      <c r="A477" s="3" t="s">
        <v>702</v>
      </c>
      <c r="B477" s="6">
        <v>45744</v>
      </c>
      <c r="C477" s="3" t="s">
        <v>16</v>
      </c>
      <c r="D477" s="3" t="s">
        <v>64</v>
      </c>
      <c r="E477" s="3" t="s">
        <v>159</v>
      </c>
      <c r="F477" s="3">
        <v>1</v>
      </c>
      <c r="G477" s="3">
        <v>15</v>
      </c>
      <c r="H477" s="1">
        <f>VLOOKUP(D477,products!A:D,4,FALSE)</f>
        <v>175000</v>
      </c>
      <c r="I477" s="1" t="str">
        <f>VLOOKUP(C477,branches!A:B,2,FALSE)</f>
        <v>Naija Mart Ikeja</v>
      </c>
      <c r="J477" s="1">
        <f t="shared" si="14"/>
        <v>148750</v>
      </c>
      <c r="K477" s="1" t="str">
        <f>VLOOKUP(D477,products!A:D,2,FALSE)</f>
        <v>Generators &amp; Power</v>
      </c>
      <c r="L477" s="1" t="str">
        <f t="shared" si="15"/>
        <v>Mar-2025</v>
      </c>
    </row>
    <row r="478" spans="1:12" x14ac:dyDescent="0.25">
      <c r="A478" s="3" t="s">
        <v>317</v>
      </c>
      <c r="B478" s="6">
        <v>45842</v>
      </c>
      <c r="C478" s="3" t="s">
        <v>16</v>
      </c>
      <c r="D478" s="3" t="s">
        <v>149</v>
      </c>
      <c r="E478" s="3" t="s">
        <v>62</v>
      </c>
      <c r="F478" s="3">
        <v>1</v>
      </c>
      <c r="G478" s="3">
        <v>10</v>
      </c>
      <c r="H478" s="1">
        <f>VLOOKUP(D478,products!A:D,4,FALSE)</f>
        <v>6500</v>
      </c>
      <c r="I478" s="1" t="str">
        <f>VLOOKUP(C478,branches!A:B,2,FALSE)</f>
        <v>Naija Mart Ikeja</v>
      </c>
      <c r="J478" s="1">
        <f t="shared" si="14"/>
        <v>5850</v>
      </c>
      <c r="K478" s="1" t="str">
        <f>VLOOKUP(D478,products!A:D,2,FALSE)</f>
        <v>Small Gadgets</v>
      </c>
      <c r="L478" s="1" t="str">
        <f t="shared" si="15"/>
        <v>Jul-2025</v>
      </c>
    </row>
    <row r="479" spans="1:12" x14ac:dyDescent="0.25">
      <c r="A479" s="3" t="s">
        <v>703</v>
      </c>
      <c r="B479" s="6">
        <v>46005</v>
      </c>
      <c r="C479" s="3" t="s">
        <v>8</v>
      </c>
      <c r="D479" s="3" t="s">
        <v>37</v>
      </c>
      <c r="E479" s="3" t="s">
        <v>134</v>
      </c>
      <c r="F479" s="3">
        <v>1</v>
      </c>
      <c r="G479" s="3">
        <v>10</v>
      </c>
      <c r="H479" s="1">
        <f>VLOOKUP(D479,products!A:D,4,FALSE)</f>
        <v>8500</v>
      </c>
      <c r="I479" s="1" t="str">
        <f>VLOOKUP(C479,branches!A:B,2,FALSE)</f>
        <v>Naija Mart GRA</v>
      </c>
      <c r="J479" s="1">
        <f t="shared" si="14"/>
        <v>7650</v>
      </c>
      <c r="K479" s="1" t="str">
        <f>VLOOKUP(D479,products!A:D,2,FALSE)</f>
        <v>Small Gadgets</v>
      </c>
      <c r="L479" s="1" t="str">
        <f t="shared" si="15"/>
        <v>Dec-2025</v>
      </c>
    </row>
    <row r="480" spans="1:12" x14ac:dyDescent="0.25">
      <c r="A480" s="3" t="s">
        <v>375</v>
      </c>
      <c r="B480" s="6">
        <v>45750</v>
      </c>
      <c r="C480" s="3" t="s">
        <v>36</v>
      </c>
      <c r="D480" s="3" t="s">
        <v>9</v>
      </c>
      <c r="E480" s="3" t="s">
        <v>376</v>
      </c>
      <c r="F480" s="3">
        <v>3</v>
      </c>
      <c r="G480" s="3">
        <v>0</v>
      </c>
      <c r="H480" s="1">
        <f>VLOOKUP(D480,products!A:D,4,FALSE)</f>
        <v>410000</v>
      </c>
      <c r="I480" s="1" t="str">
        <f>VLOOKUP(C480,branches!A:B,2,FALSE)</f>
        <v>Naija Mart Sabon Gari</v>
      </c>
      <c r="J480" s="1">
        <f t="shared" si="14"/>
        <v>1230000</v>
      </c>
      <c r="K480" s="1" t="str">
        <f>VLOOKUP(D480,products!A:D,2,FALSE)</f>
        <v>Home Appliances</v>
      </c>
      <c r="L480" s="1" t="str">
        <f t="shared" si="15"/>
        <v>Apr-2025</v>
      </c>
    </row>
    <row r="481" spans="1:12" x14ac:dyDescent="0.25">
      <c r="A481" s="3" t="s">
        <v>704</v>
      </c>
      <c r="B481" s="6">
        <v>45992</v>
      </c>
      <c r="C481" s="3" t="s">
        <v>12</v>
      </c>
      <c r="D481" s="3" t="s">
        <v>49</v>
      </c>
      <c r="E481" s="3" t="s">
        <v>136</v>
      </c>
      <c r="F481" s="3">
        <v>1</v>
      </c>
      <c r="G481" s="3">
        <v>0</v>
      </c>
      <c r="H481" s="1">
        <f>VLOOKUP(D481,products!A:D,4,FALSE)</f>
        <v>28000</v>
      </c>
      <c r="I481" s="1" t="str">
        <f>VLOOKUP(C481,branches!A:B,2,FALSE)</f>
        <v>Naija Mart Wuse</v>
      </c>
      <c r="J481" s="1">
        <f t="shared" si="14"/>
        <v>28000</v>
      </c>
      <c r="K481" s="1" t="str">
        <f>VLOOKUP(D481,products!A:D,2,FALSE)</f>
        <v>Home Appliances</v>
      </c>
      <c r="L481" s="1" t="str">
        <f t="shared" si="15"/>
        <v>Dec-2025</v>
      </c>
    </row>
    <row r="482" spans="1:12" x14ac:dyDescent="0.25">
      <c r="A482" s="3" t="s">
        <v>705</v>
      </c>
      <c r="B482" s="6">
        <v>45750</v>
      </c>
      <c r="C482" s="3" t="s">
        <v>16</v>
      </c>
      <c r="D482" s="3" t="s">
        <v>37</v>
      </c>
      <c r="E482" s="3" t="s">
        <v>143</v>
      </c>
      <c r="F482" s="3">
        <v>2</v>
      </c>
      <c r="G482" s="3">
        <v>0</v>
      </c>
      <c r="H482" s="1">
        <f>VLOOKUP(D482,products!A:D,4,FALSE)</f>
        <v>8500</v>
      </c>
      <c r="I482" s="1" t="str">
        <f>VLOOKUP(C482,branches!A:B,2,FALSE)</f>
        <v>Naija Mart Ikeja</v>
      </c>
      <c r="J482" s="1">
        <f t="shared" si="14"/>
        <v>17000</v>
      </c>
      <c r="K482" s="1" t="str">
        <f>VLOOKUP(D482,products!A:D,2,FALSE)</f>
        <v>Small Gadgets</v>
      </c>
      <c r="L482" s="1" t="str">
        <f t="shared" si="15"/>
        <v>Apr-2025</v>
      </c>
    </row>
    <row r="483" spans="1:12" x14ac:dyDescent="0.25">
      <c r="A483" s="3" t="s">
        <v>706</v>
      </c>
      <c r="B483" s="6">
        <v>45861</v>
      </c>
      <c r="C483" s="3" t="s">
        <v>8</v>
      </c>
      <c r="D483" s="3" t="s">
        <v>59</v>
      </c>
      <c r="E483" s="3" t="s">
        <v>648</v>
      </c>
      <c r="F483" s="3">
        <v>1</v>
      </c>
      <c r="G483" s="3">
        <v>0</v>
      </c>
      <c r="H483" s="1">
        <f>VLOOKUP(D483,products!A:D,4,FALSE)</f>
        <v>15000</v>
      </c>
      <c r="I483" s="1" t="str">
        <f>VLOOKUP(C483,branches!A:B,2,FALSE)</f>
        <v>Naija Mart GRA</v>
      </c>
      <c r="J483" s="1">
        <f t="shared" si="14"/>
        <v>15000</v>
      </c>
      <c r="K483" s="1" t="str">
        <f>VLOOKUP(D483,products!A:D,2,FALSE)</f>
        <v>Home Appliances</v>
      </c>
      <c r="L483" s="1" t="str">
        <f t="shared" si="15"/>
        <v>Jul-2025</v>
      </c>
    </row>
    <row r="484" spans="1:12" x14ac:dyDescent="0.25">
      <c r="A484" s="3" t="s">
        <v>707</v>
      </c>
      <c r="B484" s="6">
        <v>45901</v>
      </c>
      <c r="C484" s="3" t="s">
        <v>16</v>
      </c>
      <c r="D484" s="3" t="s">
        <v>64</v>
      </c>
      <c r="E484" s="3" t="s">
        <v>34</v>
      </c>
      <c r="F484" s="3">
        <v>1</v>
      </c>
      <c r="G484" s="3">
        <v>15</v>
      </c>
      <c r="H484" s="1">
        <f>VLOOKUP(D484,products!A:D,4,FALSE)</f>
        <v>175000</v>
      </c>
      <c r="I484" s="1" t="str">
        <f>VLOOKUP(C484,branches!A:B,2,FALSE)</f>
        <v>Naija Mart Ikeja</v>
      </c>
      <c r="J484" s="1">
        <f t="shared" si="14"/>
        <v>148750</v>
      </c>
      <c r="K484" s="1" t="str">
        <f>VLOOKUP(D484,products!A:D,2,FALSE)</f>
        <v>Generators &amp; Power</v>
      </c>
      <c r="L484" s="1" t="str">
        <f t="shared" si="15"/>
        <v>Sep-2025</v>
      </c>
    </row>
    <row r="485" spans="1:12" x14ac:dyDescent="0.25">
      <c r="A485" s="3" t="s">
        <v>708</v>
      </c>
      <c r="B485" s="6">
        <v>46005</v>
      </c>
      <c r="C485" s="3" t="s">
        <v>36</v>
      </c>
      <c r="D485" s="3" t="s">
        <v>64</v>
      </c>
      <c r="E485" s="3" t="s">
        <v>205</v>
      </c>
      <c r="F485" s="3">
        <v>1</v>
      </c>
      <c r="G485" s="3">
        <v>5</v>
      </c>
      <c r="H485" s="1">
        <f>VLOOKUP(D485,products!A:D,4,FALSE)</f>
        <v>175000</v>
      </c>
      <c r="I485" s="1" t="str">
        <f>VLOOKUP(C485,branches!A:B,2,FALSE)</f>
        <v>Naija Mart Sabon Gari</v>
      </c>
      <c r="J485" s="1">
        <f t="shared" si="14"/>
        <v>166250</v>
      </c>
      <c r="K485" s="1" t="str">
        <f>VLOOKUP(D485,products!A:D,2,FALSE)</f>
        <v>Generators &amp; Power</v>
      </c>
      <c r="L485" s="1" t="str">
        <f t="shared" si="15"/>
        <v>Dec-2025</v>
      </c>
    </row>
    <row r="486" spans="1:12" x14ac:dyDescent="0.25">
      <c r="A486" s="3" t="s">
        <v>709</v>
      </c>
      <c r="B486" s="6">
        <v>45767</v>
      </c>
      <c r="C486" s="3" t="s">
        <v>36</v>
      </c>
      <c r="D486" s="3" t="s">
        <v>258</v>
      </c>
      <c r="E486" s="3" t="s">
        <v>526</v>
      </c>
      <c r="F486" s="3">
        <v>2</v>
      </c>
      <c r="G486" s="3">
        <v>5</v>
      </c>
      <c r="H486" s="1">
        <f>VLOOKUP(D486,products!A:D,4,FALSE)</f>
        <v>95000</v>
      </c>
      <c r="I486" s="1" t="str">
        <f>VLOOKUP(C486,branches!A:B,2,FALSE)</f>
        <v>Naija Mart Sabon Gari</v>
      </c>
      <c r="J486" s="1">
        <f t="shared" si="14"/>
        <v>180500</v>
      </c>
      <c r="K486" s="1" t="str">
        <f>VLOOKUP(D486,products!A:D,2,FALSE)</f>
        <v>Electronics</v>
      </c>
      <c r="L486" s="1" t="str">
        <f t="shared" si="15"/>
        <v>Apr-2025</v>
      </c>
    </row>
    <row r="487" spans="1:12" x14ac:dyDescent="0.25">
      <c r="A487" s="3" t="s">
        <v>710</v>
      </c>
      <c r="B487" s="6">
        <v>45855</v>
      </c>
      <c r="C487" s="3" t="s">
        <v>16</v>
      </c>
      <c r="D487" s="3" t="s">
        <v>91</v>
      </c>
      <c r="E487" s="3" t="s">
        <v>297</v>
      </c>
      <c r="F487" s="3">
        <v>1</v>
      </c>
      <c r="G487" s="3">
        <v>5</v>
      </c>
      <c r="H487" s="1">
        <f>VLOOKUP(D487,products!A:D,4,FALSE)</f>
        <v>5200</v>
      </c>
      <c r="I487" s="1" t="str">
        <f>VLOOKUP(C487,branches!A:B,2,FALSE)</f>
        <v>Naija Mart Ikeja</v>
      </c>
      <c r="J487" s="1">
        <f t="shared" si="14"/>
        <v>4940</v>
      </c>
      <c r="K487" s="1" t="str">
        <f>VLOOKUP(D487,products!A:D,2,FALSE)</f>
        <v>Small Gadgets</v>
      </c>
      <c r="L487" s="1" t="str">
        <f t="shared" si="15"/>
        <v>Jul-2025</v>
      </c>
    </row>
    <row r="488" spans="1:12" x14ac:dyDescent="0.25">
      <c r="A488" s="3" t="s">
        <v>711</v>
      </c>
      <c r="B488" s="6">
        <v>45785</v>
      </c>
      <c r="C488" s="3" t="s">
        <v>12</v>
      </c>
      <c r="D488" s="3" t="s">
        <v>149</v>
      </c>
      <c r="E488" s="3" t="s">
        <v>302</v>
      </c>
      <c r="F488" s="3">
        <v>1</v>
      </c>
      <c r="G488" s="3">
        <v>10</v>
      </c>
      <c r="H488" s="1">
        <f>VLOOKUP(D488,products!A:D,4,FALSE)</f>
        <v>6500</v>
      </c>
      <c r="I488" s="1" t="str">
        <f>VLOOKUP(C488,branches!A:B,2,FALSE)</f>
        <v>Naija Mart Wuse</v>
      </c>
      <c r="J488" s="1">
        <f t="shared" si="14"/>
        <v>5850</v>
      </c>
      <c r="K488" s="1" t="str">
        <f>VLOOKUP(D488,products!A:D,2,FALSE)</f>
        <v>Small Gadgets</v>
      </c>
      <c r="L488" s="1" t="str">
        <f t="shared" si="15"/>
        <v>May-2025</v>
      </c>
    </row>
    <row r="489" spans="1:12" x14ac:dyDescent="0.25">
      <c r="A489" s="3" t="s">
        <v>712</v>
      </c>
      <c r="B489" s="6">
        <v>45985</v>
      </c>
      <c r="C489" s="3" t="s">
        <v>16</v>
      </c>
      <c r="D489" s="3" t="s">
        <v>69</v>
      </c>
      <c r="E489" s="3" t="s">
        <v>367</v>
      </c>
      <c r="F489" s="3">
        <v>2</v>
      </c>
      <c r="G489" s="3">
        <v>20</v>
      </c>
      <c r="H489" s="1">
        <f>VLOOKUP(D489,products!A:D,4,FALSE)</f>
        <v>45000</v>
      </c>
      <c r="I489" s="1" t="str">
        <f>VLOOKUP(C489,branches!A:B,2,FALSE)</f>
        <v>Naija Mart Ikeja</v>
      </c>
      <c r="J489" s="1">
        <f t="shared" si="14"/>
        <v>72000</v>
      </c>
      <c r="K489" s="1" t="str">
        <f>VLOOKUP(D489,products!A:D,2,FALSE)</f>
        <v>Electronics</v>
      </c>
      <c r="L489" s="1" t="str">
        <f t="shared" si="15"/>
        <v>Nov-2025</v>
      </c>
    </row>
    <row r="490" spans="1:12" x14ac:dyDescent="0.25">
      <c r="A490" s="3" t="s">
        <v>713</v>
      </c>
      <c r="B490" s="6">
        <v>45718</v>
      </c>
      <c r="C490" s="3" t="s">
        <v>36</v>
      </c>
      <c r="D490" s="3" t="s">
        <v>13</v>
      </c>
      <c r="E490" s="3" t="s">
        <v>116</v>
      </c>
      <c r="F490" s="3">
        <v>1</v>
      </c>
      <c r="G490" s="3">
        <v>0</v>
      </c>
      <c r="H490" s="1">
        <f>VLOOKUP(D490,products!A:D,4,FALSE)</f>
        <v>24000</v>
      </c>
      <c r="I490" s="1" t="str">
        <f>VLOOKUP(C490,branches!A:B,2,FALSE)</f>
        <v>Naija Mart Sabon Gari</v>
      </c>
      <c r="J490" s="1">
        <f t="shared" si="14"/>
        <v>24000</v>
      </c>
      <c r="K490" s="1" t="str">
        <f>VLOOKUP(D490,products!A:D,2,FALSE)</f>
        <v>Home Appliances</v>
      </c>
      <c r="L490" s="1" t="str">
        <f t="shared" si="15"/>
        <v>Mar-2025</v>
      </c>
    </row>
    <row r="491" spans="1:12" x14ac:dyDescent="0.25">
      <c r="A491" s="3" t="s">
        <v>714</v>
      </c>
      <c r="B491" s="6">
        <v>45858</v>
      </c>
      <c r="C491" s="3" t="s">
        <v>36</v>
      </c>
      <c r="D491" s="3" t="s">
        <v>43</v>
      </c>
      <c r="E491" s="3" t="s">
        <v>715</v>
      </c>
      <c r="F491" s="3">
        <v>1</v>
      </c>
      <c r="G491" s="3">
        <v>0</v>
      </c>
      <c r="H491" s="1">
        <f>VLOOKUP(D491,products!A:D,4,FALSE)</f>
        <v>74000</v>
      </c>
      <c r="I491" s="1" t="str">
        <f>VLOOKUP(C491,branches!A:B,2,FALSE)</f>
        <v>Naija Mart Sabon Gari</v>
      </c>
      <c r="J491" s="1">
        <f t="shared" si="14"/>
        <v>74000</v>
      </c>
      <c r="K491" s="1" t="str">
        <f>VLOOKUP(D491,products!A:D,2,FALSE)</f>
        <v>Home Appliances</v>
      </c>
      <c r="L491" s="1" t="str">
        <f t="shared" si="15"/>
        <v>Jul-2025</v>
      </c>
    </row>
    <row r="492" spans="1:12" x14ac:dyDescent="0.25">
      <c r="A492" s="3" t="s">
        <v>716</v>
      </c>
      <c r="B492" s="6">
        <v>45771</v>
      </c>
      <c r="C492" s="3" t="s">
        <v>16</v>
      </c>
      <c r="D492" s="3" t="s">
        <v>20</v>
      </c>
      <c r="E492" s="3" t="s">
        <v>95</v>
      </c>
      <c r="F492" s="3">
        <v>1</v>
      </c>
      <c r="G492" s="3">
        <v>0</v>
      </c>
      <c r="H492" s="1">
        <f>VLOOKUP(D492,products!A:D,4,FALSE)</f>
        <v>38000</v>
      </c>
      <c r="I492" s="1" t="str">
        <f>VLOOKUP(C492,branches!A:B,2,FALSE)</f>
        <v>Naija Mart Ikeja</v>
      </c>
      <c r="J492" s="1">
        <f t="shared" si="14"/>
        <v>38000</v>
      </c>
      <c r="K492" s="1" t="str">
        <f>VLOOKUP(D492,products!A:D,2,FALSE)</f>
        <v>Electronics</v>
      </c>
      <c r="L492" s="1" t="str">
        <f t="shared" si="15"/>
        <v>Apr-2025</v>
      </c>
    </row>
    <row r="493" spans="1:12" x14ac:dyDescent="0.25">
      <c r="A493" s="3" t="s">
        <v>717</v>
      </c>
      <c r="B493" s="6">
        <v>45758</v>
      </c>
      <c r="C493" s="3" t="s">
        <v>36</v>
      </c>
      <c r="D493" s="3" t="s">
        <v>23</v>
      </c>
      <c r="E493" s="3" t="s">
        <v>376</v>
      </c>
      <c r="F493" s="3">
        <v>1</v>
      </c>
      <c r="G493" s="3">
        <v>5</v>
      </c>
      <c r="H493" s="1">
        <f>VLOOKUP(D493,products!A:D,4,FALSE)</f>
        <v>19500</v>
      </c>
      <c r="I493" s="1" t="str">
        <f>VLOOKUP(C493,branches!A:B,2,FALSE)</f>
        <v>Naija Mart Sabon Gari</v>
      </c>
      <c r="J493" s="1">
        <f t="shared" si="14"/>
        <v>18525</v>
      </c>
      <c r="K493" s="1" t="str">
        <f>VLOOKUP(D493,products!A:D,2,FALSE)</f>
        <v>Home Appliances</v>
      </c>
      <c r="L493" s="1" t="str">
        <f t="shared" si="15"/>
        <v>Apr-2025</v>
      </c>
    </row>
    <row r="494" spans="1:12" x14ac:dyDescent="0.25">
      <c r="A494" s="3" t="s">
        <v>718</v>
      </c>
      <c r="B494" s="6">
        <v>45926</v>
      </c>
      <c r="C494" s="3" t="s">
        <v>16</v>
      </c>
      <c r="D494" s="3" t="s">
        <v>37</v>
      </c>
      <c r="E494" s="3" t="s">
        <v>719</v>
      </c>
      <c r="F494" s="3">
        <v>1</v>
      </c>
      <c r="G494" s="3">
        <v>0</v>
      </c>
      <c r="H494" s="1">
        <f>VLOOKUP(D494,products!A:D,4,FALSE)</f>
        <v>8500</v>
      </c>
      <c r="I494" s="1" t="str">
        <f>VLOOKUP(C494,branches!A:B,2,FALSE)</f>
        <v>Naija Mart Ikeja</v>
      </c>
      <c r="J494" s="1">
        <f t="shared" si="14"/>
        <v>8500</v>
      </c>
      <c r="K494" s="1" t="str">
        <f>VLOOKUP(D494,products!A:D,2,FALSE)</f>
        <v>Small Gadgets</v>
      </c>
      <c r="L494" s="1" t="str">
        <f t="shared" si="15"/>
        <v>Sep-2025</v>
      </c>
    </row>
    <row r="495" spans="1:12" x14ac:dyDescent="0.25">
      <c r="A495" s="3" t="s">
        <v>720</v>
      </c>
      <c r="B495" s="6">
        <v>45871</v>
      </c>
      <c r="C495" s="3" t="s">
        <v>16</v>
      </c>
      <c r="D495" s="3" t="s">
        <v>46</v>
      </c>
      <c r="E495" s="3" t="s">
        <v>288</v>
      </c>
      <c r="F495" s="3">
        <v>1</v>
      </c>
      <c r="G495" s="3">
        <v>5</v>
      </c>
      <c r="H495" s="1">
        <f>VLOOKUP(D495,products!A:D,4,FALSE)</f>
        <v>62000</v>
      </c>
      <c r="I495" s="1" t="str">
        <f>VLOOKUP(C495,branches!A:B,2,FALSE)</f>
        <v>Naija Mart Ikeja</v>
      </c>
      <c r="J495" s="1">
        <f t="shared" si="14"/>
        <v>58900</v>
      </c>
      <c r="K495" s="1" t="str">
        <f>VLOOKUP(D495,products!A:D,2,FALSE)</f>
        <v>Home Appliances</v>
      </c>
      <c r="L495" s="1" t="str">
        <f t="shared" si="15"/>
        <v>Aug-2025</v>
      </c>
    </row>
    <row r="496" spans="1:12" x14ac:dyDescent="0.25">
      <c r="A496" s="3" t="s">
        <v>721</v>
      </c>
      <c r="B496" s="6">
        <v>45788</v>
      </c>
      <c r="C496" s="3" t="s">
        <v>16</v>
      </c>
      <c r="D496" s="3" t="s">
        <v>64</v>
      </c>
      <c r="E496" s="3" t="s">
        <v>403</v>
      </c>
      <c r="F496" s="3">
        <v>2</v>
      </c>
      <c r="G496" s="3">
        <v>0</v>
      </c>
      <c r="H496" s="1">
        <f>VLOOKUP(D496,products!A:D,4,FALSE)</f>
        <v>175000</v>
      </c>
      <c r="I496" s="1" t="str">
        <f>VLOOKUP(C496,branches!A:B,2,FALSE)</f>
        <v>Naija Mart Ikeja</v>
      </c>
      <c r="J496" s="1">
        <f t="shared" si="14"/>
        <v>350000</v>
      </c>
      <c r="K496" s="1" t="str">
        <f>VLOOKUP(D496,products!A:D,2,FALSE)</f>
        <v>Generators &amp; Power</v>
      </c>
      <c r="L496" s="1" t="str">
        <f t="shared" si="15"/>
        <v>May-2025</v>
      </c>
    </row>
    <row r="497" spans="1:12" x14ac:dyDescent="0.25">
      <c r="A497" s="3" t="s">
        <v>722</v>
      </c>
      <c r="B497" s="6">
        <v>46007</v>
      </c>
      <c r="C497" s="3" t="s">
        <v>16</v>
      </c>
      <c r="D497" s="3" t="s">
        <v>56</v>
      </c>
      <c r="E497" s="3" t="s">
        <v>279</v>
      </c>
      <c r="F497" s="3">
        <v>1</v>
      </c>
      <c r="G497" s="3">
        <v>25</v>
      </c>
      <c r="H497" s="1">
        <f>VLOOKUP(D497,products!A:D,4,FALSE)</f>
        <v>285000</v>
      </c>
      <c r="I497" s="1" t="str">
        <f>VLOOKUP(C497,branches!A:B,2,FALSE)</f>
        <v>Naija Mart Ikeja</v>
      </c>
      <c r="J497" s="1">
        <f t="shared" si="14"/>
        <v>213750</v>
      </c>
      <c r="K497" s="1" t="str">
        <f>VLOOKUP(D497,products!A:D,2,FALSE)</f>
        <v>Home Appliances</v>
      </c>
      <c r="L497" s="1" t="str">
        <f t="shared" si="15"/>
        <v>Dec-2025</v>
      </c>
    </row>
    <row r="498" spans="1:12" x14ac:dyDescent="0.25">
      <c r="A498" s="3" t="s">
        <v>723</v>
      </c>
      <c r="B498" s="6">
        <v>45730</v>
      </c>
      <c r="C498" s="3" t="s">
        <v>16</v>
      </c>
      <c r="D498" s="3" t="s">
        <v>13</v>
      </c>
      <c r="E498" s="3" t="s">
        <v>279</v>
      </c>
      <c r="F498" s="3">
        <v>1</v>
      </c>
      <c r="G498" s="3">
        <v>5</v>
      </c>
      <c r="H498" s="1">
        <f>VLOOKUP(D498,products!A:D,4,FALSE)</f>
        <v>24000</v>
      </c>
      <c r="I498" s="1" t="str">
        <f>VLOOKUP(C498,branches!A:B,2,FALSE)</f>
        <v>Naija Mart Ikeja</v>
      </c>
      <c r="J498" s="1">
        <f t="shared" si="14"/>
        <v>22800</v>
      </c>
      <c r="K498" s="1" t="str">
        <f>VLOOKUP(D498,products!A:D,2,FALSE)</f>
        <v>Home Appliances</v>
      </c>
      <c r="L498" s="1" t="str">
        <f t="shared" si="15"/>
        <v>Mar-2025</v>
      </c>
    </row>
    <row r="499" spans="1:12" x14ac:dyDescent="0.25">
      <c r="A499" s="3" t="s">
        <v>724</v>
      </c>
      <c r="B499" s="6">
        <v>45800</v>
      </c>
      <c r="C499" s="3" t="s">
        <v>16</v>
      </c>
      <c r="D499" s="3" t="s">
        <v>37</v>
      </c>
      <c r="E499" s="3" t="s">
        <v>343</v>
      </c>
      <c r="F499" s="3">
        <v>2</v>
      </c>
      <c r="G499" s="3">
        <v>0</v>
      </c>
      <c r="H499" s="1">
        <f>VLOOKUP(D499,products!A:D,4,FALSE)</f>
        <v>8500</v>
      </c>
      <c r="I499" s="1" t="str">
        <f>VLOOKUP(C499,branches!A:B,2,FALSE)</f>
        <v>Naija Mart Ikeja</v>
      </c>
      <c r="J499" s="1">
        <f t="shared" si="14"/>
        <v>17000</v>
      </c>
      <c r="K499" s="1" t="str">
        <f>VLOOKUP(D499,products!A:D,2,FALSE)</f>
        <v>Small Gadgets</v>
      </c>
      <c r="L499" s="1" t="str">
        <f t="shared" si="15"/>
        <v>May-2025</v>
      </c>
    </row>
    <row r="500" spans="1:12" x14ac:dyDescent="0.25">
      <c r="A500" s="3" t="s">
        <v>725</v>
      </c>
      <c r="B500" s="6">
        <v>45981</v>
      </c>
      <c r="C500" s="3" t="s">
        <v>12</v>
      </c>
      <c r="D500" s="3" t="s">
        <v>13</v>
      </c>
      <c r="E500" s="3" t="s">
        <v>27</v>
      </c>
      <c r="F500" s="3">
        <v>1</v>
      </c>
      <c r="G500" s="3">
        <v>20</v>
      </c>
      <c r="H500" s="1">
        <f>VLOOKUP(D500,products!A:D,4,FALSE)</f>
        <v>24000</v>
      </c>
      <c r="I500" s="1" t="str">
        <f>VLOOKUP(C500,branches!A:B,2,FALSE)</f>
        <v>Naija Mart Wuse</v>
      </c>
      <c r="J500" s="1">
        <f t="shared" si="14"/>
        <v>19200</v>
      </c>
      <c r="K500" s="1" t="str">
        <f>VLOOKUP(D500,products!A:D,2,FALSE)</f>
        <v>Home Appliances</v>
      </c>
      <c r="L500" s="1" t="str">
        <f t="shared" si="15"/>
        <v>Nov-2025</v>
      </c>
    </row>
    <row r="501" spans="1:12" x14ac:dyDescent="0.25">
      <c r="A501" s="3" t="s">
        <v>726</v>
      </c>
      <c r="B501" s="6">
        <v>45968</v>
      </c>
      <c r="C501" s="3" t="s">
        <v>16</v>
      </c>
      <c r="D501" s="3" t="s">
        <v>9</v>
      </c>
      <c r="E501" s="3" t="s">
        <v>163</v>
      </c>
      <c r="F501" s="3">
        <v>1</v>
      </c>
      <c r="G501" s="3">
        <v>5</v>
      </c>
      <c r="H501" s="1">
        <f>VLOOKUP(D501,products!A:D,4,FALSE)</f>
        <v>410000</v>
      </c>
      <c r="I501" s="1" t="str">
        <f>VLOOKUP(C501,branches!A:B,2,FALSE)</f>
        <v>Naija Mart Ikeja</v>
      </c>
      <c r="J501" s="1">
        <f t="shared" si="14"/>
        <v>389500</v>
      </c>
      <c r="K501" s="1" t="str">
        <f>VLOOKUP(D501,products!A:D,2,FALSE)</f>
        <v>Home Appliances</v>
      </c>
      <c r="L501" s="1" t="str">
        <f t="shared" si="15"/>
        <v>Nov-2025</v>
      </c>
    </row>
    <row r="502" spans="1:12" x14ac:dyDescent="0.25">
      <c r="A502" s="3" t="s">
        <v>727</v>
      </c>
      <c r="B502" s="6">
        <v>45884</v>
      </c>
      <c r="C502" s="3" t="s">
        <v>36</v>
      </c>
      <c r="D502" s="3" t="s">
        <v>33</v>
      </c>
      <c r="E502" s="3" t="s">
        <v>551</v>
      </c>
      <c r="F502" s="3">
        <v>2</v>
      </c>
      <c r="G502" s="3">
        <v>0</v>
      </c>
      <c r="H502" s="1">
        <f>VLOOKUP(D502,products!A:D,4,FALSE)</f>
        <v>245000</v>
      </c>
      <c r="I502" s="1" t="str">
        <f>VLOOKUP(C502,branches!A:B,2,FALSE)</f>
        <v>Naija Mart Sabon Gari</v>
      </c>
      <c r="J502" s="1">
        <f t="shared" si="14"/>
        <v>490000</v>
      </c>
      <c r="K502" s="1" t="str">
        <f>VLOOKUP(D502,products!A:D,2,FALSE)</f>
        <v>Generators &amp; Power</v>
      </c>
      <c r="L502" s="1" t="str">
        <f t="shared" si="15"/>
        <v>Aug-2025</v>
      </c>
    </row>
    <row r="503" spans="1:12" x14ac:dyDescent="0.25">
      <c r="A503" s="3" t="s">
        <v>728</v>
      </c>
      <c r="B503" s="6">
        <v>45781</v>
      </c>
      <c r="C503" s="3" t="s">
        <v>16</v>
      </c>
      <c r="D503" s="3" t="s">
        <v>149</v>
      </c>
      <c r="E503" s="3" t="s">
        <v>31</v>
      </c>
      <c r="F503" s="3">
        <v>1</v>
      </c>
      <c r="G503" s="3">
        <v>5</v>
      </c>
      <c r="H503" s="1">
        <f>VLOOKUP(D503,products!A:D,4,FALSE)</f>
        <v>6500</v>
      </c>
      <c r="I503" s="1" t="str">
        <f>VLOOKUP(C503,branches!A:B,2,FALSE)</f>
        <v>Naija Mart Ikeja</v>
      </c>
      <c r="J503" s="1">
        <f t="shared" si="14"/>
        <v>6175</v>
      </c>
      <c r="K503" s="1" t="str">
        <f>VLOOKUP(D503,products!A:D,2,FALSE)</f>
        <v>Small Gadgets</v>
      </c>
      <c r="L503" s="1" t="str">
        <f t="shared" si="15"/>
        <v>May-2025</v>
      </c>
    </row>
    <row r="504" spans="1:12" x14ac:dyDescent="0.25">
      <c r="A504" s="3" t="s">
        <v>729</v>
      </c>
      <c r="B504" s="6">
        <v>45973</v>
      </c>
      <c r="C504" s="3" t="s">
        <v>12</v>
      </c>
      <c r="D504" s="3" t="s">
        <v>49</v>
      </c>
      <c r="E504" s="3" t="s">
        <v>65</v>
      </c>
      <c r="F504" s="3">
        <v>1</v>
      </c>
      <c r="G504" s="3">
        <v>20</v>
      </c>
      <c r="H504" s="1">
        <f>VLOOKUP(D504,products!A:D,4,FALSE)</f>
        <v>28000</v>
      </c>
      <c r="I504" s="1" t="str">
        <f>VLOOKUP(C504,branches!A:B,2,FALSE)</f>
        <v>Naija Mart Wuse</v>
      </c>
      <c r="J504" s="1">
        <f t="shared" si="14"/>
        <v>22400</v>
      </c>
      <c r="K504" s="1" t="str">
        <f>VLOOKUP(D504,products!A:D,2,FALSE)</f>
        <v>Home Appliances</v>
      </c>
      <c r="L504" s="1" t="str">
        <f t="shared" si="15"/>
        <v>Nov-2025</v>
      </c>
    </row>
    <row r="505" spans="1:12" x14ac:dyDescent="0.25">
      <c r="A505" s="3" t="s">
        <v>730</v>
      </c>
      <c r="B505" s="6">
        <v>45873</v>
      </c>
      <c r="C505" s="3" t="s">
        <v>8</v>
      </c>
      <c r="D505" s="3" t="s">
        <v>91</v>
      </c>
      <c r="E505" s="3" t="s">
        <v>405</v>
      </c>
      <c r="F505" s="3">
        <v>2</v>
      </c>
      <c r="G505" s="3">
        <v>15</v>
      </c>
      <c r="H505" s="1">
        <f>VLOOKUP(D505,products!A:D,4,FALSE)</f>
        <v>5200</v>
      </c>
      <c r="I505" s="1" t="str">
        <f>VLOOKUP(C505,branches!A:B,2,FALSE)</f>
        <v>Naija Mart GRA</v>
      </c>
      <c r="J505" s="1">
        <f t="shared" si="14"/>
        <v>8840</v>
      </c>
      <c r="K505" s="1" t="str">
        <f>VLOOKUP(D505,products!A:D,2,FALSE)</f>
        <v>Small Gadgets</v>
      </c>
      <c r="L505" s="1" t="str">
        <f t="shared" si="15"/>
        <v>Aug-2025</v>
      </c>
    </row>
    <row r="506" spans="1:12" x14ac:dyDescent="0.25">
      <c r="A506" s="3" t="s">
        <v>731</v>
      </c>
      <c r="B506" s="6">
        <v>45955</v>
      </c>
      <c r="C506" s="3" t="s">
        <v>16</v>
      </c>
      <c r="D506" s="3" t="s">
        <v>26</v>
      </c>
      <c r="E506" s="3" t="s">
        <v>104</v>
      </c>
      <c r="F506" s="3">
        <v>1</v>
      </c>
      <c r="G506" s="3">
        <v>0</v>
      </c>
      <c r="H506" s="1">
        <f>VLOOKUP(D506,products!A:D,4,FALSE)</f>
        <v>145000</v>
      </c>
      <c r="I506" s="1" t="str">
        <f>VLOOKUP(C506,branches!A:B,2,FALSE)</f>
        <v>Naija Mart Ikeja</v>
      </c>
      <c r="J506" s="1">
        <f t="shared" si="14"/>
        <v>145000</v>
      </c>
      <c r="K506" s="1" t="str">
        <f>VLOOKUP(D506,products!A:D,2,FALSE)</f>
        <v>Electronics</v>
      </c>
      <c r="L506" s="1" t="str">
        <f t="shared" si="15"/>
        <v>Oct-2025</v>
      </c>
    </row>
    <row r="507" spans="1:12" x14ac:dyDescent="0.25">
      <c r="A507" s="3" t="s">
        <v>732</v>
      </c>
      <c r="B507" s="6">
        <v>45948</v>
      </c>
      <c r="C507" s="3" t="s">
        <v>12</v>
      </c>
      <c r="D507" s="3" t="s">
        <v>91</v>
      </c>
      <c r="E507" s="3" t="s">
        <v>733</v>
      </c>
      <c r="F507" s="3">
        <v>2</v>
      </c>
      <c r="G507" s="3">
        <v>0</v>
      </c>
      <c r="H507" s="1">
        <f>VLOOKUP(D507,products!A:D,4,FALSE)</f>
        <v>5200</v>
      </c>
      <c r="I507" s="1" t="str">
        <f>VLOOKUP(C507,branches!A:B,2,FALSE)</f>
        <v>Naija Mart Wuse</v>
      </c>
      <c r="J507" s="1">
        <f t="shared" si="14"/>
        <v>10400</v>
      </c>
      <c r="K507" s="1" t="str">
        <f>VLOOKUP(D507,products!A:D,2,FALSE)</f>
        <v>Small Gadgets</v>
      </c>
      <c r="L507" s="1" t="str">
        <f t="shared" si="15"/>
        <v>Oct-2025</v>
      </c>
    </row>
    <row r="508" spans="1:12" x14ac:dyDescent="0.25">
      <c r="A508" s="3" t="s">
        <v>734</v>
      </c>
      <c r="B508" s="6">
        <v>45792</v>
      </c>
      <c r="C508" s="3" t="s">
        <v>16</v>
      </c>
      <c r="D508" s="3" t="s">
        <v>9</v>
      </c>
      <c r="E508" s="3" t="s">
        <v>324</v>
      </c>
      <c r="F508" s="3">
        <v>2</v>
      </c>
      <c r="G508" s="3">
        <v>0</v>
      </c>
      <c r="H508" s="1">
        <f>VLOOKUP(D508,products!A:D,4,FALSE)</f>
        <v>410000</v>
      </c>
      <c r="I508" s="1" t="str">
        <f>VLOOKUP(C508,branches!A:B,2,FALSE)</f>
        <v>Naija Mart Ikeja</v>
      </c>
      <c r="J508" s="1">
        <f t="shared" si="14"/>
        <v>820000</v>
      </c>
      <c r="K508" s="1" t="str">
        <f>VLOOKUP(D508,products!A:D,2,FALSE)</f>
        <v>Home Appliances</v>
      </c>
      <c r="L508" s="1" t="str">
        <f t="shared" si="15"/>
        <v>May-2025</v>
      </c>
    </row>
    <row r="509" spans="1:12" x14ac:dyDescent="0.25">
      <c r="A509" s="3" t="s">
        <v>735</v>
      </c>
      <c r="B509" s="6">
        <v>45731</v>
      </c>
      <c r="C509" s="3" t="s">
        <v>16</v>
      </c>
      <c r="D509" s="3" t="s">
        <v>20</v>
      </c>
      <c r="E509" s="3" t="s">
        <v>428</v>
      </c>
      <c r="F509" s="3">
        <v>1</v>
      </c>
      <c r="G509" s="3">
        <v>0</v>
      </c>
      <c r="H509" s="1">
        <f>VLOOKUP(D509,products!A:D,4,FALSE)</f>
        <v>38000</v>
      </c>
      <c r="I509" s="1" t="str">
        <f>VLOOKUP(C509,branches!A:B,2,FALSE)</f>
        <v>Naija Mart Ikeja</v>
      </c>
      <c r="J509" s="1">
        <f t="shared" si="14"/>
        <v>38000</v>
      </c>
      <c r="K509" s="1" t="str">
        <f>VLOOKUP(D509,products!A:D,2,FALSE)</f>
        <v>Electronics</v>
      </c>
      <c r="L509" s="1" t="str">
        <f t="shared" si="15"/>
        <v>Mar-2025</v>
      </c>
    </row>
    <row r="510" spans="1:12" x14ac:dyDescent="0.25">
      <c r="A510" s="3" t="s">
        <v>736</v>
      </c>
      <c r="B510" s="6">
        <v>45949</v>
      </c>
      <c r="C510" s="3" t="s">
        <v>16</v>
      </c>
      <c r="D510" s="3" t="s">
        <v>59</v>
      </c>
      <c r="E510" s="3" t="s">
        <v>21</v>
      </c>
      <c r="F510" s="3">
        <v>3</v>
      </c>
      <c r="G510" s="3">
        <v>0</v>
      </c>
      <c r="H510" s="1">
        <f>VLOOKUP(D510,products!A:D,4,FALSE)</f>
        <v>15000</v>
      </c>
      <c r="I510" s="1" t="str">
        <f>VLOOKUP(C510,branches!A:B,2,FALSE)</f>
        <v>Naija Mart Ikeja</v>
      </c>
      <c r="J510" s="1">
        <f t="shared" si="14"/>
        <v>45000</v>
      </c>
      <c r="K510" s="1" t="str">
        <f>VLOOKUP(D510,products!A:D,2,FALSE)</f>
        <v>Home Appliances</v>
      </c>
      <c r="L510" s="1" t="str">
        <f t="shared" si="15"/>
        <v>Oct-2025</v>
      </c>
    </row>
    <row r="511" spans="1:12" x14ac:dyDescent="0.25">
      <c r="A511" s="3" t="s">
        <v>737</v>
      </c>
      <c r="B511" s="6">
        <v>45820</v>
      </c>
      <c r="C511" s="3" t="s">
        <v>12</v>
      </c>
      <c r="D511" s="3" t="s">
        <v>23</v>
      </c>
      <c r="E511" s="3" t="s">
        <v>738</v>
      </c>
      <c r="F511" s="3">
        <v>1</v>
      </c>
      <c r="G511" s="3">
        <v>5</v>
      </c>
      <c r="H511" s="1">
        <f>VLOOKUP(D511,products!A:D,4,FALSE)</f>
        <v>19500</v>
      </c>
      <c r="I511" s="1" t="str">
        <f>VLOOKUP(C511,branches!A:B,2,FALSE)</f>
        <v>Naija Mart Wuse</v>
      </c>
      <c r="J511" s="1">
        <f t="shared" si="14"/>
        <v>18525</v>
      </c>
      <c r="K511" s="1" t="str">
        <f>VLOOKUP(D511,products!A:D,2,FALSE)</f>
        <v>Home Appliances</v>
      </c>
      <c r="L511" s="1" t="str">
        <f t="shared" si="15"/>
        <v>Jun-2025</v>
      </c>
    </row>
    <row r="512" spans="1:12" x14ac:dyDescent="0.25">
      <c r="A512" s="3" t="s">
        <v>739</v>
      </c>
      <c r="B512" s="6">
        <v>46013</v>
      </c>
      <c r="C512" s="3" t="s">
        <v>16</v>
      </c>
      <c r="D512" s="3" t="s">
        <v>40</v>
      </c>
      <c r="E512" s="3" t="s">
        <v>522</v>
      </c>
      <c r="F512" s="3">
        <v>2</v>
      </c>
      <c r="G512" s="3">
        <v>10</v>
      </c>
      <c r="H512" s="1">
        <f>VLOOKUP(D512,products!A:D,4,FALSE)</f>
        <v>195000</v>
      </c>
      <c r="I512" s="1" t="str">
        <f>VLOOKUP(C512,branches!A:B,2,FALSE)</f>
        <v>Naija Mart Ikeja</v>
      </c>
      <c r="J512" s="1">
        <f t="shared" si="14"/>
        <v>351000</v>
      </c>
      <c r="K512" s="1" t="str">
        <f>VLOOKUP(D512,products!A:D,2,FALSE)</f>
        <v>Generators &amp; Power</v>
      </c>
      <c r="L512" s="1" t="str">
        <f t="shared" si="15"/>
        <v>Dec-2025</v>
      </c>
    </row>
    <row r="513" spans="1:12" x14ac:dyDescent="0.25">
      <c r="A513" s="3" t="s">
        <v>740</v>
      </c>
      <c r="B513" s="6">
        <v>45884</v>
      </c>
      <c r="C513" s="3" t="s">
        <v>8</v>
      </c>
      <c r="D513" s="3" t="s">
        <v>80</v>
      </c>
      <c r="E513" s="3" t="s">
        <v>145</v>
      </c>
      <c r="F513" s="3">
        <v>1</v>
      </c>
      <c r="G513" s="3">
        <v>25</v>
      </c>
      <c r="H513" s="1">
        <f>VLOOKUP(D513,products!A:D,4,FALSE)</f>
        <v>265000</v>
      </c>
      <c r="I513" s="1" t="str">
        <f>VLOOKUP(C513,branches!A:B,2,FALSE)</f>
        <v>Naija Mart GRA</v>
      </c>
      <c r="J513" s="1">
        <f t="shared" si="14"/>
        <v>198750</v>
      </c>
      <c r="K513" s="1" t="str">
        <f>VLOOKUP(D513,products!A:D,2,FALSE)</f>
        <v>Home Appliances</v>
      </c>
      <c r="L513" s="1" t="str">
        <f t="shared" si="15"/>
        <v>Aug-2025</v>
      </c>
    </row>
    <row r="514" spans="1:12" x14ac:dyDescent="0.25">
      <c r="A514" s="3" t="s">
        <v>741</v>
      </c>
      <c r="B514" s="6">
        <v>45985</v>
      </c>
      <c r="C514" s="3" t="s">
        <v>16</v>
      </c>
      <c r="D514" s="3" t="s">
        <v>51</v>
      </c>
      <c r="E514" s="3" t="s">
        <v>461</v>
      </c>
      <c r="F514" s="3">
        <v>1</v>
      </c>
      <c r="G514" s="3">
        <v>10</v>
      </c>
      <c r="H514" s="1">
        <f>VLOOKUP(D514,products!A:D,4,FALSE)</f>
        <v>18000</v>
      </c>
      <c r="I514" s="1" t="str">
        <f>VLOOKUP(C514,branches!A:B,2,FALSE)</f>
        <v>Naija Mart Ikeja</v>
      </c>
      <c r="J514" s="1">
        <f t="shared" si="14"/>
        <v>16200</v>
      </c>
      <c r="K514" s="1" t="str">
        <f>VLOOKUP(D514,products!A:D,2,FALSE)</f>
        <v>Small Gadgets</v>
      </c>
      <c r="L514" s="1" t="str">
        <f t="shared" si="15"/>
        <v>Nov-2025</v>
      </c>
    </row>
    <row r="515" spans="1:12" x14ac:dyDescent="0.25">
      <c r="A515" s="3" t="s">
        <v>742</v>
      </c>
      <c r="B515" s="6">
        <v>45725</v>
      </c>
      <c r="C515" s="3" t="s">
        <v>16</v>
      </c>
      <c r="D515" s="3" t="s">
        <v>51</v>
      </c>
      <c r="E515" s="3" t="s">
        <v>743</v>
      </c>
      <c r="F515" s="3">
        <v>1</v>
      </c>
      <c r="G515" s="3">
        <v>10</v>
      </c>
      <c r="H515" s="1">
        <f>VLOOKUP(D515,products!A:D,4,FALSE)</f>
        <v>18000</v>
      </c>
      <c r="I515" s="1" t="str">
        <f>VLOOKUP(C515,branches!A:B,2,FALSE)</f>
        <v>Naija Mart Ikeja</v>
      </c>
      <c r="J515" s="1">
        <f t="shared" ref="J515:J578" si="16">F515*H515*(1-G515/100)</f>
        <v>16200</v>
      </c>
      <c r="K515" s="1" t="str">
        <f>VLOOKUP(D515,products!A:D,2,FALSE)</f>
        <v>Small Gadgets</v>
      </c>
      <c r="L515" s="1" t="str">
        <f t="shared" ref="L515:L578" si="17">TEXT(B515,"mmm-yyyy")</f>
        <v>Mar-2025</v>
      </c>
    </row>
    <row r="516" spans="1:12" x14ac:dyDescent="0.25">
      <c r="A516" s="3" t="s">
        <v>744</v>
      </c>
      <c r="B516" s="6">
        <v>46007</v>
      </c>
      <c r="C516" s="3" t="s">
        <v>8</v>
      </c>
      <c r="D516" s="3" t="s">
        <v>126</v>
      </c>
      <c r="E516" s="3" t="s">
        <v>430</v>
      </c>
      <c r="F516" s="3">
        <v>1</v>
      </c>
      <c r="G516" s="3">
        <v>10</v>
      </c>
      <c r="H516" s="1">
        <f>VLOOKUP(D516,products!A:D,4,FALSE)</f>
        <v>185000</v>
      </c>
      <c r="I516" s="1" t="str">
        <f>VLOOKUP(C516,branches!A:B,2,FALSE)</f>
        <v>Naija Mart GRA</v>
      </c>
      <c r="J516" s="1">
        <f t="shared" si="16"/>
        <v>166500</v>
      </c>
      <c r="K516" s="1" t="str">
        <f>VLOOKUP(D516,products!A:D,2,FALSE)</f>
        <v>Electronics</v>
      </c>
      <c r="L516" s="1" t="str">
        <f t="shared" si="17"/>
        <v>Dec-2025</v>
      </c>
    </row>
    <row r="517" spans="1:12" x14ac:dyDescent="0.25">
      <c r="A517" s="3" t="s">
        <v>745</v>
      </c>
      <c r="B517" s="6">
        <v>45942</v>
      </c>
      <c r="C517" s="3" t="s">
        <v>16</v>
      </c>
      <c r="D517" s="3" t="s">
        <v>80</v>
      </c>
      <c r="E517" s="3" t="s">
        <v>238</v>
      </c>
      <c r="F517" s="3">
        <v>5</v>
      </c>
      <c r="G517" s="3">
        <v>5</v>
      </c>
      <c r="H517" s="1">
        <f>VLOOKUP(D517,products!A:D,4,FALSE)</f>
        <v>265000</v>
      </c>
      <c r="I517" s="1" t="str">
        <f>VLOOKUP(C517,branches!A:B,2,FALSE)</f>
        <v>Naija Mart Ikeja</v>
      </c>
      <c r="J517" s="1">
        <f t="shared" si="16"/>
        <v>1258750</v>
      </c>
      <c r="K517" s="1" t="str">
        <f>VLOOKUP(D517,products!A:D,2,FALSE)</f>
        <v>Home Appliances</v>
      </c>
      <c r="L517" s="1" t="str">
        <f t="shared" si="17"/>
        <v>Oct-2025</v>
      </c>
    </row>
    <row r="518" spans="1:12" x14ac:dyDescent="0.25">
      <c r="A518" s="3" t="s">
        <v>746</v>
      </c>
      <c r="B518" s="6">
        <v>45973</v>
      </c>
      <c r="C518" s="3" t="s">
        <v>16</v>
      </c>
      <c r="D518" s="3" t="s">
        <v>80</v>
      </c>
      <c r="E518" s="3" t="s">
        <v>174</v>
      </c>
      <c r="F518" s="3">
        <v>2</v>
      </c>
      <c r="G518" s="3">
        <v>10</v>
      </c>
      <c r="H518" s="1">
        <f>VLOOKUP(D518,products!A:D,4,FALSE)</f>
        <v>265000</v>
      </c>
      <c r="I518" s="1" t="str">
        <f>VLOOKUP(C518,branches!A:B,2,FALSE)</f>
        <v>Naija Mart Ikeja</v>
      </c>
      <c r="J518" s="1">
        <f t="shared" si="16"/>
        <v>477000</v>
      </c>
      <c r="K518" s="1" t="str">
        <f>VLOOKUP(D518,products!A:D,2,FALSE)</f>
        <v>Home Appliances</v>
      </c>
      <c r="L518" s="1" t="str">
        <f t="shared" si="17"/>
        <v>Nov-2025</v>
      </c>
    </row>
    <row r="519" spans="1:12" x14ac:dyDescent="0.25">
      <c r="A519" s="3" t="s">
        <v>747</v>
      </c>
      <c r="B519" s="6">
        <v>45723</v>
      </c>
      <c r="C519" s="3" t="s">
        <v>36</v>
      </c>
      <c r="D519" s="3" t="s">
        <v>97</v>
      </c>
      <c r="E519" s="3" t="s">
        <v>313</v>
      </c>
      <c r="F519" s="3">
        <v>1</v>
      </c>
      <c r="G519" s="3">
        <v>10</v>
      </c>
      <c r="H519" s="1">
        <f>VLOOKUP(D519,products!A:D,4,FALSE)</f>
        <v>21000</v>
      </c>
      <c r="I519" s="1" t="str">
        <f>VLOOKUP(C519,branches!A:B,2,FALSE)</f>
        <v>Naija Mart Sabon Gari</v>
      </c>
      <c r="J519" s="1">
        <f t="shared" si="16"/>
        <v>18900</v>
      </c>
      <c r="K519" s="1" t="str">
        <f>VLOOKUP(D519,products!A:D,2,FALSE)</f>
        <v>Small Gadgets</v>
      </c>
      <c r="L519" s="1" t="str">
        <f t="shared" si="17"/>
        <v>Mar-2025</v>
      </c>
    </row>
    <row r="520" spans="1:12" x14ac:dyDescent="0.25">
      <c r="A520" s="3" t="s">
        <v>748</v>
      </c>
      <c r="B520" s="6">
        <v>45726</v>
      </c>
      <c r="C520" s="3" t="s">
        <v>12</v>
      </c>
      <c r="D520" s="3" t="s">
        <v>23</v>
      </c>
      <c r="E520" s="3" t="s">
        <v>659</v>
      </c>
      <c r="F520" s="3">
        <v>2</v>
      </c>
      <c r="G520" s="3">
        <v>15</v>
      </c>
      <c r="H520" s="1">
        <f>VLOOKUP(D520,products!A:D,4,FALSE)</f>
        <v>19500</v>
      </c>
      <c r="I520" s="1" t="str">
        <f>VLOOKUP(C520,branches!A:B,2,FALSE)</f>
        <v>Naija Mart Wuse</v>
      </c>
      <c r="J520" s="1">
        <f t="shared" si="16"/>
        <v>33150</v>
      </c>
      <c r="K520" s="1" t="str">
        <f>VLOOKUP(D520,products!A:D,2,FALSE)</f>
        <v>Home Appliances</v>
      </c>
      <c r="L520" s="1" t="str">
        <f t="shared" si="17"/>
        <v>Mar-2025</v>
      </c>
    </row>
    <row r="521" spans="1:12" x14ac:dyDescent="0.25">
      <c r="A521" s="3" t="s">
        <v>749</v>
      </c>
      <c r="B521" s="6">
        <v>45988</v>
      </c>
      <c r="C521" s="3" t="s">
        <v>16</v>
      </c>
      <c r="D521" s="3" t="s">
        <v>56</v>
      </c>
      <c r="E521" s="3" t="s">
        <v>147</v>
      </c>
      <c r="F521" s="3">
        <v>2</v>
      </c>
      <c r="G521" s="3">
        <v>5</v>
      </c>
      <c r="H521" s="1">
        <f>VLOOKUP(D521,products!A:D,4,FALSE)</f>
        <v>285000</v>
      </c>
      <c r="I521" s="1" t="str">
        <f>VLOOKUP(C521,branches!A:B,2,FALSE)</f>
        <v>Naija Mart Ikeja</v>
      </c>
      <c r="J521" s="1">
        <f t="shared" si="16"/>
        <v>541500</v>
      </c>
      <c r="K521" s="1" t="str">
        <f>VLOOKUP(D521,products!A:D,2,FALSE)</f>
        <v>Home Appliances</v>
      </c>
      <c r="L521" s="1" t="str">
        <f t="shared" si="17"/>
        <v>Nov-2025</v>
      </c>
    </row>
    <row r="522" spans="1:12" x14ac:dyDescent="0.25">
      <c r="A522" s="3" t="s">
        <v>750</v>
      </c>
      <c r="B522" s="6">
        <v>45852</v>
      </c>
      <c r="C522" s="3" t="s">
        <v>12</v>
      </c>
      <c r="D522" s="3" t="s">
        <v>13</v>
      </c>
      <c r="E522" s="3" t="s">
        <v>486</v>
      </c>
      <c r="F522" s="3">
        <v>1</v>
      </c>
      <c r="G522" s="3">
        <v>0</v>
      </c>
      <c r="H522" s="1">
        <f>VLOOKUP(D522,products!A:D,4,FALSE)</f>
        <v>24000</v>
      </c>
      <c r="I522" s="1" t="str">
        <f>VLOOKUP(C522,branches!A:B,2,FALSE)</f>
        <v>Naija Mart Wuse</v>
      </c>
      <c r="J522" s="1">
        <f t="shared" si="16"/>
        <v>24000</v>
      </c>
      <c r="K522" s="1" t="str">
        <f>VLOOKUP(D522,products!A:D,2,FALSE)</f>
        <v>Home Appliances</v>
      </c>
      <c r="L522" s="1" t="str">
        <f t="shared" si="17"/>
        <v>Jul-2025</v>
      </c>
    </row>
    <row r="523" spans="1:12" x14ac:dyDescent="0.25">
      <c r="A523" s="3" t="s">
        <v>751</v>
      </c>
      <c r="B523" s="6">
        <v>45917</v>
      </c>
      <c r="C523" s="3" t="s">
        <v>8</v>
      </c>
      <c r="D523" s="3" t="s">
        <v>33</v>
      </c>
      <c r="E523" s="3" t="s">
        <v>738</v>
      </c>
      <c r="F523" s="3">
        <v>1</v>
      </c>
      <c r="G523" s="3">
        <v>0</v>
      </c>
      <c r="H523" s="1">
        <f>VLOOKUP(D523,products!A:D,4,FALSE)</f>
        <v>245000</v>
      </c>
      <c r="I523" s="1" t="str">
        <f>VLOOKUP(C523,branches!A:B,2,FALSE)</f>
        <v>Naija Mart GRA</v>
      </c>
      <c r="J523" s="1">
        <f t="shared" si="16"/>
        <v>245000</v>
      </c>
      <c r="K523" s="1" t="str">
        <f>VLOOKUP(D523,products!A:D,2,FALSE)</f>
        <v>Generators &amp; Power</v>
      </c>
      <c r="L523" s="1" t="str">
        <f t="shared" si="17"/>
        <v>Sep-2025</v>
      </c>
    </row>
    <row r="524" spans="1:12" x14ac:dyDescent="0.25">
      <c r="A524" s="3" t="s">
        <v>752</v>
      </c>
      <c r="B524" s="6">
        <v>45901</v>
      </c>
      <c r="C524" s="3" t="s">
        <v>8</v>
      </c>
      <c r="D524" s="3" t="s">
        <v>56</v>
      </c>
      <c r="E524" s="3" t="s">
        <v>18</v>
      </c>
      <c r="F524" s="3">
        <v>1</v>
      </c>
      <c r="G524" s="3">
        <v>0</v>
      </c>
      <c r="H524" s="1">
        <f>VLOOKUP(D524,products!A:D,4,FALSE)</f>
        <v>285000</v>
      </c>
      <c r="I524" s="1" t="str">
        <f>VLOOKUP(C524,branches!A:B,2,FALSE)</f>
        <v>Naija Mart GRA</v>
      </c>
      <c r="J524" s="1">
        <f t="shared" si="16"/>
        <v>285000</v>
      </c>
      <c r="K524" s="1" t="str">
        <f>VLOOKUP(D524,products!A:D,2,FALSE)</f>
        <v>Home Appliances</v>
      </c>
      <c r="L524" s="1" t="str">
        <f t="shared" si="17"/>
        <v>Sep-2025</v>
      </c>
    </row>
    <row r="525" spans="1:12" x14ac:dyDescent="0.25">
      <c r="A525" s="3" t="s">
        <v>753</v>
      </c>
      <c r="B525" s="6">
        <v>45965</v>
      </c>
      <c r="C525" s="3" t="s">
        <v>12</v>
      </c>
      <c r="D525" s="3" t="s">
        <v>43</v>
      </c>
      <c r="E525" s="3" t="s">
        <v>297</v>
      </c>
      <c r="F525" s="3">
        <v>1</v>
      </c>
      <c r="G525" s="3">
        <v>10</v>
      </c>
      <c r="H525" s="1">
        <f>VLOOKUP(D525,products!A:D,4,FALSE)</f>
        <v>74000</v>
      </c>
      <c r="I525" s="1" t="str">
        <f>VLOOKUP(C525,branches!A:B,2,FALSE)</f>
        <v>Naija Mart Wuse</v>
      </c>
      <c r="J525" s="1">
        <f t="shared" si="16"/>
        <v>66600</v>
      </c>
      <c r="K525" s="1" t="str">
        <f>VLOOKUP(D525,products!A:D,2,FALSE)</f>
        <v>Home Appliances</v>
      </c>
      <c r="L525" s="1" t="str">
        <f t="shared" si="17"/>
        <v>Nov-2025</v>
      </c>
    </row>
    <row r="526" spans="1:12" x14ac:dyDescent="0.25">
      <c r="A526" s="3" t="s">
        <v>754</v>
      </c>
      <c r="B526" s="6">
        <v>45896</v>
      </c>
      <c r="C526" s="3" t="s">
        <v>16</v>
      </c>
      <c r="D526" s="3" t="s">
        <v>59</v>
      </c>
      <c r="E526" s="3" t="s">
        <v>387</v>
      </c>
      <c r="F526" s="3">
        <v>1</v>
      </c>
      <c r="G526" s="3">
        <v>0</v>
      </c>
      <c r="H526" s="1">
        <f>VLOOKUP(D526,products!A:D,4,FALSE)</f>
        <v>15000</v>
      </c>
      <c r="I526" s="1" t="str">
        <f>VLOOKUP(C526,branches!A:B,2,FALSE)</f>
        <v>Naija Mart Ikeja</v>
      </c>
      <c r="J526" s="1">
        <f t="shared" si="16"/>
        <v>15000</v>
      </c>
      <c r="K526" s="1" t="str">
        <f>VLOOKUP(D526,products!A:D,2,FALSE)</f>
        <v>Home Appliances</v>
      </c>
      <c r="L526" s="1" t="str">
        <f t="shared" si="17"/>
        <v>Aug-2025</v>
      </c>
    </row>
    <row r="527" spans="1:12" x14ac:dyDescent="0.25">
      <c r="A527" s="3" t="s">
        <v>755</v>
      </c>
      <c r="B527" s="6">
        <v>45761</v>
      </c>
      <c r="C527" s="3" t="s">
        <v>16</v>
      </c>
      <c r="D527" s="3" t="s">
        <v>64</v>
      </c>
      <c r="E527" s="3" t="s">
        <v>153</v>
      </c>
      <c r="F527" s="3">
        <v>1</v>
      </c>
      <c r="G527" s="3">
        <v>0</v>
      </c>
      <c r="H527" s="1">
        <f>VLOOKUP(D527,products!A:D,4,FALSE)</f>
        <v>175000</v>
      </c>
      <c r="I527" s="1" t="str">
        <f>VLOOKUP(C527,branches!A:B,2,FALSE)</f>
        <v>Naija Mart Ikeja</v>
      </c>
      <c r="J527" s="1">
        <f t="shared" si="16"/>
        <v>175000</v>
      </c>
      <c r="K527" s="1" t="str">
        <f>VLOOKUP(D527,products!A:D,2,FALSE)</f>
        <v>Generators &amp; Power</v>
      </c>
      <c r="L527" s="1" t="str">
        <f t="shared" si="17"/>
        <v>Apr-2025</v>
      </c>
    </row>
    <row r="528" spans="1:12" x14ac:dyDescent="0.25">
      <c r="A528" s="3" t="s">
        <v>756</v>
      </c>
      <c r="B528" s="6">
        <v>46004</v>
      </c>
      <c r="C528" s="3" t="s">
        <v>16</v>
      </c>
      <c r="D528" s="3" t="s">
        <v>80</v>
      </c>
      <c r="E528" s="3" t="s">
        <v>459</v>
      </c>
      <c r="F528" s="3">
        <v>2</v>
      </c>
      <c r="G528" s="3">
        <v>5</v>
      </c>
      <c r="H528" s="1">
        <f>VLOOKUP(D528,products!A:D,4,FALSE)</f>
        <v>265000</v>
      </c>
      <c r="I528" s="1" t="str">
        <f>VLOOKUP(C528,branches!A:B,2,FALSE)</f>
        <v>Naija Mart Ikeja</v>
      </c>
      <c r="J528" s="1">
        <f t="shared" si="16"/>
        <v>503500</v>
      </c>
      <c r="K528" s="1" t="str">
        <f>VLOOKUP(D528,products!A:D,2,FALSE)</f>
        <v>Home Appliances</v>
      </c>
      <c r="L528" s="1" t="str">
        <f t="shared" si="17"/>
        <v>Dec-2025</v>
      </c>
    </row>
    <row r="529" spans="1:12" x14ac:dyDescent="0.25">
      <c r="A529" s="3" t="s">
        <v>757</v>
      </c>
      <c r="B529" s="6">
        <v>45917</v>
      </c>
      <c r="C529" s="3" t="s">
        <v>16</v>
      </c>
      <c r="D529" s="3" t="s">
        <v>149</v>
      </c>
      <c r="E529" s="3" t="s">
        <v>719</v>
      </c>
      <c r="F529" s="3">
        <v>2</v>
      </c>
      <c r="G529" s="3">
        <v>0</v>
      </c>
      <c r="H529" s="1">
        <f>VLOOKUP(D529,products!A:D,4,FALSE)</f>
        <v>6500</v>
      </c>
      <c r="I529" s="1" t="str">
        <f>VLOOKUP(C529,branches!A:B,2,FALSE)</f>
        <v>Naija Mart Ikeja</v>
      </c>
      <c r="J529" s="1">
        <f t="shared" si="16"/>
        <v>13000</v>
      </c>
      <c r="K529" s="1" t="str">
        <f>VLOOKUP(D529,products!A:D,2,FALSE)</f>
        <v>Small Gadgets</v>
      </c>
      <c r="L529" s="1" t="str">
        <f t="shared" si="17"/>
        <v>Sep-2025</v>
      </c>
    </row>
    <row r="530" spans="1:12" x14ac:dyDescent="0.25">
      <c r="A530" s="3" t="s">
        <v>758</v>
      </c>
      <c r="B530" s="6">
        <v>45968</v>
      </c>
      <c r="C530" s="3" t="s">
        <v>36</v>
      </c>
      <c r="D530" s="3" t="s">
        <v>94</v>
      </c>
      <c r="E530" s="3" t="s">
        <v>279</v>
      </c>
      <c r="F530" s="3">
        <v>1</v>
      </c>
      <c r="G530" s="3">
        <v>20</v>
      </c>
      <c r="H530" s="1">
        <f>VLOOKUP(D530,products!A:D,4,FALSE)</f>
        <v>320000</v>
      </c>
      <c r="I530" s="1" t="str">
        <f>VLOOKUP(C530,branches!A:B,2,FALSE)</f>
        <v>Naija Mart Sabon Gari</v>
      </c>
      <c r="J530" s="1">
        <f t="shared" si="16"/>
        <v>256000</v>
      </c>
      <c r="K530" s="1" t="str">
        <f>VLOOKUP(D530,products!A:D,2,FALSE)</f>
        <v>Electronics</v>
      </c>
      <c r="L530" s="1" t="str">
        <f t="shared" si="17"/>
        <v>Nov-2025</v>
      </c>
    </row>
    <row r="531" spans="1:12" x14ac:dyDescent="0.25">
      <c r="A531" s="3" t="s">
        <v>759</v>
      </c>
      <c r="B531" s="6">
        <v>45803</v>
      </c>
      <c r="C531" s="3" t="s">
        <v>36</v>
      </c>
      <c r="D531" s="3" t="s">
        <v>51</v>
      </c>
      <c r="E531" s="3" t="s">
        <v>269</v>
      </c>
      <c r="F531" s="3">
        <v>1</v>
      </c>
      <c r="G531" s="3">
        <v>0</v>
      </c>
      <c r="H531" s="1">
        <f>VLOOKUP(D531,products!A:D,4,FALSE)</f>
        <v>18000</v>
      </c>
      <c r="I531" s="1" t="str">
        <f>VLOOKUP(C531,branches!A:B,2,FALSE)</f>
        <v>Naija Mart Sabon Gari</v>
      </c>
      <c r="J531" s="1">
        <f t="shared" si="16"/>
        <v>18000</v>
      </c>
      <c r="K531" s="1" t="str">
        <f>VLOOKUP(D531,products!A:D,2,FALSE)</f>
        <v>Small Gadgets</v>
      </c>
      <c r="L531" s="1" t="str">
        <f t="shared" si="17"/>
        <v>May-2025</v>
      </c>
    </row>
    <row r="532" spans="1:12" x14ac:dyDescent="0.25">
      <c r="A532" s="3" t="s">
        <v>760</v>
      </c>
      <c r="B532" s="6">
        <v>45744</v>
      </c>
      <c r="C532" s="3" t="s">
        <v>36</v>
      </c>
      <c r="D532" s="3" t="s">
        <v>97</v>
      </c>
      <c r="E532" s="3" t="s">
        <v>65</v>
      </c>
      <c r="F532" s="3">
        <v>2</v>
      </c>
      <c r="G532" s="3">
        <v>0</v>
      </c>
      <c r="H532" s="1">
        <f>VLOOKUP(D532,products!A:D,4,FALSE)</f>
        <v>21000</v>
      </c>
      <c r="I532" s="1" t="str">
        <f>VLOOKUP(C532,branches!A:B,2,FALSE)</f>
        <v>Naija Mart Sabon Gari</v>
      </c>
      <c r="J532" s="1">
        <f t="shared" si="16"/>
        <v>42000</v>
      </c>
      <c r="K532" s="1" t="str">
        <f>VLOOKUP(D532,products!A:D,2,FALSE)</f>
        <v>Small Gadgets</v>
      </c>
      <c r="L532" s="1" t="str">
        <f t="shared" si="17"/>
        <v>Mar-2025</v>
      </c>
    </row>
    <row r="533" spans="1:12" x14ac:dyDescent="0.25">
      <c r="A533" s="3" t="s">
        <v>761</v>
      </c>
      <c r="B533" s="6">
        <v>45821</v>
      </c>
      <c r="C533" s="3" t="s">
        <v>16</v>
      </c>
      <c r="D533" s="3" t="s">
        <v>69</v>
      </c>
      <c r="E533" s="3" t="s">
        <v>141</v>
      </c>
      <c r="F533" s="3">
        <v>2</v>
      </c>
      <c r="G533" s="3">
        <v>0</v>
      </c>
      <c r="H533" s="1">
        <f>VLOOKUP(D533,products!A:D,4,FALSE)</f>
        <v>45000</v>
      </c>
      <c r="I533" s="1" t="str">
        <f>VLOOKUP(C533,branches!A:B,2,FALSE)</f>
        <v>Naija Mart Ikeja</v>
      </c>
      <c r="J533" s="1">
        <f t="shared" si="16"/>
        <v>90000</v>
      </c>
      <c r="K533" s="1" t="str">
        <f>VLOOKUP(D533,products!A:D,2,FALSE)</f>
        <v>Electronics</v>
      </c>
      <c r="L533" s="1" t="str">
        <f t="shared" si="17"/>
        <v>Jun-2025</v>
      </c>
    </row>
    <row r="534" spans="1:12" x14ac:dyDescent="0.25">
      <c r="A534" s="3" t="s">
        <v>762</v>
      </c>
      <c r="B534" s="6">
        <v>45999</v>
      </c>
      <c r="C534" s="3" t="s">
        <v>36</v>
      </c>
      <c r="D534" s="3" t="s">
        <v>40</v>
      </c>
      <c r="E534" s="3" t="s">
        <v>186</v>
      </c>
      <c r="F534" s="3">
        <v>1</v>
      </c>
      <c r="G534" s="3">
        <v>0</v>
      </c>
      <c r="H534" s="1">
        <f>VLOOKUP(D534,products!A:D,4,FALSE)</f>
        <v>195000</v>
      </c>
      <c r="I534" s="1" t="str">
        <f>VLOOKUP(C534,branches!A:B,2,FALSE)</f>
        <v>Naija Mart Sabon Gari</v>
      </c>
      <c r="J534" s="1">
        <f t="shared" si="16"/>
        <v>195000</v>
      </c>
      <c r="K534" s="1" t="str">
        <f>VLOOKUP(D534,products!A:D,2,FALSE)</f>
        <v>Generators &amp; Power</v>
      </c>
      <c r="L534" s="1" t="str">
        <f t="shared" si="17"/>
        <v>Dec-2025</v>
      </c>
    </row>
    <row r="535" spans="1:12" x14ac:dyDescent="0.25">
      <c r="A535" s="3" t="s">
        <v>763</v>
      </c>
      <c r="B535" s="6">
        <v>45693</v>
      </c>
      <c r="C535" s="3" t="s">
        <v>16</v>
      </c>
      <c r="D535" s="3" t="s">
        <v>49</v>
      </c>
      <c r="E535" s="3" t="s">
        <v>764</v>
      </c>
      <c r="F535" s="3">
        <v>2</v>
      </c>
      <c r="G535" s="3">
        <v>0</v>
      </c>
      <c r="H535" s="1">
        <f>VLOOKUP(D535,products!A:D,4,FALSE)</f>
        <v>28000</v>
      </c>
      <c r="I535" s="1" t="str">
        <f>VLOOKUP(C535,branches!A:B,2,FALSE)</f>
        <v>Naija Mart Ikeja</v>
      </c>
      <c r="J535" s="1">
        <f t="shared" si="16"/>
        <v>56000</v>
      </c>
      <c r="K535" s="1" t="str">
        <f>VLOOKUP(D535,products!A:D,2,FALSE)</f>
        <v>Home Appliances</v>
      </c>
      <c r="L535" s="1" t="str">
        <f t="shared" si="17"/>
        <v>Feb-2025</v>
      </c>
    </row>
    <row r="536" spans="1:12" x14ac:dyDescent="0.25">
      <c r="A536" s="3" t="s">
        <v>765</v>
      </c>
      <c r="B536" s="6">
        <v>46019</v>
      </c>
      <c r="C536" s="3" t="s">
        <v>8</v>
      </c>
      <c r="D536" s="3" t="s">
        <v>46</v>
      </c>
      <c r="E536" s="3" t="s">
        <v>766</v>
      </c>
      <c r="F536" s="3">
        <v>1</v>
      </c>
      <c r="G536" s="3">
        <v>10</v>
      </c>
      <c r="H536" s="1">
        <f>VLOOKUP(D536,products!A:D,4,FALSE)</f>
        <v>62000</v>
      </c>
      <c r="I536" s="1" t="str">
        <f>VLOOKUP(C536,branches!A:B,2,FALSE)</f>
        <v>Naija Mart GRA</v>
      </c>
      <c r="J536" s="1">
        <f t="shared" si="16"/>
        <v>55800</v>
      </c>
      <c r="K536" s="1" t="str">
        <f>VLOOKUP(D536,products!A:D,2,FALSE)</f>
        <v>Home Appliances</v>
      </c>
      <c r="L536" s="1" t="str">
        <f t="shared" si="17"/>
        <v>Dec-2025</v>
      </c>
    </row>
    <row r="537" spans="1:12" x14ac:dyDescent="0.25">
      <c r="A537" s="3" t="s">
        <v>767</v>
      </c>
      <c r="B537" s="6">
        <v>45827</v>
      </c>
      <c r="C537" s="3" t="s">
        <v>16</v>
      </c>
      <c r="D537" s="3" t="s">
        <v>13</v>
      </c>
      <c r="E537" s="3" t="s">
        <v>114</v>
      </c>
      <c r="F537" s="3">
        <v>1</v>
      </c>
      <c r="G537" s="3">
        <v>10</v>
      </c>
      <c r="H537" s="1">
        <f>VLOOKUP(D537,products!A:D,4,FALSE)</f>
        <v>24000</v>
      </c>
      <c r="I537" s="1" t="str">
        <f>VLOOKUP(C537,branches!A:B,2,FALSE)</f>
        <v>Naija Mart Ikeja</v>
      </c>
      <c r="J537" s="1">
        <f t="shared" si="16"/>
        <v>21600</v>
      </c>
      <c r="K537" s="1" t="str">
        <f>VLOOKUP(D537,products!A:D,2,FALSE)</f>
        <v>Home Appliances</v>
      </c>
      <c r="L537" s="1" t="str">
        <f t="shared" si="17"/>
        <v>Jun-2025</v>
      </c>
    </row>
    <row r="538" spans="1:12" x14ac:dyDescent="0.25">
      <c r="A538" s="3" t="s">
        <v>768</v>
      </c>
      <c r="B538" s="6">
        <v>45907</v>
      </c>
      <c r="C538" s="3" t="s">
        <v>12</v>
      </c>
      <c r="D538" s="3" t="s">
        <v>149</v>
      </c>
      <c r="E538" s="3" t="s">
        <v>127</v>
      </c>
      <c r="F538" s="3">
        <v>1</v>
      </c>
      <c r="G538" s="3">
        <v>15</v>
      </c>
      <c r="H538" s="1">
        <f>VLOOKUP(D538,products!A:D,4,FALSE)</f>
        <v>6500</v>
      </c>
      <c r="I538" s="1" t="str">
        <f>VLOOKUP(C538,branches!A:B,2,FALSE)</f>
        <v>Naija Mart Wuse</v>
      </c>
      <c r="J538" s="1">
        <f t="shared" si="16"/>
        <v>5525</v>
      </c>
      <c r="K538" s="1" t="str">
        <f>VLOOKUP(D538,products!A:D,2,FALSE)</f>
        <v>Small Gadgets</v>
      </c>
      <c r="L538" s="1" t="str">
        <f t="shared" si="17"/>
        <v>Sep-2025</v>
      </c>
    </row>
    <row r="539" spans="1:12" x14ac:dyDescent="0.25">
      <c r="A539" s="3" t="s">
        <v>769</v>
      </c>
      <c r="B539" s="6">
        <v>45818</v>
      </c>
      <c r="C539" s="3" t="s">
        <v>12</v>
      </c>
      <c r="D539" s="3" t="s">
        <v>91</v>
      </c>
      <c r="E539" s="3" t="s">
        <v>353</v>
      </c>
      <c r="F539" s="3">
        <v>1</v>
      </c>
      <c r="G539" s="3">
        <v>0</v>
      </c>
      <c r="H539" s="1">
        <f>VLOOKUP(D539,products!A:D,4,FALSE)</f>
        <v>5200</v>
      </c>
      <c r="I539" s="1" t="str">
        <f>VLOOKUP(C539,branches!A:B,2,FALSE)</f>
        <v>Naija Mart Wuse</v>
      </c>
      <c r="J539" s="1">
        <f t="shared" si="16"/>
        <v>5200</v>
      </c>
      <c r="K539" s="1" t="str">
        <f>VLOOKUP(D539,products!A:D,2,FALSE)</f>
        <v>Small Gadgets</v>
      </c>
      <c r="L539" s="1" t="str">
        <f t="shared" si="17"/>
        <v>Jun-2025</v>
      </c>
    </row>
    <row r="540" spans="1:12" x14ac:dyDescent="0.25">
      <c r="A540" s="3" t="s">
        <v>770</v>
      </c>
      <c r="B540" s="6">
        <v>45749</v>
      </c>
      <c r="C540" s="3" t="s">
        <v>16</v>
      </c>
      <c r="D540" s="3" t="s">
        <v>40</v>
      </c>
      <c r="E540" s="3" t="s">
        <v>398</v>
      </c>
      <c r="F540" s="3">
        <v>1</v>
      </c>
      <c r="G540" s="3">
        <v>15</v>
      </c>
      <c r="H540" s="1">
        <f>VLOOKUP(D540,products!A:D,4,FALSE)</f>
        <v>195000</v>
      </c>
      <c r="I540" s="1" t="str">
        <f>VLOOKUP(C540,branches!A:B,2,FALSE)</f>
        <v>Naija Mart Ikeja</v>
      </c>
      <c r="J540" s="1">
        <f t="shared" si="16"/>
        <v>165750</v>
      </c>
      <c r="K540" s="1" t="str">
        <f>VLOOKUP(D540,products!A:D,2,FALSE)</f>
        <v>Generators &amp; Power</v>
      </c>
      <c r="L540" s="1" t="str">
        <f t="shared" si="17"/>
        <v>Apr-2025</v>
      </c>
    </row>
    <row r="541" spans="1:12" x14ac:dyDescent="0.25">
      <c r="A541" s="3" t="s">
        <v>771</v>
      </c>
      <c r="B541" s="6">
        <v>45964</v>
      </c>
      <c r="C541" s="3" t="s">
        <v>16</v>
      </c>
      <c r="D541" s="3" t="s">
        <v>49</v>
      </c>
      <c r="E541" s="3" t="s">
        <v>648</v>
      </c>
      <c r="F541" s="3">
        <v>1</v>
      </c>
      <c r="G541" s="3">
        <v>15</v>
      </c>
      <c r="H541" s="1">
        <f>VLOOKUP(D541,products!A:D,4,FALSE)</f>
        <v>28000</v>
      </c>
      <c r="I541" s="1" t="str">
        <f>VLOOKUP(C541,branches!A:B,2,FALSE)</f>
        <v>Naija Mart Ikeja</v>
      </c>
      <c r="J541" s="1">
        <f t="shared" si="16"/>
        <v>23800</v>
      </c>
      <c r="K541" s="1" t="str">
        <f>VLOOKUP(D541,products!A:D,2,FALSE)</f>
        <v>Home Appliances</v>
      </c>
      <c r="L541" s="1" t="str">
        <f t="shared" si="17"/>
        <v>Nov-2025</v>
      </c>
    </row>
    <row r="542" spans="1:12" x14ac:dyDescent="0.25">
      <c r="A542" s="3" t="s">
        <v>772</v>
      </c>
      <c r="B542" s="6">
        <v>45939</v>
      </c>
      <c r="C542" s="3" t="s">
        <v>12</v>
      </c>
      <c r="D542" s="3" t="s">
        <v>13</v>
      </c>
      <c r="E542" s="3" t="s">
        <v>118</v>
      </c>
      <c r="F542" s="3">
        <v>1</v>
      </c>
      <c r="G542" s="3">
        <v>0</v>
      </c>
      <c r="H542" s="1">
        <f>VLOOKUP(D542,products!A:D,4,FALSE)</f>
        <v>24000</v>
      </c>
      <c r="I542" s="1" t="str">
        <f>VLOOKUP(C542,branches!A:B,2,FALSE)</f>
        <v>Naija Mart Wuse</v>
      </c>
      <c r="J542" s="1">
        <f t="shared" si="16"/>
        <v>24000</v>
      </c>
      <c r="K542" s="1" t="str">
        <f>VLOOKUP(D542,products!A:D,2,FALSE)</f>
        <v>Home Appliances</v>
      </c>
      <c r="L542" s="1" t="str">
        <f t="shared" si="17"/>
        <v>Oct-2025</v>
      </c>
    </row>
    <row r="543" spans="1:12" x14ac:dyDescent="0.25">
      <c r="A543" s="3" t="s">
        <v>773</v>
      </c>
      <c r="B543" s="6">
        <v>45979</v>
      </c>
      <c r="C543" s="3" t="s">
        <v>16</v>
      </c>
      <c r="D543" s="3" t="s">
        <v>97</v>
      </c>
      <c r="E543" s="3" t="s">
        <v>774</v>
      </c>
      <c r="F543" s="3">
        <v>1</v>
      </c>
      <c r="G543" s="3">
        <v>0</v>
      </c>
      <c r="H543" s="1">
        <f>VLOOKUP(D543,products!A:D,4,FALSE)</f>
        <v>21000</v>
      </c>
      <c r="I543" s="1" t="str">
        <f>VLOOKUP(C543,branches!A:B,2,FALSE)</f>
        <v>Naija Mart Ikeja</v>
      </c>
      <c r="J543" s="1">
        <f t="shared" si="16"/>
        <v>21000</v>
      </c>
      <c r="K543" s="1" t="str">
        <f>VLOOKUP(D543,products!A:D,2,FALSE)</f>
        <v>Small Gadgets</v>
      </c>
      <c r="L543" s="1" t="str">
        <f t="shared" si="17"/>
        <v>Nov-2025</v>
      </c>
    </row>
    <row r="544" spans="1:12" x14ac:dyDescent="0.25">
      <c r="A544" s="3" t="s">
        <v>775</v>
      </c>
      <c r="B544" s="6">
        <v>45934</v>
      </c>
      <c r="C544" s="3" t="s">
        <v>16</v>
      </c>
      <c r="D544" s="3" t="s">
        <v>126</v>
      </c>
      <c r="E544" s="3" t="s">
        <v>147</v>
      </c>
      <c r="F544" s="3">
        <v>1</v>
      </c>
      <c r="G544" s="3">
        <v>0</v>
      </c>
      <c r="H544" s="1">
        <f>VLOOKUP(D544,products!A:D,4,FALSE)</f>
        <v>185000</v>
      </c>
      <c r="I544" s="1" t="str">
        <f>VLOOKUP(C544,branches!A:B,2,FALSE)</f>
        <v>Naija Mart Ikeja</v>
      </c>
      <c r="J544" s="1">
        <f t="shared" si="16"/>
        <v>185000</v>
      </c>
      <c r="K544" s="1" t="str">
        <f>VLOOKUP(D544,products!A:D,2,FALSE)</f>
        <v>Electronics</v>
      </c>
      <c r="L544" s="1" t="str">
        <f t="shared" si="17"/>
        <v>Oct-2025</v>
      </c>
    </row>
    <row r="545" spans="1:12" x14ac:dyDescent="0.25">
      <c r="A545" s="3" t="s">
        <v>776</v>
      </c>
      <c r="B545" s="6">
        <v>45922</v>
      </c>
      <c r="C545" s="3" t="s">
        <v>16</v>
      </c>
      <c r="D545" s="3" t="s">
        <v>33</v>
      </c>
      <c r="E545" s="3" t="s">
        <v>526</v>
      </c>
      <c r="F545" s="3">
        <v>2</v>
      </c>
      <c r="G545" s="3">
        <v>0</v>
      </c>
      <c r="H545" s="1">
        <f>VLOOKUP(D545,products!A:D,4,FALSE)</f>
        <v>245000</v>
      </c>
      <c r="I545" s="1" t="str">
        <f>VLOOKUP(C545,branches!A:B,2,FALSE)</f>
        <v>Naija Mart Ikeja</v>
      </c>
      <c r="J545" s="1">
        <f t="shared" si="16"/>
        <v>490000</v>
      </c>
      <c r="K545" s="1" t="str">
        <f>VLOOKUP(D545,products!A:D,2,FALSE)</f>
        <v>Generators &amp; Power</v>
      </c>
      <c r="L545" s="1" t="str">
        <f t="shared" si="17"/>
        <v>Sep-2025</v>
      </c>
    </row>
    <row r="546" spans="1:12" x14ac:dyDescent="0.25">
      <c r="A546" s="3" t="s">
        <v>777</v>
      </c>
      <c r="B546" s="6">
        <v>45977</v>
      </c>
      <c r="C546" s="3" t="s">
        <v>16</v>
      </c>
      <c r="D546" s="3" t="s">
        <v>258</v>
      </c>
      <c r="E546" s="3" t="s">
        <v>778</v>
      </c>
      <c r="F546" s="3">
        <v>1</v>
      </c>
      <c r="G546" s="3">
        <v>10</v>
      </c>
      <c r="H546" s="1">
        <f>VLOOKUP(D546,products!A:D,4,FALSE)</f>
        <v>95000</v>
      </c>
      <c r="I546" s="1" t="str">
        <f>VLOOKUP(C546,branches!A:B,2,FALSE)</f>
        <v>Naija Mart Ikeja</v>
      </c>
      <c r="J546" s="1">
        <f t="shared" si="16"/>
        <v>85500</v>
      </c>
      <c r="K546" s="1" t="str">
        <f>VLOOKUP(D546,products!A:D,2,FALSE)</f>
        <v>Electronics</v>
      </c>
      <c r="L546" s="1" t="str">
        <f t="shared" si="17"/>
        <v>Nov-2025</v>
      </c>
    </row>
    <row r="547" spans="1:12" x14ac:dyDescent="0.25">
      <c r="A547" s="3" t="s">
        <v>779</v>
      </c>
      <c r="B547" s="6">
        <v>45682</v>
      </c>
      <c r="C547" s="3" t="s">
        <v>16</v>
      </c>
      <c r="D547" s="3" t="s">
        <v>97</v>
      </c>
      <c r="E547" s="3" t="s">
        <v>100</v>
      </c>
      <c r="F547" s="3">
        <v>1</v>
      </c>
      <c r="G547" s="3">
        <v>0</v>
      </c>
      <c r="H547" s="1">
        <f>VLOOKUP(D547,products!A:D,4,FALSE)</f>
        <v>21000</v>
      </c>
      <c r="I547" s="1" t="str">
        <f>VLOOKUP(C547,branches!A:B,2,FALSE)</f>
        <v>Naija Mart Ikeja</v>
      </c>
      <c r="J547" s="1">
        <f t="shared" si="16"/>
        <v>21000</v>
      </c>
      <c r="K547" s="1" t="str">
        <f>VLOOKUP(D547,products!A:D,2,FALSE)</f>
        <v>Small Gadgets</v>
      </c>
      <c r="L547" s="1" t="str">
        <f t="shared" si="17"/>
        <v>Jan-2025</v>
      </c>
    </row>
    <row r="548" spans="1:12" x14ac:dyDescent="0.25">
      <c r="A548" s="3" t="s">
        <v>780</v>
      </c>
      <c r="B548" s="6">
        <v>46016</v>
      </c>
      <c r="C548" s="3" t="s">
        <v>36</v>
      </c>
      <c r="D548" s="3" t="s">
        <v>46</v>
      </c>
      <c r="E548" s="3" t="s">
        <v>89</v>
      </c>
      <c r="F548" s="3">
        <v>1</v>
      </c>
      <c r="G548" s="3">
        <v>5</v>
      </c>
      <c r="H548" s="1">
        <f>VLOOKUP(D548,products!A:D,4,FALSE)</f>
        <v>62000</v>
      </c>
      <c r="I548" s="1" t="str">
        <f>VLOOKUP(C548,branches!A:B,2,FALSE)</f>
        <v>Naija Mart Sabon Gari</v>
      </c>
      <c r="J548" s="1">
        <f t="shared" si="16"/>
        <v>58900</v>
      </c>
      <c r="K548" s="1" t="str">
        <f>VLOOKUP(D548,products!A:D,2,FALSE)</f>
        <v>Home Appliances</v>
      </c>
      <c r="L548" s="1" t="str">
        <f t="shared" si="17"/>
        <v>Dec-2025</v>
      </c>
    </row>
    <row r="549" spans="1:12" x14ac:dyDescent="0.25">
      <c r="A549" s="3" t="s">
        <v>781</v>
      </c>
      <c r="B549" s="6">
        <v>45832</v>
      </c>
      <c r="C549" s="3" t="s">
        <v>12</v>
      </c>
      <c r="D549" s="3" t="s">
        <v>13</v>
      </c>
      <c r="E549" s="3" t="s">
        <v>124</v>
      </c>
      <c r="F549" s="3">
        <v>1</v>
      </c>
      <c r="G549" s="3">
        <v>5</v>
      </c>
      <c r="H549" s="1">
        <f>VLOOKUP(D549,products!A:D,4,FALSE)</f>
        <v>24000</v>
      </c>
      <c r="I549" s="1" t="str">
        <f>VLOOKUP(C549,branches!A:B,2,FALSE)</f>
        <v>Naija Mart Wuse</v>
      </c>
      <c r="J549" s="1">
        <f t="shared" si="16"/>
        <v>22800</v>
      </c>
      <c r="K549" s="1" t="str">
        <f>VLOOKUP(D549,products!A:D,2,FALSE)</f>
        <v>Home Appliances</v>
      </c>
      <c r="L549" s="1" t="str">
        <f t="shared" si="17"/>
        <v>Jun-2025</v>
      </c>
    </row>
    <row r="550" spans="1:12" x14ac:dyDescent="0.25">
      <c r="A550" s="3" t="s">
        <v>782</v>
      </c>
      <c r="B550" s="6">
        <v>46012</v>
      </c>
      <c r="C550" s="3" t="s">
        <v>8</v>
      </c>
      <c r="D550" s="3" t="s">
        <v>69</v>
      </c>
      <c r="E550" s="3" t="s">
        <v>783</v>
      </c>
      <c r="F550" s="3">
        <v>1</v>
      </c>
      <c r="G550" s="3">
        <v>10</v>
      </c>
      <c r="H550" s="1">
        <f>VLOOKUP(D550,products!A:D,4,FALSE)</f>
        <v>45000</v>
      </c>
      <c r="I550" s="1" t="str">
        <f>VLOOKUP(C550,branches!A:B,2,FALSE)</f>
        <v>Naija Mart GRA</v>
      </c>
      <c r="J550" s="1">
        <f t="shared" si="16"/>
        <v>40500</v>
      </c>
      <c r="K550" s="1" t="str">
        <f>VLOOKUP(D550,products!A:D,2,FALSE)</f>
        <v>Electronics</v>
      </c>
      <c r="L550" s="1" t="str">
        <f t="shared" si="17"/>
        <v>Dec-2025</v>
      </c>
    </row>
    <row r="551" spans="1:12" x14ac:dyDescent="0.25">
      <c r="A551" s="3" t="s">
        <v>784</v>
      </c>
      <c r="B551" s="6">
        <v>46004</v>
      </c>
      <c r="C551" s="3" t="s">
        <v>16</v>
      </c>
      <c r="D551" s="3" t="s">
        <v>13</v>
      </c>
      <c r="E551" s="3" t="s">
        <v>118</v>
      </c>
      <c r="F551" s="3">
        <v>1</v>
      </c>
      <c r="G551" s="3">
        <v>0</v>
      </c>
      <c r="H551" s="1">
        <f>VLOOKUP(D551,products!A:D,4,FALSE)</f>
        <v>24000</v>
      </c>
      <c r="I551" s="1" t="str">
        <f>VLOOKUP(C551,branches!A:B,2,FALSE)</f>
        <v>Naija Mart Ikeja</v>
      </c>
      <c r="J551" s="1">
        <f t="shared" si="16"/>
        <v>24000</v>
      </c>
      <c r="K551" s="1" t="str">
        <f>VLOOKUP(D551,products!A:D,2,FALSE)</f>
        <v>Home Appliances</v>
      </c>
      <c r="L551" s="1" t="str">
        <f t="shared" si="17"/>
        <v>Dec-2025</v>
      </c>
    </row>
    <row r="552" spans="1:12" x14ac:dyDescent="0.25">
      <c r="A552" s="3" t="s">
        <v>785</v>
      </c>
      <c r="B552" s="6">
        <v>45825</v>
      </c>
      <c r="C552" s="3" t="s">
        <v>16</v>
      </c>
      <c r="D552" s="3" t="s">
        <v>43</v>
      </c>
      <c r="E552" s="3" t="s">
        <v>528</v>
      </c>
      <c r="F552" s="3">
        <v>3</v>
      </c>
      <c r="G552" s="3">
        <v>0</v>
      </c>
      <c r="H552" s="1">
        <f>VLOOKUP(D552,products!A:D,4,FALSE)</f>
        <v>74000</v>
      </c>
      <c r="I552" s="1" t="str">
        <f>VLOOKUP(C552,branches!A:B,2,FALSE)</f>
        <v>Naija Mart Ikeja</v>
      </c>
      <c r="J552" s="1">
        <f t="shared" si="16"/>
        <v>222000</v>
      </c>
      <c r="K552" s="1" t="str">
        <f>VLOOKUP(D552,products!A:D,2,FALSE)</f>
        <v>Home Appliances</v>
      </c>
      <c r="L552" s="1" t="str">
        <f t="shared" si="17"/>
        <v>Jun-2025</v>
      </c>
    </row>
    <row r="553" spans="1:12" x14ac:dyDescent="0.25">
      <c r="A553" s="3" t="s">
        <v>786</v>
      </c>
      <c r="B553" s="6">
        <v>45987</v>
      </c>
      <c r="C553" s="3" t="s">
        <v>12</v>
      </c>
      <c r="D553" s="3" t="s">
        <v>23</v>
      </c>
      <c r="E553" s="3" t="s">
        <v>787</v>
      </c>
      <c r="F553" s="3">
        <v>1</v>
      </c>
      <c r="G553" s="3">
        <v>0</v>
      </c>
      <c r="H553" s="1">
        <f>VLOOKUP(D553,products!A:D,4,FALSE)</f>
        <v>19500</v>
      </c>
      <c r="I553" s="1" t="str">
        <f>VLOOKUP(C553,branches!A:B,2,FALSE)</f>
        <v>Naija Mart Wuse</v>
      </c>
      <c r="J553" s="1">
        <f t="shared" si="16"/>
        <v>19500</v>
      </c>
      <c r="K553" s="1" t="str">
        <f>VLOOKUP(D553,products!A:D,2,FALSE)</f>
        <v>Home Appliances</v>
      </c>
      <c r="L553" s="1" t="str">
        <f t="shared" si="17"/>
        <v>Nov-2025</v>
      </c>
    </row>
    <row r="554" spans="1:12" x14ac:dyDescent="0.25">
      <c r="A554" s="3" t="s">
        <v>788</v>
      </c>
      <c r="B554" s="6">
        <v>45976</v>
      </c>
      <c r="C554" s="3" t="s">
        <v>16</v>
      </c>
      <c r="D554" s="3" t="s">
        <v>51</v>
      </c>
      <c r="E554" s="3" t="s">
        <v>83</v>
      </c>
      <c r="F554" s="3">
        <v>1</v>
      </c>
      <c r="G554" s="3">
        <v>20</v>
      </c>
      <c r="H554" s="1">
        <f>VLOOKUP(D554,products!A:D,4,FALSE)</f>
        <v>18000</v>
      </c>
      <c r="I554" s="1" t="str">
        <f>VLOOKUP(C554,branches!A:B,2,FALSE)</f>
        <v>Naija Mart Ikeja</v>
      </c>
      <c r="J554" s="1">
        <f t="shared" si="16"/>
        <v>14400</v>
      </c>
      <c r="K554" s="1" t="str">
        <f>VLOOKUP(D554,products!A:D,2,FALSE)</f>
        <v>Small Gadgets</v>
      </c>
      <c r="L554" s="1" t="str">
        <f t="shared" si="17"/>
        <v>Nov-2025</v>
      </c>
    </row>
    <row r="555" spans="1:12" x14ac:dyDescent="0.25">
      <c r="A555" s="3" t="s">
        <v>789</v>
      </c>
      <c r="B555" s="6">
        <v>45980</v>
      </c>
      <c r="C555" s="3" t="s">
        <v>12</v>
      </c>
      <c r="D555" s="3" t="s">
        <v>46</v>
      </c>
      <c r="E555" s="3" t="s">
        <v>141</v>
      </c>
      <c r="F555" s="3">
        <v>2</v>
      </c>
      <c r="G555" s="3">
        <v>0</v>
      </c>
      <c r="H555" s="1">
        <f>VLOOKUP(D555,products!A:D,4,FALSE)</f>
        <v>62000</v>
      </c>
      <c r="I555" s="1" t="str">
        <f>VLOOKUP(C555,branches!A:B,2,FALSE)</f>
        <v>Naija Mart Wuse</v>
      </c>
      <c r="J555" s="1">
        <f t="shared" si="16"/>
        <v>124000</v>
      </c>
      <c r="K555" s="1" t="str">
        <f>VLOOKUP(D555,products!A:D,2,FALSE)</f>
        <v>Home Appliances</v>
      </c>
      <c r="L555" s="1" t="str">
        <f t="shared" si="17"/>
        <v>Nov-2025</v>
      </c>
    </row>
    <row r="556" spans="1:12" x14ac:dyDescent="0.25">
      <c r="A556" s="3" t="s">
        <v>790</v>
      </c>
      <c r="B556" s="6">
        <v>45946</v>
      </c>
      <c r="C556" s="3" t="s">
        <v>16</v>
      </c>
      <c r="D556" s="3" t="s">
        <v>94</v>
      </c>
      <c r="E556" s="3" t="s">
        <v>791</v>
      </c>
      <c r="F556" s="3">
        <v>2</v>
      </c>
      <c r="G556" s="3">
        <v>0</v>
      </c>
      <c r="H556" s="1">
        <f>VLOOKUP(D556,products!A:D,4,FALSE)</f>
        <v>320000</v>
      </c>
      <c r="I556" s="1" t="str">
        <f>VLOOKUP(C556,branches!A:B,2,FALSE)</f>
        <v>Naija Mart Ikeja</v>
      </c>
      <c r="J556" s="1">
        <f t="shared" si="16"/>
        <v>640000</v>
      </c>
      <c r="K556" s="1" t="str">
        <f>VLOOKUP(D556,products!A:D,2,FALSE)</f>
        <v>Electronics</v>
      </c>
      <c r="L556" s="1" t="str">
        <f t="shared" si="17"/>
        <v>Oct-2025</v>
      </c>
    </row>
    <row r="557" spans="1:12" x14ac:dyDescent="0.25">
      <c r="A557" s="3" t="s">
        <v>792</v>
      </c>
      <c r="B557" s="6">
        <v>45699</v>
      </c>
      <c r="C557" s="3" t="s">
        <v>16</v>
      </c>
      <c r="D557" s="3" t="s">
        <v>197</v>
      </c>
      <c r="E557" s="3" t="s">
        <v>31</v>
      </c>
      <c r="F557" s="3">
        <v>1</v>
      </c>
      <c r="G557" s="3">
        <v>10</v>
      </c>
      <c r="H557" s="1">
        <f>VLOOKUP(D557,products!A:D,4,FALSE)</f>
        <v>78000</v>
      </c>
      <c r="I557" s="1" t="str">
        <f>VLOOKUP(C557,branches!A:B,2,FALSE)</f>
        <v>Naija Mart Ikeja</v>
      </c>
      <c r="J557" s="1">
        <f t="shared" si="16"/>
        <v>70200</v>
      </c>
      <c r="K557" s="1" t="str">
        <f>VLOOKUP(D557,products!A:D,2,FALSE)</f>
        <v>Electronics</v>
      </c>
      <c r="L557" s="1" t="str">
        <f t="shared" si="17"/>
        <v>Feb-2025</v>
      </c>
    </row>
    <row r="558" spans="1:12" x14ac:dyDescent="0.25">
      <c r="A558" s="3" t="s">
        <v>793</v>
      </c>
      <c r="B558" s="6">
        <v>45957</v>
      </c>
      <c r="C558" s="3" t="s">
        <v>36</v>
      </c>
      <c r="D558" s="3" t="s">
        <v>23</v>
      </c>
      <c r="E558" s="3" t="s">
        <v>420</v>
      </c>
      <c r="F558" s="3">
        <v>5</v>
      </c>
      <c r="G558" s="3">
        <v>5</v>
      </c>
      <c r="H558" s="1">
        <f>VLOOKUP(D558,products!A:D,4,FALSE)</f>
        <v>19500</v>
      </c>
      <c r="I558" s="1" t="str">
        <f>VLOOKUP(C558,branches!A:B,2,FALSE)</f>
        <v>Naija Mart Sabon Gari</v>
      </c>
      <c r="J558" s="1">
        <f t="shared" si="16"/>
        <v>92625</v>
      </c>
      <c r="K558" s="1" t="str">
        <f>VLOOKUP(D558,products!A:D,2,FALSE)</f>
        <v>Home Appliances</v>
      </c>
      <c r="L558" s="1" t="str">
        <f t="shared" si="17"/>
        <v>Oct-2025</v>
      </c>
    </row>
    <row r="559" spans="1:12" x14ac:dyDescent="0.25">
      <c r="A559" s="3" t="s">
        <v>794</v>
      </c>
      <c r="B559" s="6">
        <v>45856</v>
      </c>
      <c r="C559" s="3" t="s">
        <v>8</v>
      </c>
      <c r="D559" s="3" t="s">
        <v>56</v>
      </c>
      <c r="E559" s="3" t="s">
        <v>176</v>
      </c>
      <c r="F559" s="3">
        <v>1</v>
      </c>
      <c r="G559" s="3">
        <v>0</v>
      </c>
      <c r="H559" s="1">
        <f>VLOOKUP(D559,products!A:D,4,FALSE)</f>
        <v>285000</v>
      </c>
      <c r="I559" s="1" t="str">
        <f>VLOOKUP(C559,branches!A:B,2,FALSE)</f>
        <v>Naija Mart GRA</v>
      </c>
      <c r="J559" s="1">
        <f t="shared" si="16"/>
        <v>285000</v>
      </c>
      <c r="K559" s="1" t="str">
        <f>VLOOKUP(D559,products!A:D,2,FALSE)</f>
        <v>Home Appliances</v>
      </c>
      <c r="L559" s="1" t="str">
        <f t="shared" si="17"/>
        <v>Jul-2025</v>
      </c>
    </row>
    <row r="560" spans="1:12" x14ac:dyDescent="0.25">
      <c r="A560" s="3" t="s">
        <v>795</v>
      </c>
      <c r="B560" s="6">
        <v>45727</v>
      </c>
      <c r="C560" s="3" t="s">
        <v>36</v>
      </c>
      <c r="D560" s="3" t="s">
        <v>49</v>
      </c>
      <c r="E560" s="3" t="s">
        <v>213</v>
      </c>
      <c r="F560" s="3">
        <v>1</v>
      </c>
      <c r="G560" s="3">
        <v>20</v>
      </c>
      <c r="H560" s="1">
        <f>VLOOKUP(D560,products!A:D,4,FALSE)</f>
        <v>28000</v>
      </c>
      <c r="I560" s="1" t="str">
        <f>VLOOKUP(C560,branches!A:B,2,FALSE)</f>
        <v>Naija Mart Sabon Gari</v>
      </c>
      <c r="J560" s="1">
        <f t="shared" si="16"/>
        <v>22400</v>
      </c>
      <c r="K560" s="1" t="str">
        <f>VLOOKUP(D560,products!A:D,2,FALSE)</f>
        <v>Home Appliances</v>
      </c>
      <c r="L560" s="1" t="str">
        <f t="shared" si="17"/>
        <v>Mar-2025</v>
      </c>
    </row>
    <row r="561" spans="1:12" x14ac:dyDescent="0.25">
      <c r="A561" s="3" t="s">
        <v>796</v>
      </c>
      <c r="B561" s="6">
        <v>46010</v>
      </c>
      <c r="C561" s="3" t="s">
        <v>16</v>
      </c>
      <c r="D561" s="3" t="s">
        <v>258</v>
      </c>
      <c r="E561" s="3" t="s">
        <v>70</v>
      </c>
      <c r="F561" s="3">
        <v>2</v>
      </c>
      <c r="G561" s="3">
        <v>15</v>
      </c>
      <c r="H561" s="1">
        <f>VLOOKUP(D561,products!A:D,4,FALSE)</f>
        <v>95000</v>
      </c>
      <c r="I561" s="1" t="str">
        <f>VLOOKUP(C561,branches!A:B,2,FALSE)</f>
        <v>Naija Mart Ikeja</v>
      </c>
      <c r="J561" s="1">
        <f t="shared" si="16"/>
        <v>161500</v>
      </c>
      <c r="K561" s="1" t="str">
        <f>VLOOKUP(D561,products!A:D,2,FALSE)</f>
        <v>Electronics</v>
      </c>
      <c r="L561" s="1" t="str">
        <f t="shared" si="17"/>
        <v>Dec-2025</v>
      </c>
    </row>
    <row r="562" spans="1:12" x14ac:dyDescent="0.25">
      <c r="A562" s="3" t="s">
        <v>797</v>
      </c>
      <c r="B562" s="6">
        <v>45732</v>
      </c>
      <c r="C562" s="3" t="s">
        <v>36</v>
      </c>
      <c r="D562" s="3" t="s">
        <v>91</v>
      </c>
      <c r="E562" s="3" t="s">
        <v>245</v>
      </c>
      <c r="F562" s="3">
        <v>2</v>
      </c>
      <c r="G562" s="3">
        <v>15</v>
      </c>
      <c r="H562" s="1">
        <f>VLOOKUP(D562,products!A:D,4,FALSE)</f>
        <v>5200</v>
      </c>
      <c r="I562" s="1" t="str">
        <f>VLOOKUP(C562,branches!A:B,2,FALSE)</f>
        <v>Naija Mart Sabon Gari</v>
      </c>
      <c r="J562" s="1">
        <f t="shared" si="16"/>
        <v>8840</v>
      </c>
      <c r="K562" s="1" t="str">
        <f>VLOOKUP(D562,products!A:D,2,FALSE)</f>
        <v>Small Gadgets</v>
      </c>
      <c r="L562" s="1" t="str">
        <f t="shared" si="17"/>
        <v>Mar-2025</v>
      </c>
    </row>
    <row r="563" spans="1:12" x14ac:dyDescent="0.25">
      <c r="A563" s="3" t="s">
        <v>798</v>
      </c>
      <c r="B563" s="6">
        <v>45703</v>
      </c>
      <c r="C563" s="3" t="s">
        <v>36</v>
      </c>
      <c r="D563" s="3" t="s">
        <v>9</v>
      </c>
      <c r="E563" s="3" t="s">
        <v>209</v>
      </c>
      <c r="F563" s="3">
        <v>1</v>
      </c>
      <c r="G563" s="3">
        <v>0</v>
      </c>
      <c r="H563" s="1">
        <f>VLOOKUP(D563,products!A:D,4,FALSE)</f>
        <v>410000</v>
      </c>
      <c r="I563" s="1" t="str">
        <f>VLOOKUP(C563,branches!A:B,2,FALSE)</f>
        <v>Naija Mart Sabon Gari</v>
      </c>
      <c r="J563" s="1">
        <f t="shared" si="16"/>
        <v>410000</v>
      </c>
      <c r="K563" s="1" t="str">
        <f>VLOOKUP(D563,products!A:D,2,FALSE)</f>
        <v>Home Appliances</v>
      </c>
      <c r="L563" s="1" t="str">
        <f t="shared" si="17"/>
        <v>Feb-2025</v>
      </c>
    </row>
    <row r="564" spans="1:12" x14ac:dyDescent="0.25">
      <c r="A564" s="3" t="s">
        <v>799</v>
      </c>
      <c r="B564" s="6">
        <v>45935</v>
      </c>
      <c r="C564" s="3" t="s">
        <v>8</v>
      </c>
      <c r="D564" s="3" t="s">
        <v>43</v>
      </c>
      <c r="E564" s="3" t="s">
        <v>269</v>
      </c>
      <c r="F564" s="3">
        <v>1</v>
      </c>
      <c r="G564" s="3">
        <v>0</v>
      </c>
      <c r="H564" s="1">
        <f>VLOOKUP(D564,products!A:D,4,FALSE)</f>
        <v>74000</v>
      </c>
      <c r="I564" s="1" t="str">
        <f>VLOOKUP(C564,branches!A:B,2,FALSE)</f>
        <v>Naija Mart GRA</v>
      </c>
      <c r="J564" s="1">
        <f t="shared" si="16"/>
        <v>74000</v>
      </c>
      <c r="K564" s="1" t="str">
        <f>VLOOKUP(D564,products!A:D,2,FALSE)</f>
        <v>Home Appliances</v>
      </c>
      <c r="L564" s="1" t="str">
        <f t="shared" si="17"/>
        <v>Oct-2025</v>
      </c>
    </row>
    <row r="565" spans="1:12" x14ac:dyDescent="0.25">
      <c r="A565" s="3" t="s">
        <v>800</v>
      </c>
      <c r="B565" s="6">
        <v>45871</v>
      </c>
      <c r="C565" s="3" t="s">
        <v>16</v>
      </c>
      <c r="D565" s="3" t="s">
        <v>59</v>
      </c>
      <c r="E565" s="3" t="s">
        <v>189</v>
      </c>
      <c r="F565" s="3">
        <v>1</v>
      </c>
      <c r="G565" s="3">
        <v>0</v>
      </c>
      <c r="H565" s="1">
        <f>VLOOKUP(D565,products!A:D,4,FALSE)</f>
        <v>15000</v>
      </c>
      <c r="I565" s="1" t="str">
        <f>VLOOKUP(C565,branches!A:B,2,FALSE)</f>
        <v>Naija Mart Ikeja</v>
      </c>
      <c r="J565" s="1">
        <f t="shared" si="16"/>
        <v>15000</v>
      </c>
      <c r="K565" s="1" t="str">
        <f>VLOOKUP(D565,products!A:D,2,FALSE)</f>
        <v>Home Appliances</v>
      </c>
      <c r="L565" s="1" t="str">
        <f t="shared" si="17"/>
        <v>Aug-2025</v>
      </c>
    </row>
    <row r="566" spans="1:12" x14ac:dyDescent="0.25">
      <c r="A566" s="3" t="s">
        <v>801</v>
      </c>
      <c r="B566" s="6">
        <v>45731</v>
      </c>
      <c r="C566" s="3" t="s">
        <v>16</v>
      </c>
      <c r="D566" s="3" t="s">
        <v>64</v>
      </c>
      <c r="E566" s="3" t="s">
        <v>147</v>
      </c>
      <c r="F566" s="3">
        <v>1</v>
      </c>
      <c r="G566" s="3">
        <v>5</v>
      </c>
      <c r="H566" s="1">
        <f>VLOOKUP(D566,products!A:D,4,FALSE)</f>
        <v>175000</v>
      </c>
      <c r="I566" s="1" t="str">
        <f>VLOOKUP(C566,branches!A:B,2,FALSE)</f>
        <v>Naija Mart Ikeja</v>
      </c>
      <c r="J566" s="1">
        <f t="shared" si="16"/>
        <v>166250</v>
      </c>
      <c r="K566" s="1" t="str">
        <f>VLOOKUP(D566,products!A:D,2,FALSE)</f>
        <v>Generators &amp; Power</v>
      </c>
      <c r="L566" s="1" t="str">
        <f t="shared" si="17"/>
        <v>Mar-2025</v>
      </c>
    </row>
    <row r="567" spans="1:12" x14ac:dyDescent="0.25">
      <c r="A567" s="3" t="s">
        <v>802</v>
      </c>
      <c r="B567" s="6">
        <v>45901</v>
      </c>
      <c r="C567" s="3" t="s">
        <v>8</v>
      </c>
      <c r="D567" s="3" t="s">
        <v>59</v>
      </c>
      <c r="E567" s="3" t="s">
        <v>145</v>
      </c>
      <c r="F567" s="3">
        <v>1</v>
      </c>
      <c r="G567" s="3">
        <v>0</v>
      </c>
      <c r="H567" s="1">
        <f>VLOOKUP(D567,products!A:D,4,FALSE)</f>
        <v>15000</v>
      </c>
      <c r="I567" s="1" t="str">
        <f>VLOOKUP(C567,branches!A:B,2,FALSE)</f>
        <v>Naija Mart GRA</v>
      </c>
      <c r="J567" s="1">
        <f t="shared" si="16"/>
        <v>15000</v>
      </c>
      <c r="K567" s="1" t="str">
        <f>VLOOKUP(D567,products!A:D,2,FALSE)</f>
        <v>Home Appliances</v>
      </c>
      <c r="L567" s="1" t="str">
        <f t="shared" si="17"/>
        <v>Sep-2025</v>
      </c>
    </row>
    <row r="568" spans="1:12" x14ac:dyDescent="0.25">
      <c r="A568" s="3" t="s">
        <v>803</v>
      </c>
      <c r="B568" s="6">
        <v>45823</v>
      </c>
      <c r="C568" s="3" t="s">
        <v>16</v>
      </c>
      <c r="D568" s="3" t="s">
        <v>13</v>
      </c>
      <c r="E568" s="3" t="s">
        <v>293</v>
      </c>
      <c r="F568" s="3">
        <v>1</v>
      </c>
      <c r="G568" s="3">
        <v>0</v>
      </c>
      <c r="H568" s="1">
        <f>VLOOKUP(D568,products!A:D,4,FALSE)</f>
        <v>24000</v>
      </c>
      <c r="I568" s="1" t="str">
        <f>VLOOKUP(C568,branches!A:B,2,FALSE)</f>
        <v>Naija Mart Ikeja</v>
      </c>
      <c r="J568" s="1">
        <f t="shared" si="16"/>
        <v>24000</v>
      </c>
      <c r="K568" s="1" t="str">
        <f>VLOOKUP(D568,products!A:D,2,FALSE)</f>
        <v>Home Appliances</v>
      </c>
      <c r="L568" s="1" t="str">
        <f t="shared" si="17"/>
        <v>Jun-2025</v>
      </c>
    </row>
    <row r="569" spans="1:12" x14ac:dyDescent="0.25">
      <c r="A569" s="3" t="s">
        <v>804</v>
      </c>
      <c r="B569" s="6">
        <v>45756</v>
      </c>
      <c r="C569" s="3" t="s">
        <v>16</v>
      </c>
      <c r="D569" s="3" t="s">
        <v>91</v>
      </c>
      <c r="E569" s="3" t="s">
        <v>219</v>
      </c>
      <c r="F569" s="3">
        <v>1</v>
      </c>
      <c r="G569" s="3">
        <v>15</v>
      </c>
      <c r="H569" s="1">
        <f>VLOOKUP(D569,products!A:D,4,FALSE)</f>
        <v>5200</v>
      </c>
      <c r="I569" s="1" t="str">
        <f>VLOOKUP(C569,branches!A:B,2,FALSE)</f>
        <v>Naija Mart Ikeja</v>
      </c>
      <c r="J569" s="1">
        <f t="shared" si="16"/>
        <v>4420</v>
      </c>
      <c r="K569" s="1" t="str">
        <f>VLOOKUP(D569,products!A:D,2,FALSE)</f>
        <v>Small Gadgets</v>
      </c>
      <c r="L569" s="1" t="str">
        <f t="shared" si="17"/>
        <v>Apr-2025</v>
      </c>
    </row>
    <row r="570" spans="1:12" x14ac:dyDescent="0.25">
      <c r="A570" s="3" t="s">
        <v>805</v>
      </c>
      <c r="B570" s="6">
        <v>45976</v>
      </c>
      <c r="C570" s="3" t="s">
        <v>16</v>
      </c>
      <c r="D570" s="3" t="s">
        <v>40</v>
      </c>
      <c r="E570" s="3" t="s">
        <v>29</v>
      </c>
      <c r="F570" s="3">
        <v>3</v>
      </c>
      <c r="G570" s="3">
        <v>0</v>
      </c>
      <c r="H570" s="1">
        <f>VLOOKUP(D570,products!A:D,4,FALSE)</f>
        <v>195000</v>
      </c>
      <c r="I570" s="1" t="str">
        <f>VLOOKUP(C570,branches!A:B,2,FALSE)</f>
        <v>Naija Mart Ikeja</v>
      </c>
      <c r="J570" s="1">
        <f t="shared" si="16"/>
        <v>585000</v>
      </c>
      <c r="K570" s="1" t="str">
        <f>VLOOKUP(D570,products!A:D,2,FALSE)</f>
        <v>Generators &amp; Power</v>
      </c>
      <c r="L570" s="1" t="str">
        <f t="shared" si="17"/>
        <v>Nov-2025</v>
      </c>
    </row>
    <row r="571" spans="1:12" x14ac:dyDescent="0.25">
      <c r="A571" s="3" t="s">
        <v>806</v>
      </c>
      <c r="B571" s="6">
        <v>45728</v>
      </c>
      <c r="C571" s="3" t="s">
        <v>36</v>
      </c>
      <c r="D571" s="3" t="s">
        <v>56</v>
      </c>
      <c r="E571" s="3" t="s">
        <v>250</v>
      </c>
      <c r="F571" s="3">
        <v>2</v>
      </c>
      <c r="G571" s="3">
        <v>0</v>
      </c>
      <c r="H571" s="1">
        <f>VLOOKUP(D571,products!A:D,4,FALSE)</f>
        <v>285000</v>
      </c>
      <c r="I571" s="1" t="str">
        <f>VLOOKUP(C571,branches!A:B,2,FALSE)</f>
        <v>Naija Mart Sabon Gari</v>
      </c>
      <c r="J571" s="1">
        <f t="shared" si="16"/>
        <v>570000</v>
      </c>
      <c r="K571" s="1" t="str">
        <f>VLOOKUP(D571,products!A:D,2,FALSE)</f>
        <v>Home Appliances</v>
      </c>
      <c r="L571" s="1" t="str">
        <f t="shared" si="17"/>
        <v>Mar-2025</v>
      </c>
    </row>
    <row r="572" spans="1:12" x14ac:dyDescent="0.25">
      <c r="A572" s="3" t="s">
        <v>807</v>
      </c>
      <c r="B572" s="6">
        <v>45832</v>
      </c>
      <c r="C572" s="3" t="s">
        <v>8</v>
      </c>
      <c r="D572" s="3" t="s">
        <v>43</v>
      </c>
      <c r="E572" s="3" t="s">
        <v>122</v>
      </c>
      <c r="F572" s="3">
        <v>2</v>
      </c>
      <c r="G572" s="3">
        <v>0</v>
      </c>
      <c r="H572" s="1">
        <f>VLOOKUP(D572,products!A:D,4,FALSE)</f>
        <v>74000</v>
      </c>
      <c r="I572" s="1" t="str">
        <f>VLOOKUP(C572,branches!A:B,2,FALSE)</f>
        <v>Naija Mart GRA</v>
      </c>
      <c r="J572" s="1">
        <f t="shared" si="16"/>
        <v>148000</v>
      </c>
      <c r="K572" s="1" t="str">
        <f>VLOOKUP(D572,products!A:D,2,FALSE)</f>
        <v>Home Appliances</v>
      </c>
      <c r="L572" s="1" t="str">
        <f t="shared" si="17"/>
        <v>Jun-2025</v>
      </c>
    </row>
    <row r="573" spans="1:12" x14ac:dyDescent="0.25">
      <c r="A573" s="3" t="s">
        <v>808</v>
      </c>
      <c r="B573" s="6">
        <v>45820</v>
      </c>
      <c r="C573" s="3" t="s">
        <v>36</v>
      </c>
      <c r="D573" s="3" t="s">
        <v>126</v>
      </c>
      <c r="E573" s="3" t="s">
        <v>809</v>
      </c>
      <c r="F573" s="3">
        <v>1</v>
      </c>
      <c r="G573" s="3">
        <v>5</v>
      </c>
      <c r="H573" s="1">
        <f>VLOOKUP(D573,products!A:D,4,FALSE)</f>
        <v>185000</v>
      </c>
      <c r="I573" s="1" t="str">
        <f>VLOOKUP(C573,branches!A:B,2,FALSE)</f>
        <v>Naija Mart Sabon Gari</v>
      </c>
      <c r="J573" s="1">
        <f t="shared" si="16"/>
        <v>175750</v>
      </c>
      <c r="K573" s="1" t="str">
        <f>VLOOKUP(D573,products!A:D,2,FALSE)</f>
        <v>Electronics</v>
      </c>
      <c r="L573" s="1" t="str">
        <f t="shared" si="17"/>
        <v>Jun-2025</v>
      </c>
    </row>
    <row r="574" spans="1:12" x14ac:dyDescent="0.25">
      <c r="A574" s="3" t="s">
        <v>810</v>
      </c>
      <c r="B574" s="6">
        <v>45965</v>
      </c>
      <c r="C574" s="3" t="s">
        <v>8</v>
      </c>
      <c r="D574" s="3" t="s">
        <v>46</v>
      </c>
      <c r="E574" s="3" t="s">
        <v>461</v>
      </c>
      <c r="F574" s="3">
        <v>3</v>
      </c>
      <c r="G574" s="3">
        <v>5</v>
      </c>
      <c r="H574" s="1">
        <f>VLOOKUP(D574,products!A:D,4,FALSE)</f>
        <v>62000</v>
      </c>
      <c r="I574" s="1" t="str">
        <f>VLOOKUP(C574,branches!A:B,2,FALSE)</f>
        <v>Naija Mart GRA</v>
      </c>
      <c r="J574" s="1">
        <f t="shared" si="16"/>
        <v>176700</v>
      </c>
      <c r="K574" s="1" t="str">
        <f>VLOOKUP(D574,products!A:D,2,FALSE)</f>
        <v>Home Appliances</v>
      </c>
      <c r="L574" s="1" t="str">
        <f t="shared" si="17"/>
        <v>Nov-2025</v>
      </c>
    </row>
    <row r="575" spans="1:12" x14ac:dyDescent="0.25">
      <c r="A575" s="3" t="s">
        <v>811</v>
      </c>
      <c r="B575" s="6">
        <v>45718</v>
      </c>
      <c r="C575" s="3" t="s">
        <v>16</v>
      </c>
      <c r="D575" s="3" t="s">
        <v>94</v>
      </c>
      <c r="E575" s="3" t="s">
        <v>87</v>
      </c>
      <c r="F575" s="3">
        <v>1</v>
      </c>
      <c r="G575" s="3">
        <v>0</v>
      </c>
      <c r="H575" s="1">
        <f>VLOOKUP(D575,products!A:D,4,FALSE)</f>
        <v>320000</v>
      </c>
      <c r="I575" s="1" t="str">
        <f>VLOOKUP(C575,branches!A:B,2,FALSE)</f>
        <v>Naija Mart Ikeja</v>
      </c>
      <c r="J575" s="1">
        <f t="shared" si="16"/>
        <v>320000</v>
      </c>
      <c r="K575" s="1" t="str">
        <f>VLOOKUP(D575,products!A:D,2,FALSE)</f>
        <v>Electronics</v>
      </c>
      <c r="L575" s="1" t="str">
        <f t="shared" si="17"/>
        <v>Mar-2025</v>
      </c>
    </row>
    <row r="576" spans="1:12" x14ac:dyDescent="0.25">
      <c r="A576" s="3" t="s">
        <v>812</v>
      </c>
      <c r="B576" s="6">
        <v>45981</v>
      </c>
      <c r="C576" s="3" t="s">
        <v>12</v>
      </c>
      <c r="D576" s="3" t="s">
        <v>59</v>
      </c>
      <c r="E576" s="3" t="s">
        <v>143</v>
      </c>
      <c r="F576" s="3">
        <v>2</v>
      </c>
      <c r="G576" s="3">
        <v>0</v>
      </c>
      <c r="H576" s="1">
        <f>VLOOKUP(D576,products!A:D,4,FALSE)</f>
        <v>15000</v>
      </c>
      <c r="I576" s="1" t="str">
        <f>VLOOKUP(C576,branches!A:B,2,FALSE)</f>
        <v>Naija Mart Wuse</v>
      </c>
      <c r="J576" s="1">
        <f t="shared" si="16"/>
        <v>30000</v>
      </c>
      <c r="K576" s="1" t="str">
        <f>VLOOKUP(D576,products!A:D,2,FALSE)</f>
        <v>Home Appliances</v>
      </c>
      <c r="L576" s="1" t="str">
        <f t="shared" si="17"/>
        <v>Nov-2025</v>
      </c>
    </row>
    <row r="577" spans="1:12" x14ac:dyDescent="0.25">
      <c r="A577" s="3" t="s">
        <v>813</v>
      </c>
      <c r="B577" s="6">
        <v>45978</v>
      </c>
      <c r="C577" s="3" t="s">
        <v>12</v>
      </c>
      <c r="D577" s="3" t="s">
        <v>91</v>
      </c>
      <c r="E577" s="3" t="s">
        <v>475</v>
      </c>
      <c r="F577" s="3">
        <v>1</v>
      </c>
      <c r="G577" s="3">
        <v>30</v>
      </c>
      <c r="H577" s="1">
        <f>VLOOKUP(D577,products!A:D,4,FALSE)</f>
        <v>5200</v>
      </c>
      <c r="I577" s="1" t="str">
        <f>VLOOKUP(C577,branches!A:B,2,FALSE)</f>
        <v>Naija Mart Wuse</v>
      </c>
      <c r="J577" s="1">
        <f t="shared" si="16"/>
        <v>3639.9999999999995</v>
      </c>
      <c r="K577" s="1" t="str">
        <f>VLOOKUP(D577,products!A:D,2,FALSE)</f>
        <v>Small Gadgets</v>
      </c>
      <c r="L577" s="1" t="str">
        <f t="shared" si="17"/>
        <v>Nov-2025</v>
      </c>
    </row>
    <row r="578" spans="1:12" x14ac:dyDescent="0.25">
      <c r="A578" s="3" t="s">
        <v>814</v>
      </c>
      <c r="B578" s="6">
        <v>45698</v>
      </c>
      <c r="C578" s="3" t="s">
        <v>12</v>
      </c>
      <c r="D578" s="3" t="s">
        <v>17</v>
      </c>
      <c r="E578" s="3" t="s">
        <v>38</v>
      </c>
      <c r="F578" s="3">
        <v>1</v>
      </c>
      <c r="G578" s="3">
        <v>0</v>
      </c>
      <c r="H578" s="1">
        <f>VLOOKUP(D578,products!A:D,4,FALSE)</f>
        <v>22000</v>
      </c>
      <c r="I578" s="1" t="str">
        <f>VLOOKUP(C578,branches!A:B,2,FALSE)</f>
        <v>Naija Mart Wuse</v>
      </c>
      <c r="J578" s="1">
        <f t="shared" si="16"/>
        <v>22000</v>
      </c>
      <c r="K578" s="1" t="str">
        <f>VLOOKUP(D578,products!A:D,2,FALSE)</f>
        <v>Home Appliances</v>
      </c>
      <c r="L578" s="1" t="str">
        <f t="shared" si="17"/>
        <v>Feb-2025</v>
      </c>
    </row>
    <row r="579" spans="1:12" x14ac:dyDescent="0.25">
      <c r="A579" s="3" t="s">
        <v>815</v>
      </c>
      <c r="B579" s="6">
        <v>45791</v>
      </c>
      <c r="C579" s="3" t="s">
        <v>36</v>
      </c>
      <c r="D579" s="3" t="s">
        <v>26</v>
      </c>
      <c r="E579" s="3" t="s">
        <v>551</v>
      </c>
      <c r="F579" s="3">
        <v>1</v>
      </c>
      <c r="G579" s="3">
        <v>10</v>
      </c>
      <c r="H579" s="1">
        <f>VLOOKUP(D579,products!A:D,4,FALSE)</f>
        <v>145000</v>
      </c>
      <c r="I579" s="1" t="str">
        <f>VLOOKUP(C579,branches!A:B,2,FALSE)</f>
        <v>Naija Mart Sabon Gari</v>
      </c>
      <c r="J579" s="1">
        <f t="shared" ref="J579:J642" si="18">F579*H579*(1-G579/100)</f>
        <v>130500</v>
      </c>
      <c r="K579" s="1" t="str">
        <f>VLOOKUP(D579,products!A:D,2,FALSE)</f>
        <v>Electronics</v>
      </c>
      <c r="L579" s="1" t="str">
        <f t="shared" ref="L579:L642" si="19">TEXT(B579,"mmm-yyyy")</f>
        <v>May-2025</v>
      </c>
    </row>
    <row r="580" spans="1:12" x14ac:dyDescent="0.25">
      <c r="A580" s="3" t="s">
        <v>816</v>
      </c>
      <c r="B580" s="6">
        <v>45784</v>
      </c>
      <c r="C580" s="3" t="s">
        <v>36</v>
      </c>
      <c r="D580" s="3" t="s">
        <v>51</v>
      </c>
      <c r="E580" s="3" t="s">
        <v>526</v>
      </c>
      <c r="F580" s="3">
        <v>3</v>
      </c>
      <c r="G580" s="3">
        <v>10</v>
      </c>
      <c r="H580" s="1">
        <f>VLOOKUP(D580,products!A:D,4,FALSE)</f>
        <v>18000</v>
      </c>
      <c r="I580" s="1" t="str">
        <f>VLOOKUP(C580,branches!A:B,2,FALSE)</f>
        <v>Naija Mart Sabon Gari</v>
      </c>
      <c r="J580" s="1">
        <f t="shared" si="18"/>
        <v>48600</v>
      </c>
      <c r="K580" s="1" t="str">
        <f>VLOOKUP(D580,products!A:D,2,FALSE)</f>
        <v>Small Gadgets</v>
      </c>
      <c r="L580" s="1" t="str">
        <f t="shared" si="19"/>
        <v>May-2025</v>
      </c>
    </row>
    <row r="581" spans="1:12" x14ac:dyDescent="0.25">
      <c r="A581" s="3" t="s">
        <v>817</v>
      </c>
      <c r="B581" s="6">
        <v>45740</v>
      </c>
      <c r="C581" s="3" t="s">
        <v>16</v>
      </c>
      <c r="D581" s="3" t="s">
        <v>26</v>
      </c>
      <c r="E581" s="3" t="s">
        <v>182</v>
      </c>
      <c r="F581" s="3">
        <v>1</v>
      </c>
      <c r="G581" s="3">
        <v>10</v>
      </c>
      <c r="H581" s="1">
        <f>VLOOKUP(D581,products!A:D,4,FALSE)</f>
        <v>145000</v>
      </c>
      <c r="I581" s="1" t="str">
        <f>VLOOKUP(C581,branches!A:B,2,FALSE)</f>
        <v>Naija Mart Ikeja</v>
      </c>
      <c r="J581" s="1">
        <f t="shared" si="18"/>
        <v>130500</v>
      </c>
      <c r="K581" s="1" t="str">
        <f>VLOOKUP(D581,products!A:D,2,FALSE)</f>
        <v>Electronics</v>
      </c>
      <c r="L581" s="1" t="str">
        <f t="shared" si="19"/>
        <v>Mar-2025</v>
      </c>
    </row>
    <row r="582" spans="1:12" x14ac:dyDescent="0.25">
      <c r="A582" s="3" t="s">
        <v>818</v>
      </c>
      <c r="B582" s="6">
        <v>45822</v>
      </c>
      <c r="C582" s="3" t="s">
        <v>16</v>
      </c>
      <c r="D582" s="3" t="s">
        <v>94</v>
      </c>
      <c r="E582" s="3" t="s">
        <v>819</v>
      </c>
      <c r="F582" s="3">
        <v>1</v>
      </c>
      <c r="G582" s="3">
        <v>0</v>
      </c>
      <c r="H582" s="1">
        <f>VLOOKUP(D582,products!A:D,4,FALSE)</f>
        <v>320000</v>
      </c>
      <c r="I582" s="1" t="str">
        <f>VLOOKUP(C582,branches!A:B,2,FALSE)</f>
        <v>Naija Mart Ikeja</v>
      </c>
      <c r="J582" s="1">
        <f t="shared" si="18"/>
        <v>320000</v>
      </c>
      <c r="K582" s="1" t="str">
        <f>VLOOKUP(D582,products!A:D,2,FALSE)</f>
        <v>Electronics</v>
      </c>
      <c r="L582" s="1" t="str">
        <f t="shared" si="19"/>
        <v>Jun-2025</v>
      </c>
    </row>
    <row r="583" spans="1:12" x14ac:dyDescent="0.25">
      <c r="A583" s="3" t="s">
        <v>820</v>
      </c>
      <c r="B583" s="6">
        <v>45925</v>
      </c>
      <c r="C583" s="3" t="s">
        <v>8</v>
      </c>
      <c r="D583" s="3" t="s">
        <v>258</v>
      </c>
      <c r="E583" s="3" t="s">
        <v>240</v>
      </c>
      <c r="F583" s="3">
        <v>1</v>
      </c>
      <c r="G583" s="3">
        <v>0</v>
      </c>
      <c r="H583" s="1">
        <f>VLOOKUP(D583,products!A:D,4,FALSE)</f>
        <v>95000</v>
      </c>
      <c r="I583" s="1" t="str">
        <f>VLOOKUP(C583,branches!A:B,2,FALSE)</f>
        <v>Naija Mart GRA</v>
      </c>
      <c r="J583" s="1">
        <f t="shared" si="18"/>
        <v>95000</v>
      </c>
      <c r="K583" s="1" t="str">
        <f>VLOOKUP(D583,products!A:D,2,FALSE)</f>
        <v>Electronics</v>
      </c>
      <c r="L583" s="1" t="str">
        <f t="shared" si="19"/>
        <v>Sep-2025</v>
      </c>
    </row>
    <row r="584" spans="1:12" x14ac:dyDescent="0.25">
      <c r="A584" s="3" t="s">
        <v>821</v>
      </c>
      <c r="B584" s="6">
        <v>45992</v>
      </c>
      <c r="C584" s="3" t="s">
        <v>16</v>
      </c>
      <c r="D584" s="3" t="s">
        <v>80</v>
      </c>
      <c r="E584" s="3" t="s">
        <v>407</v>
      </c>
      <c r="F584" s="3">
        <v>2</v>
      </c>
      <c r="G584" s="3">
        <v>10</v>
      </c>
      <c r="H584" s="1">
        <f>VLOOKUP(D584,products!A:D,4,FALSE)</f>
        <v>265000</v>
      </c>
      <c r="I584" s="1" t="str">
        <f>VLOOKUP(C584,branches!A:B,2,FALSE)</f>
        <v>Naija Mart Ikeja</v>
      </c>
      <c r="J584" s="1">
        <f t="shared" si="18"/>
        <v>477000</v>
      </c>
      <c r="K584" s="1" t="str">
        <f>VLOOKUP(D584,products!A:D,2,FALSE)</f>
        <v>Home Appliances</v>
      </c>
      <c r="L584" s="1" t="str">
        <f t="shared" si="19"/>
        <v>Dec-2025</v>
      </c>
    </row>
    <row r="585" spans="1:12" x14ac:dyDescent="0.25">
      <c r="A585" s="3" t="s">
        <v>822</v>
      </c>
      <c r="B585" s="6">
        <v>45831</v>
      </c>
      <c r="C585" s="3" t="s">
        <v>12</v>
      </c>
      <c r="D585" s="3" t="s">
        <v>46</v>
      </c>
      <c r="E585" s="3" t="s">
        <v>823</v>
      </c>
      <c r="F585" s="3">
        <v>2</v>
      </c>
      <c r="G585" s="3">
        <v>0</v>
      </c>
      <c r="H585" s="1">
        <f>VLOOKUP(D585,products!A:D,4,FALSE)</f>
        <v>62000</v>
      </c>
      <c r="I585" s="1" t="str">
        <f>VLOOKUP(C585,branches!A:B,2,FALSE)</f>
        <v>Naija Mart Wuse</v>
      </c>
      <c r="J585" s="1">
        <f t="shared" si="18"/>
        <v>124000</v>
      </c>
      <c r="K585" s="1" t="str">
        <f>VLOOKUP(D585,products!A:D,2,FALSE)</f>
        <v>Home Appliances</v>
      </c>
      <c r="L585" s="1" t="str">
        <f t="shared" si="19"/>
        <v>Jun-2025</v>
      </c>
    </row>
    <row r="586" spans="1:12" x14ac:dyDescent="0.25">
      <c r="A586" s="3" t="s">
        <v>824</v>
      </c>
      <c r="B586" s="6">
        <v>45846</v>
      </c>
      <c r="C586" s="3" t="s">
        <v>16</v>
      </c>
      <c r="D586" s="3" t="s">
        <v>258</v>
      </c>
      <c r="E586" s="3" t="s">
        <v>70</v>
      </c>
      <c r="F586" s="3">
        <v>2</v>
      </c>
      <c r="G586" s="3">
        <v>15</v>
      </c>
      <c r="H586" s="1">
        <f>VLOOKUP(D586,products!A:D,4,FALSE)</f>
        <v>95000</v>
      </c>
      <c r="I586" s="1" t="str">
        <f>VLOOKUP(C586,branches!A:B,2,FALSE)</f>
        <v>Naija Mart Ikeja</v>
      </c>
      <c r="J586" s="1">
        <f t="shared" si="18"/>
        <v>161500</v>
      </c>
      <c r="K586" s="1" t="str">
        <f>VLOOKUP(D586,products!A:D,2,FALSE)</f>
        <v>Electronics</v>
      </c>
      <c r="L586" s="1" t="str">
        <f t="shared" si="19"/>
        <v>Jul-2025</v>
      </c>
    </row>
    <row r="587" spans="1:12" x14ac:dyDescent="0.25">
      <c r="A587" s="3" t="s">
        <v>825</v>
      </c>
      <c r="B587" s="6">
        <v>46009</v>
      </c>
      <c r="C587" s="3" t="s">
        <v>8</v>
      </c>
      <c r="D587" s="3" t="s">
        <v>46</v>
      </c>
      <c r="E587" s="3" t="s">
        <v>308</v>
      </c>
      <c r="F587" s="3">
        <v>1</v>
      </c>
      <c r="G587" s="3">
        <v>30</v>
      </c>
      <c r="H587" s="1">
        <f>VLOOKUP(D587,products!A:D,4,FALSE)</f>
        <v>62000</v>
      </c>
      <c r="I587" s="1" t="str">
        <f>VLOOKUP(C587,branches!A:B,2,FALSE)</f>
        <v>Naija Mart GRA</v>
      </c>
      <c r="J587" s="1">
        <f t="shared" si="18"/>
        <v>43400</v>
      </c>
      <c r="K587" s="1" t="str">
        <f>VLOOKUP(D587,products!A:D,2,FALSE)</f>
        <v>Home Appliances</v>
      </c>
      <c r="L587" s="1" t="str">
        <f t="shared" si="19"/>
        <v>Dec-2025</v>
      </c>
    </row>
    <row r="588" spans="1:12" x14ac:dyDescent="0.25">
      <c r="A588" s="3" t="s">
        <v>826</v>
      </c>
      <c r="B588" s="6">
        <v>46004</v>
      </c>
      <c r="C588" s="3" t="s">
        <v>16</v>
      </c>
      <c r="D588" s="3" t="s">
        <v>13</v>
      </c>
      <c r="E588" s="3" t="s">
        <v>167</v>
      </c>
      <c r="F588" s="3">
        <v>5</v>
      </c>
      <c r="G588" s="3">
        <v>15</v>
      </c>
      <c r="H588" s="1">
        <f>VLOOKUP(D588,products!A:D,4,FALSE)</f>
        <v>24000</v>
      </c>
      <c r="I588" s="1" t="str">
        <f>VLOOKUP(C588,branches!A:B,2,FALSE)</f>
        <v>Naija Mart Ikeja</v>
      </c>
      <c r="J588" s="1">
        <f t="shared" si="18"/>
        <v>102000</v>
      </c>
      <c r="K588" s="1" t="str">
        <f>VLOOKUP(D588,products!A:D,2,FALSE)</f>
        <v>Home Appliances</v>
      </c>
      <c r="L588" s="1" t="str">
        <f t="shared" si="19"/>
        <v>Dec-2025</v>
      </c>
    </row>
    <row r="589" spans="1:12" x14ac:dyDescent="0.25">
      <c r="A589" s="3" t="s">
        <v>827</v>
      </c>
      <c r="B589" s="6">
        <v>45800</v>
      </c>
      <c r="C589" s="3" t="s">
        <v>8</v>
      </c>
      <c r="D589" s="3" t="s">
        <v>80</v>
      </c>
      <c r="E589" s="3" t="s">
        <v>243</v>
      </c>
      <c r="F589" s="3">
        <v>1</v>
      </c>
      <c r="G589" s="3">
        <v>10</v>
      </c>
      <c r="H589" s="1">
        <f>VLOOKUP(D589,products!A:D,4,FALSE)</f>
        <v>265000</v>
      </c>
      <c r="I589" s="1" t="str">
        <f>VLOOKUP(C589,branches!A:B,2,FALSE)</f>
        <v>Naija Mart GRA</v>
      </c>
      <c r="J589" s="1">
        <f t="shared" si="18"/>
        <v>238500</v>
      </c>
      <c r="K589" s="1" t="str">
        <f>VLOOKUP(D589,products!A:D,2,FALSE)</f>
        <v>Home Appliances</v>
      </c>
      <c r="L589" s="1" t="str">
        <f t="shared" si="19"/>
        <v>May-2025</v>
      </c>
    </row>
    <row r="590" spans="1:12" x14ac:dyDescent="0.25">
      <c r="A590" s="3" t="s">
        <v>828</v>
      </c>
      <c r="B590" s="6">
        <v>45909</v>
      </c>
      <c r="C590" s="3" t="s">
        <v>16</v>
      </c>
      <c r="D590" s="3" t="s">
        <v>126</v>
      </c>
      <c r="E590" s="3" t="s">
        <v>648</v>
      </c>
      <c r="F590" s="3">
        <v>2</v>
      </c>
      <c r="G590" s="3">
        <v>25</v>
      </c>
      <c r="H590" s="1">
        <f>VLOOKUP(D590,products!A:D,4,FALSE)</f>
        <v>185000</v>
      </c>
      <c r="I590" s="1" t="str">
        <f>VLOOKUP(C590,branches!A:B,2,FALSE)</f>
        <v>Naija Mart Ikeja</v>
      </c>
      <c r="J590" s="1">
        <f t="shared" si="18"/>
        <v>277500</v>
      </c>
      <c r="K590" s="1" t="str">
        <f>VLOOKUP(D590,products!A:D,2,FALSE)</f>
        <v>Electronics</v>
      </c>
      <c r="L590" s="1" t="str">
        <f t="shared" si="19"/>
        <v>Sep-2025</v>
      </c>
    </row>
    <row r="591" spans="1:12" x14ac:dyDescent="0.25">
      <c r="A591" s="3" t="s">
        <v>829</v>
      </c>
      <c r="B591" s="6">
        <v>46005</v>
      </c>
      <c r="C591" s="3" t="s">
        <v>8</v>
      </c>
      <c r="D591" s="3" t="s">
        <v>13</v>
      </c>
      <c r="E591" s="3" t="s">
        <v>67</v>
      </c>
      <c r="F591" s="3">
        <v>1</v>
      </c>
      <c r="G591" s="3">
        <v>10</v>
      </c>
      <c r="H591" s="1">
        <f>VLOOKUP(D591,products!A:D,4,FALSE)</f>
        <v>24000</v>
      </c>
      <c r="I591" s="1" t="str">
        <f>VLOOKUP(C591,branches!A:B,2,FALSE)</f>
        <v>Naija Mart GRA</v>
      </c>
      <c r="J591" s="1">
        <f t="shared" si="18"/>
        <v>21600</v>
      </c>
      <c r="K591" s="1" t="str">
        <f>VLOOKUP(D591,products!A:D,2,FALSE)</f>
        <v>Home Appliances</v>
      </c>
      <c r="L591" s="1" t="str">
        <f t="shared" si="19"/>
        <v>Dec-2025</v>
      </c>
    </row>
    <row r="592" spans="1:12" x14ac:dyDescent="0.25">
      <c r="A592" s="3" t="s">
        <v>830</v>
      </c>
      <c r="B592" s="6">
        <v>45722</v>
      </c>
      <c r="C592" s="3" t="s">
        <v>12</v>
      </c>
      <c r="D592" s="3" t="s">
        <v>64</v>
      </c>
      <c r="E592" s="3" t="s">
        <v>605</v>
      </c>
      <c r="F592" s="3">
        <v>1</v>
      </c>
      <c r="G592" s="3">
        <v>10</v>
      </c>
      <c r="H592" s="1">
        <f>VLOOKUP(D592,products!A:D,4,FALSE)</f>
        <v>175000</v>
      </c>
      <c r="I592" s="1" t="str">
        <f>VLOOKUP(C592,branches!A:B,2,FALSE)</f>
        <v>Naija Mart Wuse</v>
      </c>
      <c r="J592" s="1">
        <f t="shared" si="18"/>
        <v>157500</v>
      </c>
      <c r="K592" s="1" t="str">
        <f>VLOOKUP(D592,products!A:D,2,FALSE)</f>
        <v>Generators &amp; Power</v>
      </c>
      <c r="L592" s="1" t="str">
        <f t="shared" si="19"/>
        <v>Mar-2025</v>
      </c>
    </row>
    <row r="593" spans="1:12" x14ac:dyDescent="0.25">
      <c r="A593" s="3" t="s">
        <v>831</v>
      </c>
      <c r="B593" s="6">
        <v>45675</v>
      </c>
      <c r="C593" s="3" t="s">
        <v>36</v>
      </c>
      <c r="D593" s="3" t="s">
        <v>97</v>
      </c>
      <c r="E593" s="3" t="s">
        <v>459</v>
      </c>
      <c r="F593" s="3">
        <v>2</v>
      </c>
      <c r="G593" s="3">
        <v>0</v>
      </c>
      <c r="H593" s="1">
        <f>VLOOKUP(D593,products!A:D,4,FALSE)</f>
        <v>21000</v>
      </c>
      <c r="I593" s="1" t="str">
        <f>VLOOKUP(C593,branches!A:B,2,FALSE)</f>
        <v>Naija Mart Sabon Gari</v>
      </c>
      <c r="J593" s="1">
        <f t="shared" si="18"/>
        <v>42000</v>
      </c>
      <c r="K593" s="1" t="str">
        <f>VLOOKUP(D593,products!A:D,2,FALSE)</f>
        <v>Small Gadgets</v>
      </c>
      <c r="L593" s="1" t="str">
        <f t="shared" si="19"/>
        <v>Jan-2025</v>
      </c>
    </row>
    <row r="594" spans="1:12" x14ac:dyDescent="0.25">
      <c r="A594" s="3" t="s">
        <v>832</v>
      </c>
      <c r="B594" s="6">
        <v>45811</v>
      </c>
      <c r="C594" s="3" t="s">
        <v>12</v>
      </c>
      <c r="D594" s="3" t="s">
        <v>20</v>
      </c>
      <c r="E594" s="3" t="s">
        <v>650</v>
      </c>
      <c r="F594" s="3">
        <v>1</v>
      </c>
      <c r="G594" s="3">
        <v>0</v>
      </c>
      <c r="H594" s="1">
        <f>VLOOKUP(D594,products!A:D,4,FALSE)</f>
        <v>38000</v>
      </c>
      <c r="I594" s="1" t="str">
        <f>VLOOKUP(C594,branches!A:B,2,FALSE)</f>
        <v>Naija Mart Wuse</v>
      </c>
      <c r="J594" s="1">
        <f t="shared" si="18"/>
        <v>38000</v>
      </c>
      <c r="K594" s="1" t="str">
        <f>VLOOKUP(D594,products!A:D,2,FALSE)</f>
        <v>Electronics</v>
      </c>
      <c r="L594" s="1" t="str">
        <f t="shared" si="19"/>
        <v>Jun-2025</v>
      </c>
    </row>
    <row r="595" spans="1:12" x14ac:dyDescent="0.25">
      <c r="A595" s="3" t="s">
        <v>833</v>
      </c>
      <c r="B595" s="6">
        <v>45924</v>
      </c>
      <c r="C595" s="3" t="s">
        <v>8</v>
      </c>
      <c r="D595" s="3" t="s">
        <v>197</v>
      </c>
      <c r="E595" s="3" t="s">
        <v>341</v>
      </c>
      <c r="F595" s="3">
        <v>1</v>
      </c>
      <c r="G595" s="3">
        <v>0</v>
      </c>
      <c r="H595" s="1">
        <f>VLOOKUP(D595,products!A:D,4,FALSE)</f>
        <v>78000</v>
      </c>
      <c r="I595" s="1" t="str">
        <f>VLOOKUP(C595,branches!A:B,2,FALSE)</f>
        <v>Naija Mart GRA</v>
      </c>
      <c r="J595" s="1">
        <f t="shared" si="18"/>
        <v>78000</v>
      </c>
      <c r="K595" s="1" t="str">
        <f>VLOOKUP(D595,products!A:D,2,FALSE)</f>
        <v>Electronics</v>
      </c>
      <c r="L595" s="1" t="str">
        <f t="shared" si="19"/>
        <v>Sep-2025</v>
      </c>
    </row>
    <row r="596" spans="1:12" x14ac:dyDescent="0.25">
      <c r="A596" s="3" t="s">
        <v>834</v>
      </c>
      <c r="B596" s="6">
        <v>45937</v>
      </c>
      <c r="C596" s="3" t="s">
        <v>8</v>
      </c>
      <c r="D596" s="3" t="s">
        <v>80</v>
      </c>
      <c r="E596" s="3" t="s">
        <v>349</v>
      </c>
      <c r="F596" s="3">
        <v>1</v>
      </c>
      <c r="G596" s="3">
        <v>5</v>
      </c>
      <c r="H596" s="1">
        <f>VLOOKUP(D596,products!A:D,4,FALSE)</f>
        <v>265000</v>
      </c>
      <c r="I596" s="1" t="str">
        <f>VLOOKUP(C596,branches!A:B,2,FALSE)</f>
        <v>Naija Mart GRA</v>
      </c>
      <c r="J596" s="1">
        <f t="shared" si="18"/>
        <v>251750</v>
      </c>
      <c r="K596" s="1" t="str">
        <f>VLOOKUP(D596,products!A:D,2,FALSE)</f>
        <v>Home Appliances</v>
      </c>
      <c r="L596" s="1" t="str">
        <f t="shared" si="19"/>
        <v>Oct-2025</v>
      </c>
    </row>
    <row r="597" spans="1:12" x14ac:dyDescent="0.25">
      <c r="A597" s="3" t="s">
        <v>835</v>
      </c>
      <c r="B597" s="6">
        <v>45755</v>
      </c>
      <c r="C597" s="3" t="s">
        <v>8</v>
      </c>
      <c r="D597" s="3" t="s">
        <v>197</v>
      </c>
      <c r="E597" s="3" t="s">
        <v>459</v>
      </c>
      <c r="F597" s="3">
        <v>1</v>
      </c>
      <c r="G597" s="3">
        <v>0</v>
      </c>
      <c r="H597" s="1">
        <f>VLOOKUP(D597,products!A:D,4,FALSE)</f>
        <v>78000</v>
      </c>
      <c r="I597" s="1" t="str">
        <f>VLOOKUP(C597,branches!A:B,2,FALSE)</f>
        <v>Naija Mart GRA</v>
      </c>
      <c r="J597" s="1">
        <f t="shared" si="18"/>
        <v>78000</v>
      </c>
      <c r="K597" s="1" t="str">
        <f>VLOOKUP(D597,products!A:D,2,FALSE)</f>
        <v>Electronics</v>
      </c>
      <c r="L597" s="1" t="str">
        <f t="shared" si="19"/>
        <v>Apr-2025</v>
      </c>
    </row>
    <row r="598" spans="1:12" x14ac:dyDescent="0.25">
      <c r="A598" s="3" t="s">
        <v>836</v>
      </c>
      <c r="B598" s="6">
        <v>45766</v>
      </c>
      <c r="C598" s="3" t="s">
        <v>16</v>
      </c>
      <c r="D598" s="3" t="s">
        <v>91</v>
      </c>
      <c r="E598" s="3" t="s">
        <v>200</v>
      </c>
      <c r="F598" s="3">
        <v>2</v>
      </c>
      <c r="G598" s="3">
        <v>0</v>
      </c>
      <c r="H598" s="1">
        <f>VLOOKUP(D598,products!A:D,4,FALSE)</f>
        <v>5200</v>
      </c>
      <c r="I598" s="1" t="str">
        <f>VLOOKUP(C598,branches!A:B,2,FALSE)</f>
        <v>Naija Mart Ikeja</v>
      </c>
      <c r="J598" s="1">
        <f t="shared" si="18"/>
        <v>10400</v>
      </c>
      <c r="K598" s="1" t="str">
        <f>VLOOKUP(D598,products!A:D,2,FALSE)</f>
        <v>Small Gadgets</v>
      </c>
      <c r="L598" s="1" t="str">
        <f t="shared" si="19"/>
        <v>Apr-2025</v>
      </c>
    </row>
    <row r="599" spans="1:12" x14ac:dyDescent="0.25">
      <c r="A599" s="3" t="s">
        <v>837</v>
      </c>
      <c r="B599" s="6">
        <v>45728</v>
      </c>
      <c r="C599" s="3" t="s">
        <v>12</v>
      </c>
      <c r="D599" s="3" t="s">
        <v>56</v>
      </c>
      <c r="E599" s="3" t="s">
        <v>326</v>
      </c>
      <c r="F599" s="3">
        <v>1</v>
      </c>
      <c r="G599" s="3">
        <v>25</v>
      </c>
      <c r="H599" s="1">
        <f>VLOOKUP(D599,products!A:D,4,FALSE)</f>
        <v>285000</v>
      </c>
      <c r="I599" s="1" t="str">
        <f>VLOOKUP(C599,branches!A:B,2,FALSE)</f>
        <v>Naija Mart Wuse</v>
      </c>
      <c r="J599" s="1">
        <f t="shared" si="18"/>
        <v>213750</v>
      </c>
      <c r="K599" s="1" t="str">
        <f>VLOOKUP(D599,products!A:D,2,FALSE)</f>
        <v>Home Appliances</v>
      </c>
      <c r="L599" s="1" t="str">
        <f t="shared" si="19"/>
        <v>Mar-2025</v>
      </c>
    </row>
    <row r="600" spans="1:12" x14ac:dyDescent="0.25">
      <c r="A600" s="3" t="s">
        <v>838</v>
      </c>
      <c r="B600" s="6">
        <v>45847</v>
      </c>
      <c r="C600" s="3" t="s">
        <v>12</v>
      </c>
      <c r="D600" s="3" t="s">
        <v>197</v>
      </c>
      <c r="E600" s="3" t="s">
        <v>420</v>
      </c>
      <c r="F600" s="3">
        <v>2</v>
      </c>
      <c r="G600" s="3">
        <v>5</v>
      </c>
      <c r="H600" s="1">
        <f>VLOOKUP(D600,products!A:D,4,FALSE)</f>
        <v>78000</v>
      </c>
      <c r="I600" s="1" t="str">
        <f>VLOOKUP(C600,branches!A:B,2,FALSE)</f>
        <v>Naija Mart Wuse</v>
      </c>
      <c r="J600" s="1">
        <f t="shared" si="18"/>
        <v>148200</v>
      </c>
      <c r="K600" s="1" t="str">
        <f>VLOOKUP(D600,products!A:D,2,FALSE)</f>
        <v>Electronics</v>
      </c>
      <c r="L600" s="1" t="str">
        <f t="shared" si="19"/>
        <v>Jul-2025</v>
      </c>
    </row>
    <row r="601" spans="1:12" x14ac:dyDescent="0.25">
      <c r="A601" s="3" t="s">
        <v>839</v>
      </c>
      <c r="B601" s="6">
        <v>45779</v>
      </c>
      <c r="C601" s="3" t="s">
        <v>8</v>
      </c>
      <c r="D601" s="3" t="s">
        <v>20</v>
      </c>
      <c r="E601" s="3" t="s">
        <v>355</v>
      </c>
      <c r="F601" s="3">
        <v>1</v>
      </c>
      <c r="G601" s="3">
        <v>0</v>
      </c>
      <c r="H601" s="1">
        <f>VLOOKUP(D601,products!A:D,4,FALSE)</f>
        <v>38000</v>
      </c>
      <c r="I601" s="1" t="str">
        <f>VLOOKUP(C601,branches!A:B,2,FALSE)</f>
        <v>Naija Mart GRA</v>
      </c>
      <c r="J601" s="1">
        <f t="shared" si="18"/>
        <v>38000</v>
      </c>
      <c r="K601" s="1" t="str">
        <f>VLOOKUP(D601,products!A:D,2,FALSE)</f>
        <v>Electronics</v>
      </c>
      <c r="L601" s="1" t="str">
        <f t="shared" si="19"/>
        <v>May-2025</v>
      </c>
    </row>
    <row r="602" spans="1:12" x14ac:dyDescent="0.25">
      <c r="A602" s="3" t="s">
        <v>840</v>
      </c>
      <c r="B602" s="6">
        <v>45701</v>
      </c>
      <c r="C602" s="3" t="s">
        <v>36</v>
      </c>
      <c r="D602" s="3" t="s">
        <v>80</v>
      </c>
      <c r="E602" s="3" t="s">
        <v>295</v>
      </c>
      <c r="F602" s="3">
        <v>1</v>
      </c>
      <c r="G602" s="3">
        <v>0</v>
      </c>
      <c r="H602" s="1">
        <f>VLOOKUP(D602,products!A:D,4,FALSE)</f>
        <v>265000</v>
      </c>
      <c r="I602" s="1" t="str">
        <f>VLOOKUP(C602,branches!A:B,2,FALSE)</f>
        <v>Naija Mart Sabon Gari</v>
      </c>
      <c r="J602" s="1">
        <f t="shared" si="18"/>
        <v>265000</v>
      </c>
      <c r="K602" s="1" t="str">
        <f>VLOOKUP(D602,products!A:D,2,FALSE)</f>
        <v>Home Appliances</v>
      </c>
      <c r="L602" s="1" t="str">
        <f t="shared" si="19"/>
        <v>Feb-2025</v>
      </c>
    </row>
    <row r="603" spans="1:12" x14ac:dyDescent="0.25">
      <c r="A603" s="3" t="s">
        <v>841</v>
      </c>
      <c r="B603" s="6">
        <v>45742</v>
      </c>
      <c r="C603" s="3" t="s">
        <v>8</v>
      </c>
      <c r="D603" s="3" t="s">
        <v>46</v>
      </c>
      <c r="E603" s="3" t="s">
        <v>842</v>
      </c>
      <c r="F603" s="3">
        <v>1</v>
      </c>
      <c r="G603" s="3">
        <v>0</v>
      </c>
      <c r="H603" s="1">
        <f>VLOOKUP(D603,products!A:D,4,FALSE)</f>
        <v>62000</v>
      </c>
      <c r="I603" s="1" t="str">
        <f>VLOOKUP(C603,branches!A:B,2,FALSE)</f>
        <v>Naija Mart GRA</v>
      </c>
      <c r="J603" s="1">
        <f t="shared" si="18"/>
        <v>62000</v>
      </c>
      <c r="K603" s="1" t="str">
        <f>VLOOKUP(D603,products!A:D,2,FALSE)</f>
        <v>Home Appliances</v>
      </c>
      <c r="L603" s="1" t="str">
        <f t="shared" si="19"/>
        <v>Mar-2025</v>
      </c>
    </row>
    <row r="604" spans="1:12" x14ac:dyDescent="0.25">
      <c r="A604" s="3" t="s">
        <v>843</v>
      </c>
      <c r="B604" s="6">
        <v>45721</v>
      </c>
      <c r="C604" s="3" t="s">
        <v>36</v>
      </c>
      <c r="D604" s="3" t="s">
        <v>258</v>
      </c>
      <c r="E604" s="3" t="s">
        <v>787</v>
      </c>
      <c r="F604" s="3">
        <v>2</v>
      </c>
      <c r="G604" s="3">
        <v>25</v>
      </c>
      <c r="H604" s="1">
        <f>VLOOKUP(D604,products!A:D,4,FALSE)</f>
        <v>95000</v>
      </c>
      <c r="I604" s="1" t="str">
        <f>VLOOKUP(C604,branches!A:B,2,FALSE)</f>
        <v>Naija Mart Sabon Gari</v>
      </c>
      <c r="J604" s="1">
        <f t="shared" si="18"/>
        <v>142500</v>
      </c>
      <c r="K604" s="1" t="str">
        <f>VLOOKUP(D604,products!A:D,2,FALSE)</f>
        <v>Electronics</v>
      </c>
      <c r="L604" s="1" t="str">
        <f t="shared" si="19"/>
        <v>Mar-2025</v>
      </c>
    </row>
    <row r="605" spans="1:12" x14ac:dyDescent="0.25">
      <c r="A605" s="3" t="s">
        <v>844</v>
      </c>
      <c r="B605" s="6">
        <v>45789</v>
      </c>
      <c r="C605" s="3" t="s">
        <v>8</v>
      </c>
      <c r="D605" s="3" t="s">
        <v>43</v>
      </c>
      <c r="E605" s="3" t="s">
        <v>537</v>
      </c>
      <c r="F605" s="3">
        <v>1</v>
      </c>
      <c r="G605" s="3">
        <v>5</v>
      </c>
      <c r="H605" s="1">
        <f>VLOOKUP(D605,products!A:D,4,FALSE)</f>
        <v>74000</v>
      </c>
      <c r="I605" s="1" t="str">
        <f>VLOOKUP(C605,branches!A:B,2,FALSE)</f>
        <v>Naija Mart GRA</v>
      </c>
      <c r="J605" s="1">
        <f t="shared" si="18"/>
        <v>70300</v>
      </c>
      <c r="K605" s="1" t="str">
        <f>VLOOKUP(D605,products!A:D,2,FALSE)</f>
        <v>Home Appliances</v>
      </c>
      <c r="L605" s="1" t="str">
        <f t="shared" si="19"/>
        <v>May-2025</v>
      </c>
    </row>
    <row r="606" spans="1:12" x14ac:dyDescent="0.25">
      <c r="A606" s="3" t="s">
        <v>845</v>
      </c>
      <c r="B606" s="6">
        <v>46012</v>
      </c>
      <c r="C606" s="3" t="s">
        <v>16</v>
      </c>
      <c r="D606" s="3" t="s">
        <v>69</v>
      </c>
      <c r="E606" s="3" t="s">
        <v>791</v>
      </c>
      <c r="F606" s="3">
        <v>1</v>
      </c>
      <c r="G606" s="3">
        <v>0</v>
      </c>
      <c r="H606" s="1">
        <f>VLOOKUP(D606,products!A:D,4,FALSE)</f>
        <v>45000</v>
      </c>
      <c r="I606" s="1" t="str">
        <f>VLOOKUP(C606,branches!A:B,2,FALSE)</f>
        <v>Naija Mart Ikeja</v>
      </c>
      <c r="J606" s="1">
        <f t="shared" si="18"/>
        <v>45000</v>
      </c>
      <c r="K606" s="1" t="str">
        <f>VLOOKUP(D606,products!A:D,2,FALSE)</f>
        <v>Electronics</v>
      </c>
      <c r="L606" s="1" t="str">
        <f t="shared" si="19"/>
        <v>Dec-2025</v>
      </c>
    </row>
    <row r="607" spans="1:12" x14ac:dyDescent="0.25">
      <c r="A607" s="3" t="s">
        <v>846</v>
      </c>
      <c r="B607" s="6">
        <v>45800</v>
      </c>
      <c r="C607" s="3" t="s">
        <v>12</v>
      </c>
      <c r="D607" s="3" t="s">
        <v>23</v>
      </c>
      <c r="E607" s="3" t="s">
        <v>847</v>
      </c>
      <c r="F607" s="3">
        <v>1</v>
      </c>
      <c r="G607" s="3">
        <v>0</v>
      </c>
      <c r="H607" s="1">
        <f>VLOOKUP(D607,products!A:D,4,FALSE)</f>
        <v>19500</v>
      </c>
      <c r="I607" s="1" t="str">
        <f>VLOOKUP(C607,branches!A:B,2,FALSE)</f>
        <v>Naija Mart Wuse</v>
      </c>
      <c r="J607" s="1">
        <f t="shared" si="18"/>
        <v>19500</v>
      </c>
      <c r="K607" s="1" t="str">
        <f>VLOOKUP(D607,products!A:D,2,FALSE)</f>
        <v>Home Appliances</v>
      </c>
      <c r="L607" s="1" t="str">
        <f t="shared" si="19"/>
        <v>May-2025</v>
      </c>
    </row>
    <row r="608" spans="1:12" x14ac:dyDescent="0.25">
      <c r="A608" s="3" t="s">
        <v>848</v>
      </c>
      <c r="B608" s="6">
        <v>46011</v>
      </c>
      <c r="C608" s="3" t="s">
        <v>36</v>
      </c>
      <c r="D608" s="3" t="s">
        <v>33</v>
      </c>
      <c r="E608" s="3" t="s">
        <v>491</v>
      </c>
      <c r="F608" s="3">
        <v>1</v>
      </c>
      <c r="G608" s="3">
        <v>0</v>
      </c>
      <c r="H608" s="1">
        <f>VLOOKUP(D608,products!A:D,4,FALSE)</f>
        <v>245000</v>
      </c>
      <c r="I608" s="1" t="str">
        <f>VLOOKUP(C608,branches!A:B,2,FALSE)</f>
        <v>Naija Mart Sabon Gari</v>
      </c>
      <c r="J608" s="1">
        <f t="shared" si="18"/>
        <v>245000</v>
      </c>
      <c r="K608" s="1" t="str">
        <f>VLOOKUP(D608,products!A:D,2,FALSE)</f>
        <v>Generators &amp; Power</v>
      </c>
      <c r="L608" s="1" t="str">
        <f t="shared" si="19"/>
        <v>Dec-2025</v>
      </c>
    </row>
    <row r="609" spans="1:12" x14ac:dyDescent="0.25">
      <c r="A609" s="3" t="s">
        <v>849</v>
      </c>
      <c r="B609" s="6">
        <v>45677</v>
      </c>
      <c r="C609" s="3" t="s">
        <v>16</v>
      </c>
      <c r="D609" s="3" t="s">
        <v>59</v>
      </c>
      <c r="E609" s="3" t="s">
        <v>733</v>
      </c>
      <c r="F609" s="3">
        <v>1</v>
      </c>
      <c r="G609" s="3">
        <v>0</v>
      </c>
      <c r="H609" s="1">
        <f>VLOOKUP(D609,products!A:D,4,FALSE)</f>
        <v>15000</v>
      </c>
      <c r="I609" s="1" t="str">
        <f>VLOOKUP(C609,branches!A:B,2,FALSE)</f>
        <v>Naija Mart Ikeja</v>
      </c>
      <c r="J609" s="1">
        <f t="shared" si="18"/>
        <v>15000</v>
      </c>
      <c r="K609" s="1" t="str">
        <f>VLOOKUP(D609,products!A:D,2,FALSE)</f>
        <v>Home Appliances</v>
      </c>
      <c r="L609" s="1" t="str">
        <f t="shared" si="19"/>
        <v>Jan-2025</v>
      </c>
    </row>
    <row r="610" spans="1:12" x14ac:dyDescent="0.25">
      <c r="A610" s="3" t="s">
        <v>850</v>
      </c>
      <c r="B610" s="6">
        <v>45989</v>
      </c>
      <c r="C610" s="3" t="s">
        <v>36</v>
      </c>
      <c r="D610" s="3" t="s">
        <v>13</v>
      </c>
      <c r="E610" s="3" t="s">
        <v>167</v>
      </c>
      <c r="F610" s="3">
        <v>1</v>
      </c>
      <c r="G610" s="3">
        <v>20</v>
      </c>
      <c r="H610" s="1">
        <f>VLOOKUP(D610,products!A:D,4,FALSE)</f>
        <v>24000</v>
      </c>
      <c r="I610" s="1" t="str">
        <f>VLOOKUP(C610,branches!A:B,2,FALSE)</f>
        <v>Naija Mart Sabon Gari</v>
      </c>
      <c r="J610" s="1">
        <f t="shared" si="18"/>
        <v>19200</v>
      </c>
      <c r="K610" s="1" t="str">
        <f>VLOOKUP(D610,products!A:D,2,FALSE)</f>
        <v>Home Appliances</v>
      </c>
      <c r="L610" s="1" t="str">
        <f t="shared" si="19"/>
        <v>Nov-2025</v>
      </c>
    </row>
    <row r="611" spans="1:12" x14ac:dyDescent="0.25">
      <c r="A611" s="3" t="s">
        <v>851</v>
      </c>
      <c r="B611" s="6">
        <v>45705</v>
      </c>
      <c r="C611" s="3" t="s">
        <v>8</v>
      </c>
      <c r="D611" s="3" t="s">
        <v>13</v>
      </c>
      <c r="E611" s="3" t="s">
        <v>263</v>
      </c>
      <c r="F611" s="3">
        <v>1</v>
      </c>
      <c r="G611" s="3">
        <v>0</v>
      </c>
      <c r="H611" s="1">
        <f>VLOOKUP(D611,products!A:D,4,FALSE)</f>
        <v>24000</v>
      </c>
      <c r="I611" s="1" t="str">
        <f>VLOOKUP(C611,branches!A:B,2,FALSE)</f>
        <v>Naija Mart GRA</v>
      </c>
      <c r="J611" s="1">
        <f t="shared" si="18"/>
        <v>24000</v>
      </c>
      <c r="K611" s="1" t="str">
        <f>VLOOKUP(D611,products!A:D,2,FALSE)</f>
        <v>Home Appliances</v>
      </c>
      <c r="L611" s="1" t="str">
        <f t="shared" si="19"/>
        <v>Feb-2025</v>
      </c>
    </row>
    <row r="612" spans="1:12" x14ac:dyDescent="0.25">
      <c r="A612" s="3" t="s">
        <v>852</v>
      </c>
      <c r="B612" s="6">
        <v>45934</v>
      </c>
      <c r="C612" s="3" t="s">
        <v>12</v>
      </c>
      <c r="D612" s="3" t="s">
        <v>59</v>
      </c>
      <c r="E612" s="3" t="s">
        <v>326</v>
      </c>
      <c r="F612" s="3">
        <v>1</v>
      </c>
      <c r="G612" s="3">
        <v>0</v>
      </c>
      <c r="H612" s="1">
        <f>VLOOKUP(D612,products!A:D,4,FALSE)</f>
        <v>15000</v>
      </c>
      <c r="I612" s="1" t="str">
        <f>VLOOKUP(C612,branches!A:B,2,FALSE)</f>
        <v>Naija Mart Wuse</v>
      </c>
      <c r="J612" s="1">
        <f t="shared" si="18"/>
        <v>15000</v>
      </c>
      <c r="K612" s="1" t="str">
        <f>VLOOKUP(D612,products!A:D,2,FALSE)</f>
        <v>Home Appliances</v>
      </c>
      <c r="L612" s="1" t="str">
        <f t="shared" si="19"/>
        <v>Oct-2025</v>
      </c>
    </row>
    <row r="613" spans="1:12" x14ac:dyDescent="0.25">
      <c r="A613" s="3" t="s">
        <v>853</v>
      </c>
      <c r="B613" s="6">
        <v>45700</v>
      </c>
      <c r="C613" s="3" t="s">
        <v>8</v>
      </c>
      <c r="D613" s="3" t="s">
        <v>69</v>
      </c>
      <c r="E613" s="3" t="s">
        <v>200</v>
      </c>
      <c r="F613" s="3">
        <v>2</v>
      </c>
      <c r="G613" s="3">
        <v>10</v>
      </c>
      <c r="H613" s="1">
        <f>VLOOKUP(D613,products!A:D,4,FALSE)</f>
        <v>45000</v>
      </c>
      <c r="I613" s="1" t="str">
        <f>VLOOKUP(C613,branches!A:B,2,FALSE)</f>
        <v>Naija Mart GRA</v>
      </c>
      <c r="J613" s="1">
        <f t="shared" si="18"/>
        <v>81000</v>
      </c>
      <c r="K613" s="1" t="str">
        <f>VLOOKUP(D613,products!A:D,2,FALSE)</f>
        <v>Electronics</v>
      </c>
      <c r="L613" s="1" t="str">
        <f t="shared" si="19"/>
        <v>Feb-2025</v>
      </c>
    </row>
    <row r="614" spans="1:12" x14ac:dyDescent="0.25">
      <c r="A614" s="3" t="s">
        <v>854</v>
      </c>
      <c r="B614" s="6">
        <v>45941</v>
      </c>
      <c r="C614" s="3" t="s">
        <v>16</v>
      </c>
      <c r="D614" s="3" t="s">
        <v>97</v>
      </c>
      <c r="E614" s="3" t="s">
        <v>477</v>
      </c>
      <c r="F614" s="3">
        <v>1</v>
      </c>
      <c r="G614" s="3">
        <v>5</v>
      </c>
      <c r="H614" s="1">
        <f>VLOOKUP(D614,products!A:D,4,FALSE)</f>
        <v>21000</v>
      </c>
      <c r="I614" s="1" t="str">
        <f>VLOOKUP(C614,branches!A:B,2,FALSE)</f>
        <v>Naija Mart Ikeja</v>
      </c>
      <c r="J614" s="1">
        <f t="shared" si="18"/>
        <v>19950</v>
      </c>
      <c r="K614" s="1" t="str">
        <f>VLOOKUP(D614,products!A:D,2,FALSE)</f>
        <v>Small Gadgets</v>
      </c>
      <c r="L614" s="1" t="str">
        <f t="shared" si="19"/>
        <v>Oct-2025</v>
      </c>
    </row>
    <row r="615" spans="1:12" x14ac:dyDescent="0.25">
      <c r="A615" s="3" t="s">
        <v>855</v>
      </c>
      <c r="B615" s="6">
        <v>46003</v>
      </c>
      <c r="C615" s="3" t="s">
        <v>16</v>
      </c>
      <c r="D615" s="3" t="s">
        <v>49</v>
      </c>
      <c r="E615" s="3" t="s">
        <v>31</v>
      </c>
      <c r="F615" s="3">
        <v>5</v>
      </c>
      <c r="G615" s="3">
        <v>15</v>
      </c>
      <c r="H615" s="1">
        <f>VLOOKUP(D615,products!A:D,4,FALSE)</f>
        <v>28000</v>
      </c>
      <c r="I615" s="1" t="str">
        <f>VLOOKUP(C615,branches!A:B,2,FALSE)</f>
        <v>Naija Mart Ikeja</v>
      </c>
      <c r="J615" s="1">
        <f t="shared" si="18"/>
        <v>119000</v>
      </c>
      <c r="K615" s="1" t="str">
        <f>VLOOKUP(D615,products!A:D,2,FALSE)</f>
        <v>Home Appliances</v>
      </c>
      <c r="L615" s="1" t="str">
        <f t="shared" si="19"/>
        <v>Dec-2025</v>
      </c>
    </row>
    <row r="616" spans="1:12" x14ac:dyDescent="0.25">
      <c r="A616" s="3" t="s">
        <v>856</v>
      </c>
      <c r="B616" s="6">
        <v>45924</v>
      </c>
      <c r="C616" s="3" t="s">
        <v>12</v>
      </c>
      <c r="D616" s="3" t="s">
        <v>9</v>
      </c>
      <c r="E616" s="3" t="s">
        <v>29</v>
      </c>
      <c r="F616" s="3">
        <v>2</v>
      </c>
      <c r="G616" s="3">
        <v>5</v>
      </c>
      <c r="H616" s="1">
        <f>VLOOKUP(D616,products!A:D,4,FALSE)</f>
        <v>410000</v>
      </c>
      <c r="I616" s="1" t="str">
        <f>VLOOKUP(C616,branches!A:B,2,FALSE)</f>
        <v>Naija Mart Wuse</v>
      </c>
      <c r="J616" s="1">
        <f t="shared" si="18"/>
        <v>779000</v>
      </c>
      <c r="K616" s="1" t="str">
        <f>VLOOKUP(D616,products!A:D,2,FALSE)</f>
        <v>Home Appliances</v>
      </c>
      <c r="L616" s="1" t="str">
        <f t="shared" si="19"/>
        <v>Sep-2025</v>
      </c>
    </row>
    <row r="617" spans="1:12" x14ac:dyDescent="0.25">
      <c r="A617" s="3" t="s">
        <v>857</v>
      </c>
      <c r="B617" s="6">
        <v>45907</v>
      </c>
      <c r="C617" s="3" t="s">
        <v>16</v>
      </c>
      <c r="D617" s="3" t="s">
        <v>43</v>
      </c>
      <c r="E617" s="3" t="s">
        <v>333</v>
      </c>
      <c r="F617" s="3">
        <v>2</v>
      </c>
      <c r="G617" s="3">
        <v>0</v>
      </c>
      <c r="H617" s="1">
        <f>VLOOKUP(D617,products!A:D,4,FALSE)</f>
        <v>74000</v>
      </c>
      <c r="I617" s="1" t="str">
        <f>VLOOKUP(C617,branches!A:B,2,FALSE)</f>
        <v>Naija Mart Ikeja</v>
      </c>
      <c r="J617" s="1">
        <f t="shared" si="18"/>
        <v>148000</v>
      </c>
      <c r="K617" s="1" t="str">
        <f>VLOOKUP(D617,products!A:D,2,FALSE)</f>
        <v>Home Appliances</v>
      </c>
      <c r="L617" s="1" t="str">
        <f t="shared" si="19"/>
        <v>Sep-2025</v>
      </c>
    </row>
    <row r="618" spans="1:12" x14ac:dyDescent="0.25">
      <c r="A618" s="3" t="s">
        <v>858</v>
      </c>
      <c r="B618" s="6">
        <v>46006</v>
      </c>
      <c r="C618" s="3" t="s">
        <v>8</v>
      </c>
      <c r="D618" s="3" t="s">
        <v>13</v>
      </c>
      <c r="E618" s="3" t="s">
        <v>405</v>
      </c>
      <c r="F618" s="3">
        <v>1</v>
      </c>
      <c r="G618" s="3">
        <v>0</v>
      </c>
      <c r="H618" s="1">
        <f>VLOOKUP(D618,products!A:D,4,FALSE)</f>
        <v>24000</v>
      </c>
      <c r="I618" s="1" t="str">
        <f>VLOOKUP(C618,branches!A:B,2,FALSE)</f>
        <v>Naija Mart GRA</v>
      </c>
      <c r="J618" s="1">
        <f t="shared" si="18"/>
        <v>24000</v>
      </c>
      <c r="K618" s="1" t="str">
        <f>VLOOKUP(D618,products!A:D,2,FALSE)</f>
        <v>Home Appliances</v>
      </c>
      <c r="L618" s="1" t="str">
        <f t="shared" si="19"/>
        <v>Dec-2025</v>
      </c>
    </row>
    <row r="619" spans="1:12" x14ac:dyDescent="0.25">
      <c r="A619" s="3" t="s">
        <v>859</v>
      </c>
      <c r="B619" s="6">
        <v>45987</v>
      </c>
      <c r="C619" s="3" t="s">
        <v>8</v>
      </c>
      <c r="D619" s="3" t="s">
        <v>43</v>
      </c>
      <c r="E619" s="3" t="s">
        <v>288</v>
      </c>
      <c r="F619" s="3">
        <v>2</v>
      </c>
      <c r="G619" s="3">
        <v>15</v>
      </c>
      <c r="H619" s="1">
        <f>VLOOKUP(D619,products!A:D,4,FALSE)</f>
        <v>74000</v>
      </c>
      <c r="I619" s="1" t="str">
        <f>VLOOKUP(C619,branches!A:B,2,FALSE)</f>
        <v>Naija Mart GRA</v>
      </c>
      <c r="J619" s="1">
        <f t="shared" si="18"/>
        <v>125800</v>
      </c>
      <c r="K619" s="1" t="str">
        <f>VLOOKUP(D619,products!A:D,2,FALSE)</f>
        <v>Home Appliances</v>
      </c>
      <c r="L619" s="1" t="str">
        <f t="shared" si="19"/>
        <v>Nov-2025</v>
      </c>
    </row>
    <row r="620" spans="1:12" x14ac:dyDescent="0.25">
      <c r="A620" s="3" t="s">
        <v>860</v>
      </c>
      <c r="B620" s="6">
        <v>45718</v>
      </c>
      <c r="C620" s="3" t="s">
        <v>36</v>
      </c>
      <c r="D620" s="3" t="s">
        <v>80</v>
      </c>
      <c r="E620" s="3" t="s">
        <v>861</v>
      </c>
      <c r="F620" s="3">
        <v>1</v>
      </c>
      <c r="G620" s="3">
        <v>5</v>
      </c>
      <c r="H620" s="1">
        <f>VLOOKUP(D620,products!A:D,4,FALSE)</f>
        <v>265000</v>
      </c>
      <c r="I620" s="1" t="str">
        <f>VLOOKUP(C620,branches!A:B,2,FALSE)</f>
        <v>Naija Mart Sabon Gari</v>
      </c>
      <c r="J620" s="1">
        <f t="shared" si="18"/>
        <v>251750</v>
      </c>
      <c r="K620" s="1" t="str">
        <f>VLOOKUP(D620,products!A:D,2,FALSE)</f>
        <v>Home Appliances</v>
      </c>
      <c r="L620" s="1" t="str">
        <f t="shared" si="19"/>
        <v>Mar-2025</v>
      </c>
    </row>
    <row r="621" spans="1:12" x14ac:dyDescent="0.25">
      <c r="A621" s="3" t="s">
        <v>862</v>
      </c>
      <c r="B621" s="6">
        <v>45716</v>
      </c>
      <c r="C621" s="3" t="s">
        <v>36</v>
      </c>
      <c r="D621" s="3" t="s">
        <v>23</v>
      </c>
      <c r="E621" s="3" t="s">
        <v>522</v>
      </c>
      <c r="F621" s="3">
        <v>1</v>
      </c>
      <c r="G621" s="3">
        <v>10</v>
      </c>
      <c r="H621" s="1">
        <f>VLOOKUP(D621,products!A:D,4,FALSE)</f>
        <v>19500</v>
      </c>
      <c r="I621" s="1" t="str">
        <f>VLOOKUP(C621,branches!A:B,2,FALSE)</f>
        <v>Naija Mart Sabon Gari</v>
      </c>
      <c r="J621" s="1">
        <f t="shared" si="18"/>
        <v>17550</v>
      </c>
      <c r="K621" s="1" t="str">
        <f>VLOOKUP(D621,products!A:D,2,FALSE)</f>
        <v>Home Appliances</v>
      </c>
      <c r="L621" s="1" t="str">
        <f t="shared" si="19"/>
        <v>Feb-2025</v>
      </c>
    </row>
    <row r="622" spans="1:12" x14ac:dyDescent="0.25">
      <c r="A622" s="3" t="s">
        <v>863</v>
      </c>
      <c r="B622" s="6">
        <v>45791</v>
      </c>
      <c r="C622" s="3" t="s">
        <v>16</v>
      </c>
      <c r="D622" s="3" t="s">
        <v>49</v>
      </c>
      <c r="E622" s="3" t="s">
        <v>47</v>
      </c>
      <c r="F622" s="3">
        <v>1</v>
      </c>
      <c r="G622" s="3">
        <v>5</v>
      </c>
      <c r="H622" s="1">
        <f>VLOOKUP(D622,products!A:D,4,FALSE)</f>
        <v>28000</v>
      </c>
      <c r="I622" s="1" t="str">
        <f>VLOOKUP(C622,branches!A:B,2,FALSE)</f>
        <v>Naija Mart Ikeja</v>
      </c>
      <c r="J622" s="1">
        <f t="shared" si="18"/>
        <v>26600</v>
      </c>
      <c r="K622" s="1" t="str">
        <f>VLOOKUP(D622,products!A:D,2,FALSE)</f>
        <v>Home Appliances</v>
      </c>
      <c r="L622" s="1" t="str">
        <f t="shared" si="19"/>
        <v>May-2025</v>
      </c>
    </row>
    <row r="623" spans="1:12" x14ac:dyDescent="0.25">
      <c r="A623" s="3" t="s">
        <v>864</v>
      </c>
      <c r="B623" s="6">
        <v>45974</v>
      </c>
      <c r="C623" s="3" t="s">
        <v>36</v>
      </c>
      <c r="D623" s="3" t="s">
        <v>197</v>
      </c>
      <c r="E623" s="3" t="s">
        <v>279</v>
      </c>
      <c r="F623" s="3">
        <v>2</v>
      </c>
      <c r="G623" s="3">
        <v>25</v>
      </c>
      <c r="H623" s="1">
        <f>VLOOKUP(D623,products!A:D,4,FALSE)</f>
        <v>78000</v>
      </c>
      <c r="I623" s="1" t="str">
        <f>VLOOKUP(C623,branches!A:B,2,FALSE)</f>
        <v>Naija Mart Sabon Gari</v>
      </c>
      <c r="J623" s="1">
        <f t="shared" si="18"/>
        <v>117000</v>
      </c>
      <c r="K623" s="1" t="str">
        <f>VLOOKUP(D623,products!A:D,2,FALSE)</f>
        <v>Electronics</v>
      </c>
      <c r="L623" s="1" t="str">
        <f t="shared" si="19"/>
        <v>Nov-2025</v>
      </c>
    </row>
    <row r="624" spans="1:12" x14ac:dyDescent="0.25">
      <c r="A624" s="3" t="s">
        <v>865</v>
      </c>
      <c r="B624" s="6">
        <v>45981</v>
      </c>
      <c r="C624" s="3" t="s">
        <v>12</v>
      </c>
      <c r="D624" s="3" t="s">
        <v>149</v>
      </c>
      <c r="E624" s="3" t="s">
        <v>486</v>
      </c>
      <c r="F624" s="3">
        <v>1</v>
      </c>
      <c r="G624" s="3">
        <v>30</v>
      </c>
      <c r="H624" s="1">
        <f>VLOOKUP(D624,products!A:D,4,FALSE)</f>
        <v>6500</v>
      </c>
      <c r="I624" s="1" t="str">
        <f>VLOOKUP(C624,branches!A:B,2,FALSE)</f>
        <v>Naija Mart Wuse</v>
      </c>
      <c r="J624" s="1">
        <f t="shared" si="18"/>
        <v>4550</v>
      </c>
      <c r="K624" s="1" t="str">
        <f>VLOOKUP(D624,products!A:D,2,FALSE)</f>
        <v>Small Gadgets</v>
      </c>
      <c r="L624" s="1" t="str">
        <f t="shared" si="19"/>
        <v>Nov-2025</v>
      </c>
    </row>
    <row r="625" spans="1:12" x14ac:dyDescent="0.25">
      <c r="A625" s="3" t="s">
        <v>866</v>
      </c>
      <c r="B625" s="6">
        <v>45685</v>
      </c>
      <c r="C625" s="3" t="s">
        <v>36</v>
      </c>
      <c r="D625" s="3" t="s">
        <v>258</v>
      </c>
      <c r="E625" s="3" t="s">
        <v>134</v>
      </c>
      <c r="F625" s="3">
        <v>1</v>
      </c>
      <c r="G625" s="3">
        <v>0</v>
      </c>
      <c r="H625" s="1">
        <f>VLOOKUP(D625,products!A:D,4,FALSE)</f>
        <v>95000</v>
      </c>
      <c r="I625" s="1" t="str">
        <f>VLOOKUP(C625,branches!A:B,2,FALSE)</f>
        <v>Naija Mart Sabon Gari</v>
      </c>
      <c r="J625" s="1">
        <f t="shared" si="18"/>
        <v>95000</v>
      </c>
      <c r="K625" s="1" t="str">
        <f>VLOOKUP(D625,products!A:D,2,FALSE)</f>
        <v>Electronics</v>
      </c>
      <c r="L625" s="1" t="str">
        <f t="shared" si="19"/>
        <v>Jan-2025</v>
      </c>
    </row>
    <row r="626" spans="1:12" x14ac:dyDescent="0.25">
      <c r="A626" s="3" t="s">
        <v>867</v>
      </c>
      <c r="B626" s="6">
        <v>45665</v>
      </c>
      <c r="C626" s="3" t="s">
        <v>12</v>
      </c>
      <c r="D626" s="3" t="s">
        <v>37</v>
      </c>
      <c r="E626" s="3" t="s">
        <v>868</v>
      </c>
      <c r="F626" s="3">
        <v>1</v>
      </c>
      <c r="G626" s="3">
        <v>0</v>
      </c>
      <c r="H626" s="1">
        <f>VLOOKUP(D626,products!A:D,4,FALSE)</f>
        <v>8500</v>
      </c>
      <c r="I626" s="1" t="str">
        <f>VLOOKUP(C626,branches!A:B,2,FALSE)</f>
        <v>Naija Mart Wuse</v>
      </c>
      <c r="J626" s="1">
        <f t="shared" si="18"/>
        <v>8500</v>
      </c>
      <c r="K626" s="1" t="str">
        <f>VLOOKUP(D626,products!A:D,2,FALSE)</f>
        <v>Small Gadgets</v>
      </c>
      <c r="L626" s="1" t="str">
        <f t="shared" si="19"/>
        <v>Jan-2025</v>
      </c>
    </row>
    <row r="627" spans="1:12" x14ac:dyDescent="0.25">
      <c r="A627" s="3" t="s">
        <v>869</v>
      </c>
      <c r="B627" s="6">
        <v>45880</v>
      </c>
      <c r="C627" s="3" t="s">
        <v>8</v>
      </c>
      <c r="D627" s="3" t="s">
        <v>46</v>
      </c>
      <c r="E627" s="3" t="s">
        <v>150</v>
      </c>
      <c r="F627" s="3">
        <v>1</v>
      </c>
      <c r="G627" s="3">
        <v>5</v>
      </c>
      <c r="H627" s="1">
        <f>VLOOKUP(D627,products!A:D,4,FALSE)</f>
        <v>62000</v>
      </c>
      <c r="I627" s="1" t="str">
        <f>VLOOKUP(C627,branches!A:B,2,FALSE)</f>
        <v>Naija Mart GRA</v>
      </c>
      <c r="J627" s="1">
        <f t="shared" si="18"/>
        <v>58900</v>
      </c>
      <c r="K627" s="1" t="str">
        <f>VLOOKUP(D627,products!A:D,2,FALSE)</f>
        <v>Home Appliances</v>
      </c>
      <c r="L627" s="1" t="str">
        <f t="shared" si="19"/>
        <v>Aug-2025</v>
      </c>
    </row>
    <row r="628" spans="1:12" x14ac:dyDescent="0.25">
      <c r="A628" s="3" t="s">
        <v>870</v>
      </c>
      <c r="B628" s="6">
        <v>45788</v>
      </c>
      <c r="C628" s="3" t="s">
        <v>16</v>
      </c>
      <c r="D628" s="3" t="s">
        <v>69</v>
      </c>
      <c r="E628" s="3" t="s">
        <v>265</v>
      </c>
      <c r="F628" s="3">
        <v>1</v>
      </c>
      <c r="G628" s="3">
        <v>10</v>
      </c>
      <c r="H628" s="1">
        <f>VLOOKUP(D628,products!A:D,4,FALSE)</f>
        <v>45000</v>
      </c>
      <c r="I628" s="1" t="str">
        <f>VLOOKUP(C628,branches!A:B,2,FALSE)</f>
        <v>Naija Mart Ikeja</v>
      </c>
      <c r="J628" s="1">
        <f t="shared" si="18"/>
        <v>40500</v>
      </c>
      <c r="K628" s="1" t="str">
        <f>VLOOKUP(D628,products!A:D,2,FALSE)</f>
        <v>Electronics</v>
      </c>
      <c r="L628" s="1" t="str">
        <f t="shared" si="19"/>
        <v>May-2025</v>
      </c>
    </row>
    <row r="629" spans="1:12" x14ac:dyDescent="0.25">
      <c r="A629" s="3" t="s">
        <v>871</v>
      </c>
      <c r="B629" s="6">
        <v>46007</v>
      </c>
      <c r="C629" s="3" t="s">
        <v>36</v>
      </c>
      <c r="D629" s="3" t="s">
        <v>64</v>
      </c>
      <c r="E629" s="3" t="s">
        <v>89</v>
      </c>
      <c r="F629" s="3">
        <v>1</v>
      </c>
      <c r="G629" s="3">
        <v>5</v>
      </c>
      <c r="H629" s="1">
        <f>VLOOKUP(D629,products!A:D,4,FALSE)</f>
        <v>175000</v>
      </c>
      <c r="I629" s="1" t="str">
        <f>VLOOKUP(C629,branches!A:B,2,FALSE)</f>
        <v>Naija Mart Sabon Gari</v>
      </c>
      <c r="J629" s="1">
        <f t="shared" si="18"/>
        <v>166250</v>
      </c>
      <c r="K629" s="1" t="str">
        <f>VLOOKUP(D629,products!A:D,2,FALSE)</f>
        <v>Generators &amp; Power</v>
      </c>
      <c r="L629" s="1" t="str">
        <f t="shared" si="19"/>
        <v>Dec-2025</v>
      </c>
    </row>
    <row r="630" spans="1:12" x14ac:dyDescent="0.25">
      <c r="A630" s="3" t="s">
        <v>872</v>
      </c>
      <c r="B630" s="6">
        <v>45732</v>
      </c>
      <c r="C630" s="3" t="s">
        <v>12</v>
      </c>
      <c r="D630" s="3" t="s">
        <v>33</v>
      </c>
      <c r="E630" s="3" t="s">
        <v>194</v>
      </c>
      <c r="F630" s="3">
        <v>2</v>
      </c>
      <c r="G630" s="3">
        <v>15</v>
      </c>
      <c r="H630" s="1">
        <f>VLOOKUP(D630,products!A:D,4,FALSE)</f>
        <v>245000</v>
      </c>
      <c r="I630" s="1" t="str">
        <f>VLOOKUP(C630,branches!A:B,2,FALSE)</f>
        <v>Naija Mart Wuse</v>
      </c>
      <c r="J630" s="1">
        <f t="shared" si="18"/>
        <v>416500</v>
      </c>
      <c r="K630" s="1" t="str">
        <f>VLOOKUP(D630,products!A:D,2,FALSE)</f>
        <v>Generators &amp; Power</v>
      </c>
      <c r="L630" s="1" t="str">
        <f t="shared" si="19"/>
        <v>Mar-2025</v>
      </c>
    </row>
    <row r="631" spans="1:12" x14ac:dyDescent="0.25">
      <c r="A631" s="3" t="s">
        <v>873</v>
      </c>
      <c r="B631" s="6">
        <v>45895</v>
      </c>
      <c r="C631" s="3" t="s">
        <v>16</v>
      </c>
      <c r="D631" s="3" t="s">
        <v>17</v>
      </c>
      <c r="E631" s="3" t="s">
        <v>70</v>
      </c>
      <c r="F631" s="3">
        <v>1</v>
      </c>
      <c r="G631" s="3">
        <v>0</v>
      </c>
      <c r="H631" s="1">
        <f>VLOOKUP(D631,products!A:D,4,FALSE)</f>
        <v>22000</v>
      </c>
      <c r="I631" s="1" t="str">
        <f>VLOOKUP(C631,branches!A:B,2,FALSE)</f>
        <v>Naija Mart Ikeja</v>
      </c>
      <c r="J631" s="1">
        <f t="shared" si="18"/>
        <v>22000</v>
      </c>
      <c r="K631" s="1" t="str">
        <f>VLOOKUP(D631,products!A:D,2,FALSE)</f>
        <v>Home Appliances</v>
      </c>
      <c r="L631" s="1" t="str">
        <f t="shared" si="19"/>
        <v>Aug-2025</v>
      </c>
    </row>
    <row r="632" spans="1:12" x14ac:dyDescent="0.25">
      <c r="A632" s="3" t="s">
        <v>874</v>
      </c>
      <c r="B632" s="6">
        <v>45792</v>
      </c>
      <c r="C632" s="3" t="s">
        <v>36</v>
      </c>
      <c r="D632" s="3" t="s">
        <v>23</v>
      </c>
      <c r="E632" s="3" t="s">
        <v>302</v>
      </c>
      <c r="F632" s="3">
        <v>2</v>
      </c>
      <c r="G632" s="3">
        <v>0</v>
      </c>
      <c r="H632" s="1">
        <f>VLOOKUP(D632,products!A:D,4,FALSE)</f>
        <v>19500</v>
      </c>
      <c r="I632" s="1" t="str">
        <f>VLOOKUP(C632,branches!A:B,2,FALSE)</f>
        <v>Naija Mart Sabon Gari</v>
      </c>
      <c r="J632" s="1">
        <f t="shared" si="18"/>
        <v>39000</v>
      </c>
      <c r="K632" s="1" t="str">
        <f>VLOOKUP(D632,products!A:D,2,FALSE)</f>
        <v>Home Appliances</v>
      </c>
      <c r="L632" s="1" t="str">
        <f t="shared" si="19"/>
        <v>May-2025</v>
      </c>
    </row>
    <row r="633" spans="1:12" x14ac:dyDescent="0.25">
      <c r="A633" s="3" t="s">
        <v>875</v>
      </c>
      <c r="B633" s="6">
        <v>45668</v>
      </c>
      <c r="C633" s="3" t="s">
        <v>12</v>
      </c>
      <c r="D633" s="3" t="s">
        <v>20</v>
      </c>
      <c r="E633" s="3" t="s">
        <v>219</v>
      </c>
      <c r="F633" s="3">
        <v>1</v>
      </c>
      <c r="G633" s="3">
        <v>5</v>
      </c>
      <c r="H633" s="1">
        <f>VLOOKUP(D633,products!A:D,4,FALSE)</f>
        <v>38000</v>
      </c>
      <c r="I633" s="1" t="str">
        <f>VLOOKUP(C633,branches!A:B,2,FALSE)</f>
        <v>Naija Mart Wuse</v>
      </c>
      <c r="J633" s="1">
        <f t="shared" si="18"/>
        <v>36100</v>
      </c>
      <c r="K633" s="1" t="str">
        <f>VLOOKUP(D633,products!A:D,2,FALSE)</f>
        <v>Electronics</v>
      </c>
      <c r="L633" s="1" t="str">
        <f t="shared" si="19"/>
        <v>Jan-2025</v>
      </c>
    </row>
    <row r="634" spans="1:12" x14ac:dyDescent="0.25">
      <c r="A634" s="3" t="s">
        <v>876</v>
      </c>
      <c r="B634" s="6">
        <v>45788</v>
      </c>
      <c r="C634" s="3" t="s">
        <v>12</v>
      </c>
      <c r="D634" s="3" t="s">
        <v>17</v>
      </c>
      <c r="E634" s="3" t="s">
        <v>92</v>
      </c>
      <c r="F634" s="3">
        <v>1</v>
      </c>
      <c r="G634" s="3">
        <v>5</v>
      </c>
      <c r="H634" s="1">
        <f>VLOOKUP(D634,products!A:D,4,FALSE)</f>
        <v>22000</v>
      </c>
      <c r="I634" s="1" t="str">
        <f>VLOOKUP(C634,branches!A:B,2,FALSE)</f>
        <v>Naija Mart Wuse</v>
      </c>
      <c r="J634" s="1">
        <f t="shared" si="18"/>
        <v>20900</v>
      </c>
      <c r="K634" s="1" t="str">
        <f>VLOOKUP(D634,products!A:D,2,FALSE)</f>
        <v>Home Appliances</v>
      </c>
      <c r="L634" s="1" t="str">
        <f t="shared" si="19"/>
        <v>May-2025</v>
      </c>
    </row>
    <row r="635" spans="1:12" x14ac:dyDescent="0.25">
      <c r="A635" s="3" t="s">
        <v>877</v>
      </c>
      <c r="B635" s="6">
        <v>46019</v>
      </c>
      <c r="C635" s="3" t="s">
        <v>16</v>
      </c>
      <c r="D635" s="3" t="s">
        <v>20</v>
      </c>
      <c r="E635" s="3" t="s">
        <v>226</v>
      </c>
      <c r="F635" s="3">
        <v>2</v>
      </c>
      <c r="G635" s="3">
        <v>0</v>
      </c>
      <c r="H635" s="1">
        <f>VLOOKUP(D635,products!A:D,4,FALSE)</f>
        <v>38000</v>
      </c>
      <c r="I635" s="1" t="str">
        <f>VLOOKUP(C635,branches!A:B,2,FALSE)</f>
        <v>Naija Mart Ikeja</v>
      </c>
      <c r="J635" s="1">
        <f t="shared" si="18"/>
        <v>76000</v>
      </c>
      <c r="K635" s="1" t="str">
        <f>VLOOKUP(D635,products!A:D,2,FALSE)</f>
        <v>Electronics</v>
      </c>
      <c r="L635" s="1" t="str">
        <f t="shared" si="19"/>
        <v>Dec-2025</v>
      </c>
    </row>
    <row r="636" spans="1:12" x14ac:dyDescent="0.25">
      <c r="A636" s="3" t="s">
        <v>878</v>
      </c>
      <c r="B636" s="6">
        <v>45771</v>
      </c>
      <c r="C636" s="3" t="s">
        <v>8</v>
      </c>
      <c r="D636" s="3" t="s">
        <v>43</v>
      </c>
      <c r="E636" s="3" t="s">
        <v>367</v>
      </c>
      <c r="F636" s="3">
        <v>1</v>
      </c>
      <c r="G636" s="3">
        <v>10</v>
      </c>
      <c r="H636" s="1">
        <f>VLOOKUP(D636,products!A:D,4,FALSE)</f>
        <v>74000</v>
      </c>
      <c r="I636" s="1" t="str">
        <f>VLOOKUP(C636,branches!A:B,2,FALSE)</f>
        <v>Naija Mart GRA</v>
      </c>
      <c r="J636" s="1">
        <f t="shared" si="18"/>
        <v>66600</v>
      </c>
      <c r="K636" s="1" t="str">
        <f>VLOOKUP(D636,products!A:D,2,FALSE)</f>
        <v>Home Appliances</v>
      </c>
      <c r="L636" s="1" t="str">
        <f t="shared" si="19"/>
        <v>Apr-2025</v>
      </c>
    </row>
    <row r="637" spans="1:12" x14ac:dyDescent="0.25">
      <c r="A637" s="3" t="s">
        <v>879</v>
      </c>
      <c r="B637" s="6">
        <v>45902</v>
      </c>
      <c r="C637" s="3" t="s">
        <v>36</v>
      </c>
      <c r="D637" s="3" t="s">
        <v>69</v>
      </c>
      <c r="E637" s="3" t="s">
        <v>423</v>
      </c>
      <c r="F637" s="3">
        <v>1</v>
      </c>
      <c r="G637" s="3">
        <v>10</v>
      </c>
      <c r="H637" s="1">
        <f>VLOOKUP(D637,products!A:D,4,FALSE)</f>
        <v>45000</v>
      </c>
      <c r="I637" s="1" t="str">
        <f>VLOOKUP(C637,branches!A:B,2,FALSE)</f>
        <v>Naija Mart Sabon Gari</v>
      </c>
      <c r="J637" s="1">
        <f t="shared" si="18"/>
        <v>40500</v>
      </c>
      <c r="K637" s="1" t="str">
        <f>VLOOKUP(D637,products!A:D,2,FALSE)</f>
        <v>Electronics</v>
      </c>
      <c r="L637" s="1" t="str">
        <f t="shared" si="19"/>
        <v>Sep-2025</v>
      </c>
    </row>
    <row r="638" spans="1:12" x14ac:dyDescent="0.25">
      <c r="A638" s="3" t="s">
        <v>880</v>
      </c>
      <c r="B638" s="6">
        <v>45928</v>
      </c>
      <c r="C638" s="3" t="s">
        <v>12</v>
      </c>
      <c r="D638" s="3" t="s">
        <v>197</v>
      </c>
      <c r="E638" s="3" t="s">
        <v>18</v>
      </c>
      <c r="F638" s="3">
        <v>1</v>
      </c>
      <c r="G638" s="3">
        <v>10</v>
      </c>
      <c r="H638" s="1">
        <f>VLOOKUP(D638,products!A:D,4,FALSE)</f>
        <v>78000</v>
      </c>
      <c r="I638" s="1" t="str">
        <f>VLOOKUP(C638,branches!A:B,2,FALSE)</f>
        <v>Naija Mart Wuse</v>
      </c>
      <c r="J638" s="1">
        <f t="shared" si="18"/>
        <v>70200</v>
      </c>
      <c r="K638" s="1" t="str">
        <f>VLOOKUP(D638,products!A:D,2,FALSE)</f>
        <v>Electronics</v>
      </c>
      <c r="L638" s="1" t="str">
        <f t="shared" si="19"/>
        <v>Sep-2025</v>
      </c>
    </row>
    <row r="639" spans="1:12" x14ac:dyDescent="0.25">
      <c r="A639" s="3" t="s">
        <v>881</v>
      </c>
      <c r="B639" s="6">
        <v>45879</v>
      </c>
      <c r="C639" s="3" t="s">
        <v>16</v>
      </c>
      <c r="D639" s="3" t="s">
        <v>33</v>
      </c>
      <c r="E639" s="3" t="s">
        <v>76</v>
      </c>
      <c r="F639" s="3">
        <v>1</v>
      </c>
      <c r="G639" s="3">
        <v>0</v>
      </c>
      <c r="H639" s="1">
        <f>VLOOKUP(D639,products!A:D,4,FALSE)</f>
        <v>245000</v>
      </c>
      <c r="I639" s="1" t="str">
        <f>VLOOKUP(C639,branches!A:B,2,FALSE)</f>
        <v>Naija Mart Ikeja</v>
      </c>
      <c r="J639" s="1">
        <f t="shared" si="18"/>
        <v>245000</v>
      </c>
      <c r="K639" s="1" t="str">
        <f>VLOOKUP(D639,products!A:D,2,FALSE)</f>
        <v>Generators &amp; Power</v>
      </c>
      <c r="L639" s="1" t="str">
        <f t="shared" si="19"/>
        <v>Aug-2025</v>
      </c>
    </row>
    <row r="640" spans="1:12" x14ac:dyDescent="0.25">
      <c r="A640" s="3" t="s">
        <v>882</v>
      </c>
      <c r="B640" s="6">
        <v>45870</v>
      </c>
      <c r="C640" s="3" t="s">
        <v>16</v>
      </c>
      <c r="D640" s="3" t="s">
        <v>9</v>
      </c>
      <c r="E640" s="3" t="s">
        <v>448</v>
      </c>
      <c r="F640" s="3">
        <v>2</v>
      </c>
      <c r="G640" s="3">
        <v>0</v>
      </c>
      <c r="H640" s="1">
        <f>VLOOKUP(D640,products!A:D,4,FALSE)</f>
        <v>410000</v>
      </c>
      <c r="I640" s="1" t="str">
        <f>VLOOKUP(C640,branches!A:B,2,FALSE)</f>
        <v>Naija Mart Ikeja</v>
      </c>
      <c r="J640" s="1">
        <f t="shared" si="18"/>
        <v>820000</v>
      </c>
      <c r="K640" s="1" t="str">
        <f>VLOOKUP(D640,products!A:D,2,FALSE)</f>
        <v>Home Appliances</v>
      </c>
      <c r="L640" s="1" t="str">
        <f t="shared" si="19"/>
        <v>Aug-2025</v>
      </c>
    </row>
    <row r="641" spans="1:12" x14ac:dyDescent="0.25">
      <c r="A641" s="3" t="s">
        <v>883</v>
      </c>
      <c r="B641" s="6">
        <v>45683</v>
      </c>
      <c r="C641" s="3" t="s">
        <v>16</v>
      </c>
      <c r="D641" s="3" t="s">
        <v>91</v>
      </c>
      <c r="E641" s="3" t="s">
        <v>308</v>
      </c>
      <c r="F641" s="3">
        <v>2</v>
      </c>
      <c r="G641" s="3">
        <v>10</v>
      </c>
      <c r="H641" s="1">
        <f>VLOOKUP(D641,products!A:D,4,FALSE)</f>
        <v>5200</v>
      </c>
      <c r="I641" s="1" t="str">
        <f>VLOOKUP(C641,branches!A:B,2,FALSE)</f>
        <v>Naija Mart Ikeja</v>
      </c>
      <c r="J641" s="1">
        <f t="shared" si="18"/>
        <v>9360</v>
      </c>
      <c r="K641" s="1" t="str">
        <f>VLOOKUP(D641,products!A:D,2,FALSE)</f>
        <v>Small Gadgets</v>
      </c>
      <c r="L641" s="1" t="str">
        <f t="shared" si="19"/>
        <v>Jan-2025</v>
      </c>
    </row>
    <row r="642" spans="1:12" x14ac:dyDescent="0.25">
      <c r="A642" s="3" t="s">
        <v>884</v>
      </c>
      <c r="B642" s="6">
        <v>45783</v>
      </c>
      <c r="C642" s="3" t="s">
        <v>12</v>
      </c>
      <c r="D642" s="3" t="s">
        <v>23</v>
      </c>
      <c r="E642" s="3" t="s">
        <v>659</v>
      </c>
      <c r="F642" s="3">
        <v>1</v>
      </c>
      <c r="G642" s="3">
        <v>15</v>
      </c>
      <c r="H642" s="1">
        <f>VLOOKUP(D642,products!A:D,4,FALSE)</f>
        <v>19500</v>
      </c>
      <c r="I642" s="1" t="str">
        <f>VLOOKUP(C642,branches!A:B,2,FALSE)</f>
        <v>Naija Mart Wuse</v>
      </c>
      <c r="J642" s="1">
        <f t="shared" si="18"/>
        <v>16575</v>
      </c>
      <c r="K642" s="1" t="str">
        <f>VLOOKUP(D642,products!A:D,2,FALSE)</f>
        <v>Home Appliances</v>
      </c>
      <c r="L642" s="1" t="str">
        <f t="shared" si="19"/>
        <v>May-2025</v>
      </c>
    </row>
    <row r="643" spans="1:12" x14ac:dyDescent="0.25">
      <c r="A643" s="3" t="s">
        <v>885</v>
      </c>
      <c r="B643" s="6">
        <v>46010</v>
      </c>
      <c r="C643" s="3" t="s">
        <v>16</v>
      </c>
      <c r="D643" s="3" t="s">
        <v>40</v>
      </c>
      <c r="E643" s="3" t="s">
        <v>379</v>
      </c>
      <c r="F643" s="3">
        <v>5</v>
      </c>
      <c r="G643" s="3">
        <v>5</v>
      </c>
      <c r="H643" s="1">
        <f>VLOOKUP(D643,products!A:D,4,FALSE)</f>
        <v>195000</v>
      </c>
      <c r="I643" s="1" t="str">
        <f>VLOOKUP(C643,branches!A:B,2,FALSE)</f>
        <v>Naija Mart Ikeja</v>
      </c>
      <c r="J643" s="1">
        <f t="shared" ref="J643:J706" si="20">F643*H643*(1-G643/100)</f>
        <v>926250</v>
      </c>
      <c r="K643" s="1" t="str">
        <f>VLOOKUP(D643,products!A:D,2,FALSE)</f>
        <v>Generators &amp; Power</v>
      </c>
      <c r="L643" s="1" t="str">
        <f t="shared" ref="L643:L706" si="21">TEXT(B643,"mmm-yyyy")</f>
        <v>Dec-2025</v>
      </c>
    </row>
    <row r="644" spans="1:12" x14ac:dyDescent="0.25">
      <c r="A644" s="3" t="s">
        <v>886</v>
      </c>
      <c r="B644" s="6">
        <v>45924</v>
      </c>
      <c r="C644" s="3" t="s">
        <v>8</v>
      </c>
      <c r="D644" s="3" t="s">
        <v>94</v>
      </c>
      <c r="E644" s="3" t="s">
        <v>100</v>
      </c>
      <c r="F644" s="3">
        <v>2</v>
      </c>
      <c r="G644" s="3">
        <v>0</v>
      </c>
      <c r="H644" s="1">
        <f>VLOOKUP(D644,products!A:D,4,FALSE)</f>
        <v>320000</v>
      </c>
      <c r="I644" s="1" t="str">
        <f>VLOOKUP(C644,branches!A:B,2,FALSE)</f>
        <v>Naija Mart GRA</v>
      </c>
      <c r="J644" s="1">
        <f t="shared" si="20"/>
        <v>640000</v>
      </c>
      <c r="K644" s="1" t="str">
        <f>VLOOKUP(D644,products!A:D,2,FALSE)</f>
        <v>Electronics</v>
      </c>
      <c r="L644" s="1" t="str">
        <f t="shared" si="21"/>
        <v>Sep-2025</v>
      </c>
    </row>
    <row r="645" spans="1:12" x14ac:dyDescent="0.25">
      <c r="A645" s="3" t="s">
        <v>887</v>
      </c>
      <c r="B645" s="6">
        <v>45773</v>
      </c>
      <c r="C645" s="3" t="s">
        <v>36</v>
      </c>
      <c r="D645" s="3" t="s">
        <v>80</v>
      </c>
      <c r="E645" s="3" t="s">
        <v>70</v>
      </c>
      <c r="F645" s="3">
        <v>1</v>
      </c>
      <c r="G645" s="3">
        <v>10</v>
      </c>
      <c r="H645" s="1">
        <f>VLOOKUP(D645,products!A:D,4,FALSE)</f>
        <v>265000</v>
      </c>
      <c r="I645" s="1" t="str">
        <f>VLOOKUP(C645,branches!A:B,2,FALSE)</f>
        <v>Naija Mart Sabon Gari</v>
      </c>
      <c r="J645" s="1">
        <f t="shared" si="20"/>
        <v>238500</v>
      </c>
      <c r="K645" s="1" t="str">
        <f>VLOOKUP(D645,products!A:D,2,FALSE)</f>
        <v>Home Appliances</v>
      </c>
      <c r="L645" s="1" t="str">
        <f t="shared" si="21"/>
        <v>Apr-2025</v>
      </c>
    </row>
    <row r="646" spans="1:12" x14ac:dyDescent="0.25">
      <c r="A646" s="3" t="s">
        <v>888</v>
      </c>
      <c r="B646" s="6">
        <v>46015</v>
      </c>
      <c r="C646" s="3" t="s">
        <v>36</v>
      </c>
      <c r="D646" s="3" t="s">
        <v>59</v>
      </c>
      <c r="E646" s="3" t="s">
        <v>240</v>
      </c>
      <c r="F646" s="3">
        <v>1</v>
      </c>
      <c r="G646" s="3">
        <v>5</v>
      </c>
      <c r="H646" s="1">
        <f>VLOOKUP(D646,products!A:D,4,FALSE)</f>
        <v>15000</v>
      </c>
      <c r="I646" s="1" t="str">
        <f>VLOOKUP(C646,branches!A:B,2,FALSE)</f>
        <v>Naija Mart Sabon Gari</v>
      </c>
      <c r="J646" s="1">
        <f t="shared" si="20"/>
        <v>14250</v>
      </c>
      <c r="K646" s="1" t="str">
        <f>VLOOKUP(D646,products!A:D,2,FALSE)</f>
        <v>Home Appliances</v>
      </c>
      <c r="L646" s="1" t="str">
        <f t="shared" si="21"/>
        <v>Dec-2025</v>
      </c>
    </row>
    <row r="647" spans="1:12" x14ac:dyDescent="0.25">
      <c r="A647" s="3" t="s">
        <v>889</v>
      </c>
      <c r="B647" s="6">
        <v>45932</v>
      </c>
      <c r="C647" s="3" t="s">
        <v>36</v>
      </c>
      <c r="D647" s="3" t="s">
        <v>33</v>
      </c>
      <c r="E647" s="3" t="s">
        <v>230</v>
      </c>
      <c r="F647" s="3">
        <v>1</v>
      </c>
      <c r="G647" s="3">
        <v>0</v>
      </c>
      <c r="H647" s="1">
        <f>VLOOKUP(D647,products!A:D,4,FALSE)</f>
        <v>245000</v>
      </c>
      <c r="I647" s="1" t="str">
        <f>VLOOKUP(C647,branches!A:B,2,FALSE)</f>
        <v>Naija Mart Sabon Gari</v>
      </c>
      <c r="J647" s="1">
        <f t="shared" si="20"/>
        <v>245000</v>
      </c>
      <c r="K647" s="1" t="str">
        <f>VLOOKUP(D647,products!A:D,2,FALSE)</f>
        <v>Generators &amp; Power</v>
      </c>
      <c r="L647" s="1" t="str">
        <f t="shared" si="21"/>
        <v>Oct-2025</v>
      </c>
    </row>
    <row r="648" spans="1:12" x14ac:dyDescent="0.25">
      <c r="A648" s="3" t="s">
        <v>890</v>
      </c>
      <c r="B648" s="6">
        <v>45721</v>
      </c>
      <c r="C648" s="3" t="s">
        <v>8</v>
      </c>
      <c r="D648" s="3" t="s">
        <v>126</v>
      </c>
      <c r="E648" s="3" t="s">
        <v>823</v>
      </c>
      <c r="F648" s="3">
        <v>2</v>
      </c>
      <c r="G648" s="3">
        <v>0</v>
      </c>
      <c r="H648" s="1">
        <f>VLOOKUP(D648,products!A:D,4,FALSE)</f>
        <v>185000</v>
      </c>
      <c r="I648" s="1" t="str">
        <f>VLOOKUP(C648,branches!A:B,2,FALSE)</f>
        <v>Naija Mart GRA</v>
      </c>
      <c r="J648" s="1">
        <f t="shared" si="20"/>
        <v>370000</v>
      </c>
      <c r="K648" s="1" t="str">
        <f>VLOOKUP(D648,products!A:D,2,FALSE)</f>
        <v>Electronics</v>
      </c>
      <c r="L648" s="1" t="str">
        <f t="shared" si="21"/>
        <v>Mar-2025</v>
      </c>
    </row>
    <row r="649" spans="1:12" x14ac:dyDescent="0.25">
      <c r="A649" s="3" t="s">
        <v>891</v>
      </c>
      <c r="B649" s="6">
        <v>46010</v>
      </c>
      <c r="C649" s="3" t="s">
        <v>16</v>
      </c>
      <c r="D649" s="3" t="s">
        <v>97</v>
      </c>
      <c r="E649" s="3" t="s">
        <v>308</v>
      </c>
      <c r="F649" s="3">
        <v>3</v>
      </c>
      <c r="G649" s="3">
        <v>10</v>
      </c>
      <c r="H649" s="1">
        <f>VLOOKUP(D649,products!A:D,4,FALSE)</f>
        <v>21000</v>
      </c>
      <c r="I649" s="1" t="str">
        <f>VLOOKUP(C649,branches!A:B,2,FALSE)</f>
        <v>Naija Mart Ikeja</v>
      </c>
      <c r="J649" s="1">
        <f t="shared" si="20"/>
        <v>56700</v>
      </c>
      <c r="K649" s="1" t="str">
        <f>VLOOKUP(D649,products!A:D,2,FALSE)</f>
        <v>Small Gadgets</v>
      </c>
      <c r="L649" s="1" t="str">
        <f t="shared" si="21"/>
        <v>Dec-2025</v>
      </c>
    </row>
    <row r="650" spans="1:12" x14ac:dyDescent="0.25">
      <c r="A650" s="3" t="s">
        <v>892</v>
      </c>
      <c r="B650" s="6">
        <v>45924</v>
      </c>
      <c r="C650" s="3" t="s">
        <v>8</v>
      </c>
      <c r="D650" s="3" t="s">
        <v>91</v>
      </c>
      <c r="E650" s="3" t="s">
        <v>893</v>
      </c>
      <c r="F650" s="3">
        <v>1</v>
      </c>
      <c r="G650" s="3">
        <v>0</v>
      </c>
      <c r="H650" s="1">
        <f>VLOOKUP(D650,products!A:D,4,FALSE)</f>
        <v>5200</v>
      </c>
      <c r="I650" s="1" t="str">
        <f>VLOOKUP(C650,branches!A:B,2,FALSE)</f>
        <v>Naija Mart GRA</v>
      </c>
      <c r="J650" s="1">
        <f t="shared" si="20"/>
        <v>5200</v>
      </c>
      <c r="K650" s="1" t="str">
        <f>VLOOKUP(D650,products!A:D,2,FALSE)</f>
        <v>Small Gadgets</v>
      </c>
      <c r="L650" s="1" t="str">
        <f t="shared" si="21"/>
        <v>Sep-2025</v>
      </c>
    </row>
    <row r="651" spans="1:12" x14ac:dyDescent="0.25">
      <c r="A651" s="3" t="s">
        <v>894</v>
      </c>
      <c r="B651" s="6">
        <v>45674</v>
      </c>
      <c r="C651" s="3" t="s">
        <v>16</v>
      </c>
      <c r="D651" s="3" t="s">
        <v>26</v>
      </c>
      <c r="E651" s="3" t="s">
        <v>477</v>
      </c>
      <c r="F651" s="3">
        <v>1</v>
      </c>
      <c r="G651" s="3">
        <v>0</v>
      </c>
      <c r="H651" s="1">
        <f>VLOOKUP(D651,products!A:D,4,FALSE)</f>
        <v>145000</v>
      </c>
      <c r="I651" s="1" t="str">
        <f>VLOOKUP(C651,branches!A:B,2,FALSE)</f>
        <v>Naija Mart Ikeja</v>
      </c>
      <c r="J651" s="1">
        <f t="shared" si="20"/>
        <v>145000</v>
      </c>
      <c r="K651" s="1" t="str">
        <f>VLOOKUP(D651,products!A:D,2,FALSE)</f>
        <v>Electronics</v>
      </c>
      <c r="L651" s="1" t="str">
        <f t="shared" si="21"/>
        <v>Jan-2025</v>
      </c>
    </row>
    <row r="652" spans="1:12" x14ac:dyDescent="0.25">
      <c r="A652" s="3" t="s">
        <v>895</v>
      </c>
      <c r="B652" s="6">
        <v>45792</v>
      </c>
      <c r="C652" s="3" t="s">
        <v>36</v>
      </c>
      <c r="D652" s="3" t="s">
        <v>17</v>
      </c>
      <c r="E652" s="3" t="s">
        <v>475</v>
      </c>
      <c r="F652" s="3">
        <v>1</v>
      </c>
      <c r="G652" s="3">
        <v>0</v>
      </c>
      <c r="H652" s="1">
        <f>VLOOKUP(D652,products!A:D,4,FALSE)</f>
        <v>22000</v>
      </c>
      <c r="I652" s="1" t="str">
        <f>VLOOKUP(C652,branches!A:B,2,FALSE)</f>
        <v>Naija Mart Sabon Gari</v>
      </c>
      <c r="J652" s="1">
        <f t="shared" si="20"/>
        <v>22000</v>
      </c>
      <c r="K652" s="1" t="str">
        <f>VLOOKUP(D652,products!A:D,2,FALSE)</f>
        <v>Home Appliances</v>
      </c>
      <c r="L652" s="1" t="str">
        <f t="shared" si="21"/>
        <v>May-2025</v>
      </c>
    </row>
    <row r="653" spans="1:12" x14ac:dyDescent="0.25">
      <c r="A653" s="3" t="s">
        <v>896</v>
      </c>
      <c r="B653" s="6">
        <v>45764</v>
      </c>
      <c r="C653" s="3" t="s">
        <v>16</v>
      </c>
      <c r="D653" s="3" t="s">
        <v>56</v>
      </c>
      <c r="E653" s="3" t="s">
        <v>313</v>
      </c>
      <c r="F653" s="3">
        <v>1</v>
      </c>
      <c r="G653" s="3">
        <v>10</v>
      </c>
      <c r="H653" s="1">
        <f>VLOOKUP(D653,products!A:D,4,FALSE)</f>
        <v>285000</v>
      </c>
      <c r="I653" s="1" t="str">
        <f>VLOOKUP(C653,branches!A:B,2,FALSE)</f>
        <v>Naija Mart Ikeja</v>
      </c>
      <c r="J653" s="1">
        <f t="shared" si="20"/>
        <v>256500</v>
      </c>
      <c r="K653" s="1" t="str">
        <f>VLOOKUP(D653,products!A:D,2,FALSE)</f>
        <v>Home Appliances</v>
      </c>
      <c r="L653" s="1" t="str">
        <f t="shared" si="21"/>
        <v>Apr-2025</v>
      </c>
    </row>
    <row r="654" spans="1:12" x14ac:dyDescent="0.25">
      <c r="A654" s="3" t="s">
        <v>897</v>
      </c>
      <c r="B654" s="6">
        <v>45980</v>
      </c>
      <c r="C654" s="3" t="s">
        <v>36</v>
      </c>
      <c r="D654" s="3" t="s">
        <v>56</v>
      </c>
      <c r="E654" s="3" t="s">
        <v>420</v>
      </c>
      <c r="F654" s="3">
        <v>1</v>
      </c>
      <c r="G654" s="3">
        <v>5</v>
      </c>
      <c r="H654" s="1">
        <f>VLOOKUP(D654,products!A:D,4,FALSE)</f>
        <v>285000</v>
      </c>
      <c r="I654" s="1" t="str">
        <f>VLOOKUP(C654,branches!A:B,2,FALSE)</f>
        <v>Naija Mart Sabon Gari</v>
      </c>
      <c r="J654" s="1">
        <f t="shared" si="20"/>
        <v>270750</v>
      </c>
      <c r="K654" s="1" t="str">
        <f>VLOOKUP(D654,products!A:D,2,FALSE)</f>
        <v>Home Appliances</v>
      </c>
      <c r="L654" s="1" t="str">
        <f t="shared" si="21"/>
        <v>Nov-2025</v>
      </c>
    </row>
    <row r="655" spans="1:12" x14ac:dyDescent="0.25">
      <c r="A655" s="3" t="s">
        <v>898</v>
      </c>
      <c r="B655" s="6">
        <v>45833</v>
      </c>
      <c r="C655" s="3" t="s">
        <v>16</v>
      </c>
      <c r="D655" s="3" t="s">
        <v>149</v>
      </c>
      <c r="E655" s="3" t="s">
        <v>219</v>
      </c>
      <c r="F655" s="3">
        <v>1</v>
      </c>
      <c r="G655" s="3">
        <v>0</v>
      </c>
      <c r="H655" s="1">
        <f>VLOOKUP(D655,products!A:D,4,FALSE)</f>
        <v>6500</v>
      </c>
      <c r="I655" s="1" t="str">
        <f>VLOOKUP(C655,branches!A:B,2,FALSE)</f>
        <v>Naija Mart Ikeja</v>
      </c>
      <c r="J655" s="1">
        <f t="shared" si="20"/>
        <v>6500</v>
      </c>
      <c r="K655" s="1" t="str">
        <f>VLOOKUP(D655,products!A:D,2,FALSE)</f>
        <v>Small Gadgets</v>
      </c>
      <c r="L655" s="1" t="str">
        <f t="shared" si="21"/>
        <v>Jun-2025</v>
      </c>
    </row>
    <row r="656" spans="1:12" x14ac:dyDescent="0.25">
      <c r="A656" s="3" t="s">
        <v>899</v>
      </c>
      <c r="B656" s="6">
        <v>45670</v>
      </c>
      <c r="C656" s="3" t="s">
        <v>8</v>
      </c>
      <c r="D656" s="3" t="s">
        <v>17</v>
      </c>
      <c r="E656" s="3" t="s">
        <v>180</v>
      </c>
      <c r="F656" s="3">
        <v>1</v>
      </c>
      <c r="G656" s="3">
        <v>0</v>
      </c>
      <c r="H656" s="1">
        <f>VLOOKUP(D656,products!A:D,4,FALSE)</f>
        <v>22000</v>
      </c>
      <c r="I656" s="1" t="str">
        <f>VLOOKUP(C656,branches!A:B,2,FALSE)</f>
        <v>Naija Mart GRA</v>
      </c>
      <c r="J656" s="1">
        <f t="shared" si="20"/>
        <v>22000</v>
      </c>
      <c r="K656" s="1" t="str">
        <f>VLOOKUP(D656,products!A:D,2,FALSE)</f>
        <v>Home Appliances</v>
      </c>
      <c r="L656" s="1" t="str">
        <f t="shared" si="21"/>
        <v>Jan-2025</v>
      </c>
    </row>
    <row r="657" spans="1:12" x14ac:dyDescent="0.25">
      <c r="A657" s="3" t="s">
        <v>900</v>
      </c>
      <c r="B657" s="6">
        <v>45951</v>
      </c>
      <c r="C657" s="3" t="s">
        <v>12</v>
      </c>
      <c r="D657" s="3" t="s">
        <v>17</v>
      </c>
      <c r="E657" s="3" t="s">
        <v>683</v>
      </c>
      <c r="F657" s="3">
        <v>1</v>
      </c>
      <c r="G657" s="3">
        <v>0</v>
      </c>
      <c r="H657" s="1">
        <f>VLOOKUP(D657,products!A:D,4,FALSE)</f>
        <v>22000</v>
      </c>
      <c r="I657" s="1" t="str">
        <f>VLOOKUP(C657,branches!A:B,2,FALSE)</f>
        <v>Naija Mart Wuse</v>
      </c>
      <c r="J657" s="1">
        <f t="shared" si="20"/>
        <v>22000</v>
      </c>
      <c r="K657" s="1" t="str">
        <f>VLOOKUP(D657,products!A:D,2,FALSE)</f>
        <v>Home Appliances</v>
      </c>
      <c r="L657" s="1" t="str">
        <f t="shared" si="21"/>
        <v>Oct-2025</v>
      </c>
    </row>
    <row r="658" spans="1:12" x14ac:dyDescent="0.25">
      <c r="A658" s="3" t="s">
        <v>901</v>
      </c>
      <c r="B658" s="6">
        <v>45682</v>
      </c>
      <c r="C658" s="3" t="s">
        <v>36</v>
      </c>
      <c r="D658" s="3" t="s">
        <v>9</v>
      </c>
      <c r="E658" s="3" t="s">
        <v>265</v>
      </c>
      <c r="F658" s="3">
        <v>2</v>
      </c>
      <c r="G658" s="3">
        <v>15</v>
      </c>
      <c r="H658" s="1">
        <f>VLOOKUP(D658,products!A:D,4,FALSE)</f>
        <v>410000</v>
      </c>
      <c r="I658" s="1" t="str">
        <f>VLOOKUP(C658,branches!A:B,2,FALSE)</f>
        <v>Naija Mart Sabon Gari</v>
      </c>
      <c r="J658" s="1">
        <f t="shared" si="20"/>
        <v>697000</v>
      </c>
      <c r="K658" s="1" t="str">
        <f>VLOOKUP(D658,products!A:D,2,FALSE)</f>
        <v>Home Appliances</v>
      </c>
      <c r="L658" s="1" t="str">
        <f t="shared" si="21"/>
        <v>Jan-2025</v>
      </c>
    </row>
    <row r="659" spans="1:12" x14ac:dyDescent="0.25">
      <c r="A659" s="3" t="s">
        <v>902</v>
      </c>
      <c r="B659" s="6">
        <v>46012</v>
      </c>
      <c r="C659" s="3" t="s">
        <v>36</v>
      </c>
      <c r="D659" s="3" t="s">
        <v>13</v>
      </c>
      <c r="E659" s="3" t="s">
        <v>245</v>
      </c>
      <c r="F659" s="3">
        <v>2</v>
      </c>
      <c r="G659" s="3">
        <v>10</v>
      </c>
      <c r="H659" s="1">
        <f>VLOOKUP(D659,products!A:D,4,FALSE)</f>
        <v>24000</v>
      </c>
      <c r="I659" s="1" t="str">
        <f>VLOOKUP(C659,branches!A:B,2,FALSE)</f>
        <v>Naija Mart Sabon Gari</v>
      </c>
      <c r="J659" s="1">
        <f t="shared" si="20"/>
        <v>43200</v>
      </c>
      <c r="K659" s="1" t="str">
        <f>VLOOKUP(D659,products!A:D,2,FALSE)</f>
        <v>Home Appliances</v>
      </c>
      <c r="L659" s="1" t="str">
        <f t="shared" si="21"/>
        <v>Dec-2025</v>
      </c>
    </row>
    <row r="660" spans="1:12" x14ac:dyDescent="0.25">
      <c r="A660" s="3" t="s">
        <v>903</v>
      </c>
      <c r="B660" s="6">
        <v>45677</v>
      </c>
      <c r="C660" s="3" t="s">
        <v>16</v>
      </c>
      <c r="D660" s="3" t="s">
        <v>40</v>
      </c>
      <c r="E660" s="3" t="s">
        <v>603</v>
      </c>
      <c r="F660" s="3">
        <v>1</v>
      </c>
      <c r="G660" s="3">
        <v>5</v>
      </c>
      <c r="H660" s="1">
        <f>VLOOKUP(D660,products!A:D,4,FALSE)</f>
        <v>195000</v>
      </c>
      <c r="I660" s="1" t="str">
        <f>VLOOKUP(C660,branches!A:B,2,FALSE)</f>
        <v>Naija Mart Ikeja</v>
      </c>
      <c r="J660" s="1">
        <f t="shared" si="20"/>
        <v>185250</v>
      </c>
      <c r="K660" s="1" t="str">
        <f>VLOOKUP(D660,products!A:D,2,FALSE)</f>
        <v>Generators &amp; Power</v>
      </c>
      <c r="L660" s="1" t="str">
        <f t="shared" si="21"/>
        <v>Jan-2025</v>
      </c>
    </row>
    <row r="661" spans="1:12" x14ac:dyDescent="0.25">
      <c r="A661" s="3" t="s">
        <v>904</v>
      </c>
      <c r="B661" s="6">
        <v>45983</v>
      </c>
      <c r="C661" s="3" t="s">
        <v>12</v>
      </c>
      <c r="D661" s="3" t="s">
        <v>43</v>
      </c>
      <c r="E661" s="3" t="s">
        <v>526</v>
      </c>
      <c r="F661" s="3">
        <v>2</v>
      </c>
      <c r="G661" s="3">
        <v>15</v>
      </c>
      <c r="H661" s="1">
        <f>VLOOKUP(D661,products!A:D,4,FALSE)</f>
        <v>74000</v>
      </c>
      <c r="I661" s="1" t="str">
        <f>VLOOKUP(C661,branches!A:B,2,FALSE)</f>
        <v>Naija Mart Wuse</v>
      </c>
      <c r="J661" s="1">
        <f t="shared" si="20"/>
        <v>125800</v>
      </c>
      <c r="K661" s="1" t="str">
        <f>VLOOKUP(D661,products!A:D,2,FALSE)</f>
        <v>Home Appliances</v>
      </c>
      <c r="L661" s="1" t="str">
        <f t="shared" si="21"/>
        <v>Nov-2025</v>
      </c>
    </row>
    <row r="662" spans="1:12" x14ac:dyDescent="0.25">
      <c r="A662" s="3" t="s">
        <v>905</v>
      </c>
      <c r="B662" s="6">
        <v>45926</v>
      </c>
      <c r="C662" s="3" t="s">
        <v>36</v>
      </c>
      <c r="D662" s="3" t="s">
        <v>46</v>
      </c>
      <c r="E662" s="3" t="s">
        <v>364</v>
      </c>
      <c r="F662" s="3">
        <v>1</v>
      </c>
      <c r="G662" s="3">
        <v>5</v>
      </c>
      <c r="H662" s="1">
        <f>VLOOKUP(D662,products!A:D,4,FALSE)</f>
        <v>62000</v>
      </c>
      <c r="I662" s="1" t="str">
        <f>VLOOKUP(C662,branches!A:B,2,FALSE)</f>
        <v>Naija Mart Sabon Gari</v>
      </c>
      <c r="J662" s="1">
        <f t="shared" si="20"/>
        <v>58900</v>
      </c>
      <c r="K662" s="1" t="str">
        <f>VLOOKUP(D662,products!A:D,2,FALSE)</f>
        <v>Home Appliances</v>
      </c>
      <c r="L662" s="1" t="str">
        <f t="shared" si="21"/>
        <v>Sep-2025</v>
      </c>
    </row>
    <row r="663" spans="1:12" x14ac:dyDescent="0.25">
      <c r="A663" s="3" t="s">
        <v>906</v>
      </c>
      <c r="B663" s="6">
        <v>45972</v>
      </c>
      <c r="C663" s="3" t="s">
        <v>36</v>
      </c>
      <c r="D663" s="3" t="s">
        <v>40</v>
      </c>
      <c r="E663" s="3" t="s">
        <v>295</v>
      </c>
      <c r="F663" s="3">
        <v>1</v>
      </c>
      <c r="G663" s="3">
        <v>15</v>
      </c>
      <c r="H663" s="1">
        <f>VLOOKUP(D663,products!A:D,4,FALSE)</f>
        <v>195000</v>
      </c>
      <c r="I663" s="1" t="str">
        <f>VLOOKUP(C663,branches!A:B,2,FALSE)</f>
        <v>Naija Mart Sabon Gari</v>
      </c>
      <c r="J663" s="1">
        <f t="shared" si="20"/>
        <v>165750</v>
      </c>
      <c r="K663" s="1" t="str">
        <f>VLOOKUP(D663,products!A:D,2,FALSE)</f>
        <v>Generators &amp; Power</v>
      </c>
      <c r="L663" s="1" t="str">
        <f t="shared" si="21"/>
        <v>Nov-2025</v>
      </c>
    </row>
    <row r="664" spans="1:12" x14ac:dyDescent="0.25">
      <c r="A664" s="3" t="s">
        <v>907</v>
      </c>
      <c r="B664" s="6">
        <v>45889</v>
      </c>
      <c r="C664" s="3" t="s">
        <v>36</v>
      </c>
      <c r="D664" s="3" t="s">
        <v>9</v>
      </c>
      <c r="E664" s="3" t="s">
        <v>908</v>
      </c>
      <c r="F664" s="3">
        <v>1</v>
      </c>
      <c r="G664" s="3">
        <v>5</v>
      </c>
      <c r="H664" s="1">
        <f>VLOOKUP(D664,products!A:D,4,FALSE)</f>
        <v>410000</v>
      </c>
      <c r="I664" s="1" t="str">
        <f>VLOOKUP(C664,branches!A:B,2,FALSE)</f>
        <v>Naija Mart Sabon Gari</v>
      </c>
      <c r="J664" s="1">
        <f t="shared" si="20"/>
        <v>389500</v>
      </c>
      <c r="K664" s="1" t="str">
        <f>VLOOKUP(D664,products!A:D,2,FALSE)</f>
        <v>Home Appliances</v>
      </c>
      <c r="L664" s="1" t="str">
        <f t="shared" si="21"/>
        <v>Aug-2025</v>
      </c>
    </row>
    <row r="665" spans="1:12" x14ac:dyDescent="0.25">
      <c r="A665" s="3" t="s">
        <v>909</v>
      </c>
      <c r="B665" s="6">
        <v>45820</v>
      </c>
      <c r="C665" s="3" t="s">
        <v>8</v>
      </c>
      <c r="D665" s="3" t="s">
        <v>64</v>
      </c>
      <c r="E665" s="3" t="s">
        <v>335</v>
      </c>
      <c r="F665" s="3">
        <v>1</v>
      </c>
      <c r="G665" s="3">
        <v>15</v>
      </c>
      <c r="H665" s="1">
        <f>VLOOKUP(D665,products!A:D,4,FALSE)</f>
        <v>175000</v>
      </c>
      <c r="I665" s="1" t="str">
        <f>VLOOKUP(C665,branches!A:B,2,FALSE)</f>
        <v>Naija Mart GRA</v>
      </c>
      <c r="J665" s="1">
        <f t="shared" si="20"/>
        <v>148750</v>
      </c>
      <c r="K665" s="1" t="str">
        <f>VLOOKUP(D665,products!A:D,2,FALSE)</f>
        <v>Generators &amp; Power</v>
      </c>
      <c r="L665" s="1" t="str">
        <f t="shared" si="21"/>
        <v>Jun-2025</v>
      </c>
    </row>
    <row r="666" spans="1:12" x14ac:dyDescent="0.25">
      <c r="A666" s="3" t="s">
        <v>910</v>
      </c>
      <c r="B666" s="6">
        <v>45830</v>
      </c>
      <c r="C666" s="3" t="s">
        <v>16</v>
      </c>
      <c r="D666" s="3" t="s">
        <v>20</v>
      </c>
      <c r="E666" s="3" t="s">
        <v>783</v>
      </c>
      <c r="F666" s="3">
        <v>1</v>
      </c>
      <c r="G666" s="3">
        <v>0</v>
      </c>
      <c r="H666" s="1">
        <f>VLOOKUP(D666,products!A:D,4,FALSE)</f>
        <v>38000</v>
      </c>
      <c r="I666" s="1" t="str">
        <f>VLOOKUP(C666,branches!A:B,2,FALSE)</f>
        <v>Naija Mart Ikeja</v>
      </c>
      <c r="J666" s="1">
        <f t="shared" si="20"/>
        <v>38000</v>
      </c>
      <c r="K666" s="1" t="str">
        <f>VLOOKUP(D666,products!A:D,2,FALSE)</f>
        <v>Electronics</v>
      </c>
      <c r="L666" s="1" t="str">
        <f t="shared" si="21"/>
        <v>Jun-2025</v>
      </c>
    </row>
    <row r="667" spans="1:12" x14ac:dyDescent="0.25">
      <c r="A667" s="3" t="s">
        <v>911</v>
      </c>
      <c r="B667" s="6">
        <v>46006</v>
      </c>
      <c r="C667" s="3" t="s">
        <v>36</v>
      </c>
      <c r="D667" s="3" t="s">
        <v>64</v>
      </c>
      <c r="E667" s="3" t="s">
        <v>415</v>
      </c>
      <c r="F667" s="3">
        <v>1</v>
      </c>
      <c r="G667" s="3">
        <v>10</v>
      </c>
      <c r="H667" s="1">
        <f>VLOOKUP(D667,products!A:D,4,FALSE)</f>
        <v>175000</v>
      </c>
      <c r="I667" s="1" t="str">
        <f>VLOOKUP(C667,branches!A:B,2,FALSE)</f>
        <v>Naija Mart Sabon Gari</v>
      </c>
      <c r="J667" s="1">
        <f t="shared" si="20"/>
        <v>157500</v>
      </c>
      <c r="K667" s="1" t="str">
        <f>VLOOKUP(D667,products!A:D,2,FALSE)</f>
        <v>Generators &amp; Power</v>
      </c>
      <c r="L667" s="1" t="str">
        <f t="shared" si="21"/>
        <v>Dec-2025</v>
      </c>
    </row>
    <row r="668" spans="1:12" x14ac:dyDescent="0.25">
      <c r="A668" s="3" t="s">
        <v>912</v>
      </c>
      <c r="B668" s="6">
        <v>45727</v>
      </c>
      <c r="C668" s="3" t="s">
        <v>16</v>
      </c>
      <c r="D668" s="3" t="s">
        <v>49</v>
      </c>
      <c r="E668" s="3" t="s">
        <v>764</v>
      </c>
      <c r="F668" s="3">
        <v>5</v>
      </c>
      <c r="G668" s="3">
        <v>10</v>
      </c>
      <c r="H668" s="1">
        <f>VLOOKUP(D668,products!A:D,4,FALSE)</f>
        <v>28000</v>
      </c>
      <c r="I668" s="1" t="str">
        <f>VLOOKUP(C668,branches!A:B,2,FALSE)</f>
        <v>Naija Mart Ikeja</v>
      </c>
      <c r="J668" s="1">
        <f t="shared" si="20"/>
        <v>126000</v>
      </c>
      <c r="K668" s="1" t="str">
        <f>VLOOKUP(D668,products!A:D,2,FALSE)</f>
        <v>Home Appliances</v>
      </c>
      <c r="L668" s="1" t="str">
        <f t="shared" si="21"/>
        <v>Mar-2025</v>
      </c>
    </row>
    <row r="669" spans="1:12" x14ac:dyDescent="0.25">
      <c r="A669" s="3" t="s">
        <v>913</v>
      </c>
      <c r="B669" s="6">
        <v>45940</v>
      </c>
      <c r="C669" s="3" t="s">
        <v>12</v>
      </c>
      <c r="D669" s="3" t="s">
        <v>59</v>
      </c>
      <c r="E669" s="3" t="s">
        <v>238</v>
      </c>
      <c r="F669" s="3">
        <v>2</v>
      </c>
      <c r="G669" s="3">
        <v>5</v>
      </c>
      <c r="H669" s="1">
        <f>VLOOKUP(D669,products!A:D,4,FALSE)</f>
        <v>15000</v>
      </c>
      <c r="I669" s="1" t="str">
        <f>VLOOKUP(C669,branches!A:B,2,FALSE)</f>
        <v>Naija Mart Wuse</v>
      </c>
      <c r="J669" s="1">
        <f t="shared" si="20"/>
        <v>28500</v>
      </c>
      <c r="K669" s="1" t="str">
        <f>VLOOKUP(D669,products!A:D,2,FALSE)</f>
        <v>Home Appliances</v>
      </c>
      <c r="L669" s="1" t="str">
        <f t="shared" si="21"/>
        <v>Oct-2025</v>
      </c>
    </row>
    <row r="670" spans="1:12" x14ac:dyDescent="0.25">
      <c r="A670" s="3" t="s">
        <v>914</v>
      </c>
      <c r="B670" s="6">
        <v>45704</v>
      </c>
      <c r="C670" s="3" t="s">
        <v>8</v>
      </c>
      <c r="D670" s="3" t="s">
        <v>43</v>
      </c>
      <c r="E670" s="3" t="s">
        <v>355</v>
      </c>
      <c r="F670" s="3">
        <v>1</v>
      </c>
      <c r="G670" s="3">
        <v>0</v>
      </c>
      <c r="H670" s="1">
        <f>VLOOKUP(D670,products!A:D,4,FALSE)</f>
        <v>74000</v>
      </c>
      <c r="I670" s="1" t="str">
        <f>VLOOKUP(C670,branches!A:B,2,FALSE)</f>
        <v>Naija Mart GRA</v>
      </c>
      <c r="J670" s="1">
        <f t="shared" si="20"/>
        <v>74000</v>
      </c>
      <c r="K670" s="1" t="str">
        <f>VLOOKUP(D670,products!A:D,2,FALSE)</f>
        <v>Home Appliances</v>
      </c>
      <c r="L670" s="1" t="str">
        <f t="shared" si="21"/>
        <v>Feb-2025</v>
      </c>
    </row>
    <row r="671" spans="1:12" x14ac:dyDescent="0.25">
      <c r="A671" s="3" t="s">
        <v>915</v>
      </c>
      <c r="B671" s="6">
        <v>46018</v>
      </c>
      <c r="C671" s="3" t="s">
        <v>16</v>
      </c>
      <c r="D671" s="3" t="s">
        <v>46</v>
      </c>
      <c r="E671" s="3" t="s">
        <v>346</v>
      </c>
      <c r="F671" s="3">
        <v>1</v>
      </c>
      <c r="G671" s="3">
        <v>10</v>
      </c>
      <c r="H671" s="1">
        <f>VLOOKUP(D671,products!A:D,4,FALSE)</f>
        <v>62000</v>
      </c>
      <c r="I671" s="1" t="str">
        <f>VLOOKUP(C671,branches!A:B,2,FALSE)</f>
        <v>Naija Mart Ikeja</v>
      </c>
      <c r="J671" s="1">
        <f t="shared" si="20"/>
        <v>55800</v>
      </c>
      <c r="K671" s="1" t="str">
        <f>VLOOKUP(D671,products!A:D,2,FALSE)</f>
        <v>Home Appliances</v>
      </c>
      <c r="L671" s="1" t="str">
        <f t="shared" si="21"/>
        <v>Dec-2025</v>
      </c>
    </row>
    <row r="672" spans="1:12" x14ac:dyDescent="0.25">
      <c r="A672" s="3" t="s">
        <v>916</v>
      </c>
      <c r="B672" s="6">
        <v>46003</v>
      </c>
      <c r="C672" s="3" t="s">
        <v>16</v>
      </c>
      <c r="D672" s="3" t="s">
        <v>20</v>
      </c>
      <c r="E672" s="3" t="s">
        <v>847</v>
      </c>
      <c r="F672" s="3">
        <v>1</v>
      </c>
      <c r="G672" s="3">
        <v>10</v>
      </c>
      <c r="H672" s="1">
        <f>VLOOKUP(D672,products!A:D,4,FALSE)</f>
        <v>38000</v>
      </c>
      <c r="I672" s="1" t="str">
        <f>VLOOKUP(C672,branches!A:B,2,FALSE)</f>
        <v>Naija Mart Ikeja</v>
      </c>
      <c r="J672" s="1">
        <f t="shared" si="20"/>
        <v>34200</v>
      </c>
      <c r="K672" s="1" t="str">
        <f>VLOOKUP(D672,products!A:D,2,FALSE)</f>
        <v>Electronics</v>
      </c>
      <c r="L672" s="1" t="str">
        <f t="shared" si="21"/>
        <v>Dec-2025</v>
      </c>
    </row>
    <row r="673" spans="1:12" x14ac:dyDescent="0.25">
      <c r="A673" s="3" t="s">
        <v>917</v>
      </c>
      <c r="B673" s="6">
        <v>45824</v>
      </c>
      <c r="C673" s="3" t="s">
        <v>16</v>
      </c>
      <c r="D673" s="3" t="s">
        <v>23</v>
      </c>
      <c r="E673" s="3" t="s">
        <v>819</v>
      </c>
      <c r="F673" s="3">
        <v>1</v>
      </c>
      <c r="G673" s="3">
        <v>20</v>
      </c>
      <c r="H673" s="1">
        <f>VLOOKUP(D673,products!A:D,4,FALSE)</f>
        <v>19500</v>
      </c>
      <c r="I673" s="1" t="str">
        <f>VLOOKUP(C673,branches!A:B,2,FALSE)</f>
        <v>Naija Mart Ikeja</v>
      </c>
      <c r="J673" s="1">
        <f t="shared" si="20"/>
        <v>15600</v>
      </c>
      <c r="K673" s="1" t="str">
        <f>VLOOKUP(D673,products!A:D,2,FALSE)</f>
        <v>Home Appliances</v>
      </c>
      <c r="L673" s="1" t="str">
        <f t="shared" si="21"/>
        <v>Jun-2025</v>
      </c>
    </row>
    <row r="674" spans="1:12" x14ac:dyDescent="0.25">
      <c r="A674" s="3" t="s">
        <v>918</v>
      </c>
      <c r="B674" s="6">
        <v>45732</v>
      </c>
      <c r="C674" s="3" t="s">
        <v>8</v>
      </c>
      <c r="D674" s="3" t="s">
        <v>258</v>
      </c>
      <c r="E674" s="3" t="s">
        <v>122</v>
      </c>
      <c r="F674" s="3">
        <v>2</v>
      </c>
      <c r="G674" s="3">
        <v>10</v>
      </c>
      <c r="H674" s="1">
        <f>VLOOKUP(D674,products!A:D,4,FALSE)</f>
        <v>95000</v>
      </c>
      <c r="I674" s="1" t="str">
        <f>VLOOKUP(C674,branches!A:B,2,FALSE)</f>
        <v>Naija Mart GRA</v>
      </c>
      <c r="J674" s="1">
        <f t="shared" si="20"/>
        <v>171000</v>
      </c>
      <c r="K674" s="1" t="str">
        <f>VLOOKUP(D674,products!A:D,2,FALSE)</f>
        <v>Electronics</v>
      </c>
      <c r="L674" s="1" t="str">
        <f t="shared" si="21"/>
        <v>Mar-2025</v>
      </c>
    </row>
    <row r="675" spans="1:12" x14ac:dyDescent="0.25">
      <c r="A675" s="3" t="s">
        <v>919</v>
      </c>
      <c r="B675" s="6">
        <v>45841</v>
      </c>
      <c r="C675" s="3" t="s">
        <v>12</v>
      </c>
      <c r="D675" s="3" t="s">
        <v>126</v>
      </c>
      <c r="E675" s="3" t="s">
        <v>605</v>
      </c>
      <c r="F675" s="3">
        <v>2</v>
      </c>
      <c r="G675" s="3">
        <v>0</v>
      </c>
      <c r="H675" s="1">
        <f>VLOOKUP(D675,products!A:D,4,FALSE)</f>
        <v>185000</v>
      </c>
      <c r="I675" s="1" t="str">
        <f>VLOOKUP(C675,branches!A:B,2,FALSE)</f>
        <v>Naija Mart Wuse</v>
      </c>
      <c r="J675" s="1">
        <f t="shared" si="20"/>
        <v>370000</v>
      </c>
      <c r="K675" s="1" t="str">
        <f>VLOOKUP(D675,products!A:D,2,FALSE)</f>
        <v>Electronics</v>
      </c>
      <c r="L675" s="1" t="str">
        <f t="shared" si="21"/>
        <v>Jul-2025</v>
      </c>
    </row>
    <row r="676" spans="1:12" x14ac:dyDescent="0.25">
      <c r="A676" s="3" t="s">
        <v>920</v>
      </c>
      <c r="B676" s="6">
        <v>45940</v>
      </c>
      <c r="C676" s="3" t="s">
        <v>16</v>
      </c>
      <c r="D676" s="3" t="s">
        <v>17</v>
      </c>
      <c r="E676" s="3" t="s">
        <v>308</v>
      </c>
      <c r="F676" s="3">
        <v>1</v>
      </c>
      <c r="G676" s="3">
        <v>0</v>
      </c>
      <c r="H676" s="1">
        <f>VLOOKUP(D676,products!A:D,4,FALSE)</f>
        <v>22000</v>
      </c>
      <c r="I676" s="1" t="str">
        <f>VLOOKUP(C676,branches!A:B,2,FALSE)</f>
        <v>Naija Mart Ikeja</v>
      </c>
      <c r="J676" s="1">
        <f t="shared" si="20"/>
        <v>22000</v>
      </c>
      <c r="K676" s="1" t="str">
        <f>VLOOKUP(D676,products!A:D,2,FALSE)</f>
        <v>Home Appliances</v>
      </c>
      <c r="L676" s="1" t="str">
        <f t="shared" si="21"/>
        <v>Oct-2025</v>
      </c>
    </row>
    <row r="677" spans="1:12" x14ac:dyDescent="0.25">
      <c r="A677" s="3" t="s">
        <v>921</v>
      </c>
      <c r="B677" s="6">
        <v>45887</v>
      </c>
      <c r="C677" s="3" t="s">
        <v>16</v>
      </c>
      <c r="D677" s="3" t="s">
        <v>23</v>
      </c>
      <c r="E677" s="3" t="s">
        <v>57</v>
      </c>
      <c r="F677" s="3">
        <v>1</v>
      </c>
      <c r="G677" s="3">
        <v>0</v>
      </c>
      <c r="H677" s="1">
        <f>VLOOKUP(D677,products!A:D,4,FALSE)</f>
        <v>19500</v>
      </c>
      <c r="I677" s="1" t="str">
        <f>VLOOKUP(C677,branches!A:B,2,FALSE)</f>
        <v>Naija Mart Ikeja</v>
      </c>
      <c r="J677" s="1">
        <f t="shared" si="20"/>
        <v>19500</v>
      </c>
      <c r="K677" s="1" t="str">
        <f>VLOOKUP(D677,products!A:D,2,FALSE)</f>
        <v>Home Appliances</v>
      </c>
      <c r="L677" s="1" t="str">
        <f t="shared" si="21"/>
        <v>Aug-2025</v>
      </c>
    </row>
    <row r="678" spans="1:12" x14ac:dyDescent="0.25">
      <c r="A678" s="3" t="s">
        <v>922</v>
      </c>
      <c r="B678" s="6">
        <v>45820</v>
      </c>
      <c r="C678" s="3" t="s">
        <v>16</v>
      </c>
      <c r="D678" s="3" t="s">
        <v>43</v>
      </c>
      <c r="E678" s="3" t="s">
        <v>200</v>
      </c>
      <c r="F678" s="3">
        <v>2</v>
      </c>
      <c r="G678" s="3">
        <v>30</v>
      </c>
      <c r="H678" s="1">
        <f>VLOOKUP(D678,products!A:D,4,FALSE)</f>
        <v>74000</v>
      </c>
      <c r="I678" s="1" t="str">
        <f>VLOOKUP(C678,branches!A:B,2,FALSE)</f>
        <v>Naija Mart Ikeja</v>
      </c>
      <c r="J678" s="1">
        <f t="shared" si="20"/>
        <v>103600</v>
      </c>
      <c r="K678" s="1" t="str">
        <f>VLOOKUP(D678,products!A:D,2,FALSE)</f>
        <v>Home Appliances</v>
      </c>
      <c r="L678" s="1" t="str">
        <f t="shared" si="21"/>
        <v>Jun-2025</v>
      </c>
    </row>
    <row r="679" spans="1:12" x14ac:dyDescent="0.25">
      <c r="A679" s="3" t="s">
        <v>923</v>
      </c>
      <c r="B679" s="6">
        <v>45940</v>
      </c>
      <c r="C679" s="3" t="s">
        <v>8</v>
      </c>
      <c r="D679" s="3" t="s">
        <v>33</v>
      </c>
      <c r="E679" s="3" t="s">
        <v>124</v>
      </c>
      <c r="F679" s="3">
        <v>1</v>
      </c>
      <c r="G679" s="3">
        <v>0</v>
      </c>
      <c r="H679" s="1">
        <f>VLOOKUP(D679,products!A:D,4,FALSE)</f>
        <v>245000</v>
      </c>
      <c r="I679" s="1" t="str">
        <f>VLOOKUP(C679,branches!A:B,2,FALSE)</f>
        <v>Naija Mart GRA</v>
      </c>
      <c r="J679" s="1">
        <f t="shared" si="20"/>
        <v>245000</v>
      </c>
      <c r="K679" s="1" t="str">
        <f>VLOOKUP(D679,products!A:D,2,FALSE)</f>
        <v>Generators &amp; Power</v>
      </c>
      <c r="L679" s="1" t="str">
        <f t="shared" si="21"/>
        <v>Oct-2025</v>
      </c>
    </row>
    <row r="680" spans="1:12" x14ac:dyDescent="0.25">
      <c r="A680" s="3" t="s">
        <v>924</v>
      </c>
      <c r="B680" s="6">
        <v>45817</v>
      </c>
      <c r="C680" s="3" t="s">
        <v>12</v>
      </c>
      <c r="D680" s="3" t="s">
        <v>126</v>
      </c>
      <c r="E680" s="3" t="s">
        <v>415</v>
      </c>
      <c r="F680" s="3">
        <v>1</v>
      </c>
      <c r="G680" s="3">
        <v>0</v>
      </c>
      <c r="H680" s="1">
        <f>VLOOKUP(D680,products!A:D,4,FALSE)</f>
        <v>185000</v>
      </c>
      <c r="I680" s="1" t="str">
        <f>VLOOKUP(C680,branches!A:B,2,FALSE)</f>
        <v>Naija Mart Wuse</v>
      </c>
      <c r="J680" s="1">
        <f t="shared" si="20"/>
        <v>185000</v>
      </c>
      <c r="K680" s="1" t="str">
        <f>VLOOKUP(D680,products!A:D,2,FALSE)</f>
        <v>Electronics</v>
      </c>
      <c r="L680" s="1" t="str">
        <f t="shared" si="21"/>
        <v>Jun-2025</v>
      </c>
    </row>
    <row r="681" spans="1:12" x14ac:dyDescent="0.25">
      <c r="A681" s="3" t="s">
        <v>925</v>
      </c>
      <c r="B681" s="6">
        <v>45980</v>
      </c>
      <c r="C681" s="3" t="s">
        <v>36</v>
      </c>
      <c r="D681" s="3" t="s">
        <v>64</v>
      </c>
      <c r="E681" s="3" t="s">
        <v>54</v>
      </c>
      <c r="F681" s="3">
        <v>2</v>
      </c>
      <c r="G681" s="3">
        <v>5</v>
      </c>
      <c r="H681" s="1">
        <f>VLOOKUP(D681,products!A:D,4,FALSE)</f>
        <v>175000</v>
      </c>
      <c r="I681" s="1" t="str">
        <f>VLOOKUP(C681,branches!A:B,2,FALSE)</f>
        <v>Naija Mart Sabon Gari</v>
      </c>
      <c r="J681" s="1">
        <f t="shared" si="20"/>
        <v>332500</v>
      </c>
      <c r="K681" s="1" t="str">
        <f>VLOOKUP(D681,products!A:D,2,FALSE)</f>
        <v>Generators &amp; Power</v>
      </c>
      <c r="L681" s="1" t="str">
        <f t="shared" si="21"/>
        <v>Nov-2025</v>
      </c>
    </row>
    <row r="682" spans="1:12" x14ac:dyDescent="0.25">
      <c r="A682" s="3" t="s">
        <v>926</v>
      </c>
      <c r="B682" s="6">
        <v>45729</v>
      </c>
      <c r="C682" s="3" t="s">
        <v>16</v>
      </c>
      <c r="D682" s="3" t="s">
        <v>59</v>
      </c>
      <c r="E682" s="3" t="s">
        <v>379</v>
      </c>
      <c r="F682" s="3">
        <v>1</v>
      </c>
      <c r="G682" s="3">
        <v>10</v>
      </c>
      <c r="H682" s="1">
        <f>VLOOKUP(D682,products!A:D,4,FALSE)</f>
        <v>15000</v>
      </c>
      <c r="I682" s="1" t="str">
        <f>VLOOKUP(C682,branches!A:B,2,FALSE)</f>
        <v>Naija Mart Ikeja</v>
      </c>
      <c r="J682" s="1">
        <f t="shared" si="20"/>
        <v>13500</v>
      </c>
      <c r="K682" s="1" t="str">
        <f>VLOOKUP(D682,products!A:D,2,FALSE)</f>
        <v>Home Appliances</v>
      </c>
      <c r="L682" s="1" t="str">
        <f t="shared" si="21"/>
        <v>Mar-2025</v>
      </c>
    </row>
    <row r="683" spans="1:12" x14ac:dyDescent="0.25">
      <c r="A683" s="3" t="s">
        <v>927</v>
      </c>
      <c r="B683" s="6">
        <v>45965</v>
      </c>
      <c r="C683" s="3" t="s">
        <v>12</v>
      </c>
      <c r="D683" s="3" t="s">
        <v>80</v>
      </c>
      <c r="E683" s="3" t="s">
        <v>98</v>
      </c>
      <c r="F683" s="3">
        <v>2</v>
      </c>
      <c r="G683" s="3">
        <v>15</v>
      </c>
      <c r="H683" s="1">
        <f>VLOOKUP(D683,products!A:D,4,FALSE)</f>
        <v>265000</v>
      </c>
      <c r="I683" s="1" t="str">
        <f>VLOOKUP(C683,branches!A:B,2,FALSE)</f>
        <v>Naija Mart Wuse</v>
      </c>
      <c r="J683" s="1">
        <f t="shared" si="20"/>
        <v>450500</v>
      </c>
      <c r="K683" s="1" t="str">
        <f>VLOOKUP(D683,products!A:D,2,FALSE)</f>
        <v>Home Appliances</v>
      </c>
      <c r="L683" s="1" t="str">
        <f t="shared" si="21"/>
        <v>Nov-2025</v>
      </c>
    </row>
    <row r="684" spans="1:12" x14ac:dyDescent="0.25">
      <c r="A684" s="3" t="s">
        <v>928</v>
      </c>
      <c r="B684" s="6">
        <v>45988</v>
      </c>
      <c r="C684" s="3" t="s">
        <v>16</v>
      </c>
      <c r="D684" s="3" t="s">
        <v>56</v>
      </c>
      <c r="E684" s="3" t="s">
        <v>29</v>
      </c>
      <c r="F684" s="3">
        <v>1</v>
      </c>
      <c r="G684" s="3">
        <v>0</v>
      </c>
      <c r="H684" s="1">
        <f>VLOOKUP(D684,products!A:D,4,FALSE)</f>
        <v>285000</v>
      </c>
      <c r="I684" s="1" t="str">
        <f>VLOOKUP(C684,branches!A:B,2,FALSE)</f>
        <v>Naija Mart Ikeja</v>
      </c>
      <c r="J684" s="1">
        <f t="shared" si="20"/>
        <v>285000</v>
      </c>
      <c r="K684" s="1" t="str">
        <f>VLOOKUP(D684,products!A:D,2,FALSE)</f>
        <v>Home Appliances</v>
      </c>
      <c r="L684" s="1" t="str">
        <f t="shared" si="21"/>
        <v>Nov-2025</v>
      </c>
    </row>
    <row r="685" spans="1:12" x14ac:dyDescent="0.25">
      <c r="A685" s="3" t="s">
        <v>929</v>
      </c>
      <c r="B685" s="6">
        <v>45889</v>
      </c>
      <c r="C685" s="3" t="s">
        <v>36</v>
      </c>
      <c r="D685" s="3" t="s">
        <v>46</v>
      </c>
      <c r="E685" s="3" t="s">
        <v>189</v>
      </c>
      <c r="F685" s="3">
        <v>1</v>
      </c>
      <c r="G685" s="3">
        <v>5</v>
      </c>
      <c r="H685" s="1">
        <f>VLOOKUP(D685,products!A:D,4,FALSE)</f>
        <v>62000</v>
      </c>
      <c r="I685" s="1" t="str">
        <f>VLOOKUP(C685,branches!A:B,2,FALSE)</f>
        <v>Naija Mart Sabon Gari</v>
      </c>
      <c r="J685" s="1">
        <f t="shared" si="20"/>
        <v>58900</v>
      </c>
      <c r="K685" s="1" t="str">
        <f>VLOOKUP(D685,products!A:D,2,FALSE)</f>
        <v>Home Appliances</v>
      </c>
      <c r="L685" s="1" t="str">
        <f t="shared" si="21"/>
        <v>Aug-2025</v>
      </c>
    </row>
    <row r="686" spans="1:12" x14ac:dyDescent="0.25">
      <c r="A686" s="3" t="s">
        <v>930</v>
      </c>
      <c r="B686" s="6">
        <v>46010</v>
      </c>
      <c r="C686" s="3" t="s">
        <v>8</v>
      </c>
      <c r="D686" s="3" t="s">
        <v>33</v>
      </c>
      <c r="E686" s="3" t="s">
        <v>72</v>
      </c>
      <c r="F686" s="3">
        <v>1</v>
      </c>
      <c r="G686" s="3">
        <v>0</v>
      </c>
      <c r="H686" s="1">
        <f>VLOOKUP(D686,products!A:D,4,FALSE)</f>
        <v>245000</v>
      </c>
      <c r="I686" s="1" t="str">
        <f>VLOOKUP(C686,branches!A:B,2,FALSE)</f>
        <v>Naija Mart GRA</v>
      </c>
      <c r="J686" s="1">
        <f t="shared" si="20"/>
        <v>245000</v>
      </c>
      <c r="K686" s="1" t="str">
        <f>VLOOKUP(D686,products!A:D,2,FALSE)</f>
        <v>Generators &amp; Power</v>
      </c>
      <c r="L686" s="1" t="str">
        <f t="shared" si="21"/>
        <v>Dec-2025</v>
      </c>
    </row>
    <row r="687" spans="1:12" x14ac:dyDescent="0.25">
      <c r="A687" s="3" t="s">
        <v>931</v>
      </c>
      <c r="B687" s="6">
        <v>45699</v>
      </c>
      <c r="C687" s="3" t="s">
        <v>12</v>
      </c>
      <c r="D687" s="3" t="s">
        <v>51</v>
      </c>
      <c r="E687" s="3" t="s">
        <v>217</v>
      </c>
      <c r="F687" s="3">
        <v>2</v>
      </c>
      <c r="G687" s="3">
        <v>0</v>
      </c>
      <c r="H687" s="1">
        <f>VLOOKUP(D687,products!A:D,4,FALSE)</f>
        <v>18000</v>
      </c>
      <c r="I687" s="1" t="str">
        <f>VLOOKUP(C687,branches!A:B,2,FALSE)</f>
        <v>Naija Mart Wuse</v>
      </c>
      <c r="J687" s="1">
        <f t="shared" si="20"/>
        <v>36000</v>
      </c>
      <c r="K687" s="1" t="str">
        <f>VLOOKUP(D687,products!A:D,2,FALSE)</f>
        <v>Small Gadgets</v>
      </c>
      <c r="L687" s="1" t="str">
        <f t="shared" si="21"/>
        <v>Feb-2025</v>
      </c>
    </row>
    <row r="688" spans="1:12" x14ac:dyDescent="0.25">
      <c r="A688" s="3" t="s">
        <v>932</v>
      </c>
      <c r="B688" s="6">
        <v>45772</v>
      </c>
      <c r="C688" s="3" t="s">
        <v>8</v>
      </c>
      <c r="D688" s="3" t="s">
        <v>94</v>
      </c>
      <c r="E688" s="3" t="s">
        <v>245</v>
      </c>
      <c r="F688" s="3">
        <v>2</v>
      </c>
      <c r="G688" s="3">
        <v>0</v>
      </c>
      <c r="H688" s="1">
        <f>VLOOKUP(D688,products!A:D,4,FALSE)</f>
        <v>320000</v>
      </c>
      <c r="I688" s="1" t="str">
        <f>VLOOKUP(C688,branches!A:B,2,FALSE)</f>
        <v>Naija Mart GRA</v>
      </c>
      <c r="J688" s="1">
        <f t="shared" si="20"/>
        <v>640000</v>
      </c>
      <c r="K688" s="1" t="str">
        <f>VLOOKUP(D688,products!A:D,2,FALSE)</f>
        <v>Electronics</v>
      </c>
      <c r="L688" s="1" t="str">
        <f t="shared" si="21"/>
        <v>Apr-2025</v>
      </c>
    </row>
    <row r="689" spans="1:12" x14ac:dyDescent="0.25">
      <c r="A689" s="3" t="s">
        <v>933</v>
      </c>
      <c r="B689" s="6">
        <v>45734</v>
      </c>
      <c r="C689" s="3" t="s">
        <v>16</v>
      </c>
      <c r="D689" s="3" t="s">
        <v>49</v>
      </c>
      <c r="E689" s="3" t="s">
        <v>191</v>
      </c>
      <c r="F689" s="3">
        <v>1</v>
      </c>
      <c r="G689" s="3">
        <v>0</v>
      </c>
      <c r="H689" s="1">
        <f>VLOOKUP(D689,products!A:D,4,FALSE)</f>
        <v>28000</v>
      </c>
      <c r="I689" s="1" t="str">
        <f>VLOOKUP(C689,branches!A:B,2,FALSE)</f>
        <v>Naija Mart Ikeja</v>
      </c>
      <c r="J689" s="1">
        <f t="shared" si="20"/>
        <v>28000</v>
      </c>
      <c r="K689" s="1" t="str">
        <f>VLOOKUP(D689,products!A:D,2,FALSE)</f>
        <v>Home Appliances</v>
      </c>
      <c r="L689" s="1" t="str">
        <f t="shared" si="21"/>
        <v>Mar-2025</v>
      </c>
    </row>
    <row r="690" spans="1:12" x14ac:dyDescent="0.25">
      <c r="A690" s="3" t="s">
        <v>934</v>
      </c>
      <c r="B690" s="6">
        <v>45759</v>
      </c>
      <c r="C690" s="3" t="s">
        <v>16</v>
      </c>
      <c r="D690" s="3" t="s">
        <v>59</v>
      </c>
      <c r="E690" s="3" t="s">
        <v>78</v>
      </c>
      <c r="F690" s="3">
        <v>1</v>
      </c>
      <c r="G690" s="3">
        <v>0</v>
      </c>
      <c r="H690" s="1">
        <f>VLOOKUP(D690,products!A:D,4,FALSE)</f>
        <v>15000</v>
      </c>
      <c r="I690" s="1" t="str">
        <f>VLOOKUP(C690,branches!A:B,2,FALSE)</f>
        <v>Naija Mart Ikeja</v>
      </c>
      <c r="J690" s="1">
        <f t="shared" si="20"/>
        <v>15000</v>
      </c>
      <c r="K690" s="1" t="str">
        <f>VLOOKUP(D690,products!A:D,2,FALSE)</f>
        <v>Home Appliances</v>
      </c>
      <c r="L690" s="1" t="str">
        <f t="shared" si="21"/>
        <v>Apr-2025</v>
      </c>
    </row>
    <row r="691" spans="1:12" x14ac:dyDescent="0.25">
      <c r="A691" s="3" t="s">
        <v>935</v>
      </c>
      <c r="B691" s="6">
        <v>46002</v>
      </c>
      <c r="C691" s="3" t="s">
        <v>36</v>
      </c>
      <c r="D691" s="3" t="s">
        <v>43</v>
      </c>
      <c r="E691" s="3" t="s">
        <v>908</v>
      </c>
      <c r="F691" s="3">
        <v>1</v>
      </c>
      <c r="G691" s="3">
        <v>30</v>
      </c>
      <c r="H691" s="1">
        <f>VLOOKUP(D691,products!A:D,4,FALSE)</f>
        <v>74000</v>
      </c>
      <c r="I691" s="1" t="str">
        <f>VLOOKUP(C691,branches!A:B,2,FALSE)</f>
        <v>Naija Mart Sabon Gari</v>
      </c>
      <c r="J691" s="1">
        <f t="shared" si="20"/>
        <v>51800</v>
      </c>
      <c r="K691" s="1" t="str">
        <f>VLOOKUP(D691,products!A:D,2,FALSE)</f>
        <v>Home Appliances</v>
      </c>
      <c r="L691" s="1" t="str">
        <f t="shared" si="21"/>
        <v>Dec-2025</v>
      </c>
    </row>
    <row r="692" spans="1:12" x14ac:dyDescent="0.25">
      <c r="A692" s="3" t="s">
        <v>936</v>
      </c>
      <c r="B692" s="6">
        <v>45993</v>
      </c>
      <c r="C692" s="3" t="s">
        <v>16</v>
      </c>
      <c r="D692" s="3" t="s">
        <v>51</v>
      </c>
      <c r="E692" s="3" t="s">
        <v>89</v>
      </c>
      <c r="F692" s="3">
        <v>1</v>
      </c>
      <c r="G692" s="3">
        <v>0</v>
      </c>
      <c r="H692" s="1">
        <f>VLOOKUP(D692,products!A:D,4,FALSE)</f>
        <v>18000</v>
      </c>
      <c r="I692" s="1" t="str">
        <f>VLOOKUP(C692,branches!A:B,2,FALSE)</f>
        <v>Naija Mart Ikeja</v>
      </c>
      <c r="J692" s="1">
        <f t="shared" si="20"/>
        <v>18000</v>
      </c>
      <c r="K692" s="1" t="str">
        <f>VLOOKUP(D692,products!A:D,2,FALSE)</f>
        <v>Small Gadgets</v>
      </c>
      <c r="L692" s="1" t="str">
        <f t="shared" si="21"/>
        <v>Dec-2025</v>
      </c>
    </row>
    <row r="693" spans="1:12" x14ac:dyDescent="0.25">
      <c r="A693" s="3" t="s">
        <v>937</v>
      </c>
      <c r="B693" s="6">
        <v>45886</v>
      </c>
      <c r="C693" s="3" t="s">
        <v>16</v>
      </c>
      <c r="D693" s="3" t="s">
        <v>258</v>
      </c>
      <c r="E693" s="3" t="s">
        <v>715</v>
      </c>
      <c r="F693" s="3">
        <v>1</v>
      </c>
      <c r="G693" s="3">
        <v>0</v>
      </c>
      <c r="H693" s="1">
        <f>VLOOKUP(D693,products!A:D,4,FALSE)</f>
        <v>95000</v>
      </c>
      <c r="I693" s="1" t="str">
        <f>VLOOKUP(C693,branches!A:B,2,FALSE)</f>
        <v>Naija Mart Ikeja</v>
      </c>
      <c r="J693" s="1">
        <f t="shared" si="20"/>
        <v>95000</v>
      </c>
      <c r="K693" s="1" t="str">
        <f>VLOOKUP(D693,products!A:D,2,FALSE)</f>
        <v>Electronics</v>
      </c>
      <c r="L693" s="1" t="str">
        <f t="shared" si="21"/>
        <v>Aug-2025</v>
      </c>
    </row>
    <row r="694" spans="1:12" x14ac:dyDescent="0.25">
      <c r="A694" s="3" t="s">
        <v>938</v>
      </c>
      <c r="B694" s="6">
        <v>45729</v>
      </c>
      <c r="C694" s="3" t="s">
        <v>36</v>
      </c>
      <c r="D694" s="3" t="s">
        <v>56</v>
      </c>
      <c r="E694" s="3" t="s">
        <v>308</v>
      </c>
      <c r="F694" s="3">
        <v>1</v>
      </c>
      <c r="G694" s="3">
        <v>0</v>
      </c>
      <c r="H694" s="1">
        <f>VLOOKUP(D694,products!A:D,4,FALSE)</f>
        <v>285000</v>
      </c>
      <c r="I694" s="1" t="str">
        <f>VLOOKUP(C694,branches!A:B,2,FALSE)</f>
        <v>Naija Mart Sabon Gari</v>
      </c>
      <c r="J694" s="1">
        <f t="shared" si="20"/>
        <v>285000</v>
      </c>
      <c r="K694" s="1" t="str">
        <f>VLOOKUP(D694,products!A:D,2,FALSE)</f>
        <v>Home Appliances</v>
      </c>
      <c r="L694" s="1" t="str">
        <f t="shared" si="21"/>
        <v>Mar-2025</v>
      </c>
    </row>
    <row r="695" spans="1:12" x14ac:dyDescent="0.25">
      <c r="A695" s="3" t="s">
        <v>939</v>
      </c>
      <c r="B695" s="6">
        <v>45876</v>
      </c>
      <c r="C695" s="3" t="s">
        <v>16</v>
      </c>
      <c r="D695" s="3" t="s">
        <v>126</v>
      </c>
      <c r="E695" s="3" t="s">
        <v>134</v>
      </c>
      <c r="F695" s="3">
        <v>3</v>
      </c>
      <c r="G695" s="3">
        <v>5</v>
      </c>
      <c r="H695" s="1">
        <f>VLOOKUP(D695,products!A:D,4,FALSE)</f>
        <v>185000</v>
      </c>
      <c r="I695" s="1" t="str">
        <f>VLOOKUP(C695,branches!A:B,2,FALSE)</f>
        <v>Naija Mart Ikeja</v>
      </c>
      <c r="J695" s="1">
        <f t="shared" si="20"/>
        <v>527250</v>
      </c>
      <c r="K695" s="1" t="str">
        <f>VLOOKUP(D695,products!A:D,2,FALSE)</f>
        <v>Electronics</v>
      </c>
      <c r="L695" s="1" t="str">
        <f t="shared" si="21"/>
        <v>Aug-2025</v>
      </c>
    </row>
    <row r="696" spans="1:12" x14ac:dyDescent="0.25">
      <c r="A696" s="3" t="s">
        <v>940</v>
      </c>
      <c r="B696" s="6">
        <v>46003</v>
      </c>
      <c r="C696" s="3" t="s">
        <v>12</v>
      </c>
      <c r="D696" s="3" t="s">
        <v>9</v>
      </c>
      <c r="E696" s="3" t="s">
        <v>186</v>
      </c>
      <c r="F696" s="3">
        <v>5</v>
      </c>
      <c r="G696" s="3">
        <v>0</v>
      </c>
      <c r="H696" s="1">
        <f>VLOOKUP(D696,products!A:D,4,FALSE)</f>
        <v>410000</v>
      </c>
      <c r="I696" s="1" t="str">
        <f>VLOOKUP(C696,branches!A:B,2,FALSE)</f>
        <v>Naija Mart Wuse</v>
      </c>
      <c r="J696" s="1">
        <f t="shared" si="20"/>
        <v>2050000</v>
      </c>
      <c r="K696" s="1" t="str">
        <f>VLOOKUP(D696,products!A:D,2,FALSE)</f>
        <v>Home Appliances</v>
      </c>
      <c r="L696" s="1" t="str">
        <f t="shared" si="21"/>
        <v>Dec-2025</v>
      </c>
    </row>
    <row r="697" spans="1:12" x14ac:dyDescent="0.25">
      <c r="A697" s="3" t="s">
        <v>941</v>
      </c>
      <c r="B697" s="6">
        <v>45923</v>
      </c>
      <c r="C697" s="3" t="s">
        <v>12</v>
      </c>
      <c r="D697" s="3" t="s">
        <v>69</v>
      </c>
      <c r="E697" s="3" t="s">
        <v>469</v>
      </c>
      <c r="F697" s="3">
        <v>2</v>
      </c>
      <c r="G697" s="3">
        <v>15</v>
      </c>
      <c r="H697" s="1">
        <f>VLOOKUP(D697,products!A:D,4,FALSE)</f>
        <v>45000</v>
      </c>
      <c r="I697" s="1" t="str">
        <f>VLOOKUP(C697,branches!A:B,2,FALSE)</f>
        <v>Naija Mart Wuse</v>
      </c>
      <c r="J697" s="1">
        <f t="shared" si="20"/>
        <v>76500</v>
      </c>
      <c r="K697" s="1" t="str">
        <f>VLOOKUP(D697,products!A:D,2,FALSE)</f>
        <v>Electronics</v>
      </c>
      <c r="L697" s="1" t="str">
        <f t="shared" si="21"/>
        <v>Sep-2025</v>
      </c>
    </row>
    <row r="698" spans="1:12" x14ac:dyDescent="0.25">
      <c r="A698" s="3" t="s">
        <v>942</v>
      </c>
      <c r="B698" s="6">
        <v>45982</v>
      </c>
      <c r="C698" s="3" t="s">
        <v>16</v>
      </c>
      <c r="D698" s="3" t="s">
        <v>94</v>
      </c>
      <c r="E698" s="3" t="s">
        <v>349</v>
      </c>
      <c r="F698" s="3">
        <v>1</v>
      </c>
      <c r="G698" s="3">
        <v>10</v>
      </c>
      <c r="H698" s="1">
        <f>VLOOKUP(D698,products!A:D,4,FALSE)</f>
        <v>320000</v>
      </c>
      <c r="I698" s="1" t="str">
        <f>VLOOKUP(C698,branches!A:B,2,FALSE)</f>
        <v>Naija Mart Ikeja</v>
      </c>
      <c r="J698" s="1">
        <f t="shared" si="20"/>
        <v>288000</v>
      </c>
      <c r="K698" s="1" t="str">
        <f>VLOOKUP(D698,products!A:D,2,FALSE)</f>
        <v>Electronics</v>
      </c>
      <c r="L698" s="1" t="str">
        <f t="shared" si="21"/>
        <v>Nov-2025</v>
      </c>
    </row>
    <row r="699" spans="1:12" x14ac:dyDescent="0.25">
      <c r="A699" s="3" t="s">
        <v>943</v>
      </c>
      <c r="B699" s="6">
        <v>45909</v>
      </c>
      <c r="C699" s="3" t="s">
        <v>16</v>
      </c>
      <c r="D699" s="3" t="s">
        <v>26</v>
      </c>
      <c r="E699" s="3" t="s">
        <v>847</v>
      </c>
      <c r="F699" s="3">
        <v>1</v>
      </c>
      <c r="G699" s="3">
        <v>0</v>
      </c>
      <c r="H699" s="1">
        <f>VLOOKUP(D699,products!A:D,4,FALSE)</f>
        <v>145000</v>
      </c>
      <c r="I699" s="1" t="str">
        <f>VLOOKUP(C699,branches!A:B,2,FALSE)</f>
        <v>Naija Mart Ikeja</v>
      </c>
      <c r="J699" s="1">
        <f t="shared" si="20"/>
        <v>145000</v>
      </c>
      <c r="K699" s="1" t="str">
        <f>VLOOKUP(D699,products!A:D,2,FALSE)</f>
        <v>Electronics</v>
      </c>
      <c r="L699" s="1" t="str">
        <f t="shared" si="21"/>
        <v>Sep-2025</v>
      </c>
    </row>
    <row r="700" spans="1:12" x14ac:dyDescent="0.25">
      <c r="A700" s="3" t="s">
        <v>944</v>
      </c>
      <c r="B700" s="6">
        <v>45834</v>
      </c>
      <c r="C700" s="3" t="s">
        <v>16</v>
      </c>
      <c r="D700" s="3" t="s">
        <v>94</v>
      </c>
      <c r="E700" s="3" t="s">
        <v>403</v>
      </c>
      <c r="F700" s="3">
        <v>1</v>
      </c>
      <c r="G700" s="3">
        <v>5</v>
      </c>
      <c r="H700" s="1">
        <f>VLOOKUP(D700,products!A:D,4,FALSE)</f>
        <v>320000</v>
      </c>
      <c r="I700" s="1" t="str">
        <f>VLOOKUP(C700,branches!A:B,2,FALSE)</f>
        <v>Naija Mart Ikeja</v>
      </c>
      <c r="J700" s="1">
        <f t="shared" si="20"/>
        <v>304000</v>
      </c>
      <c r="K700" s="1" t="str">
        <f>VLOOKUP(D700,products!A:D,2,FALSE)</f>
        <v>Electronics</v>
      </c>
      <c r="L700" s="1" t="str">
        <f t="shared" si="21"/>
        <v>Jun-2025</v>
      </c>
    </row>
    <row r="701" spans="1:12" x14ac:dyDescent="0.25">
      <c r="A701" s="3" t="s">
        <v>945</v>
      </c>
      <c r="B701" s="6">
        <v>45880</v>
      </c>
      <c r="C701" s="3" t="s">
        <v>36</v>
      </c>
      <c r="D701" s="3" t="s">
        <v>149</v>
      </c>
      <c r="E701" s="3" t="s">
        <v>62</v>
      </c>
      <c r="F701" s="3">
        <v>1</v>
      </c>
      <c r="G701" s="3">
        <v>10</v>
      </c>
      <c r="H701" s="1">
        <f>VLOOKUP(D701,products!A:D,4,FALSE)</f>
        <v>6500</v>
      </c>
      <c r="I701" s="1" t="str">
        <f>VLOOKUP(C701,branches!A:B,2,FALSE)</f>
        <v>Naija Mart Sabon Gari</v>
      </c>
      <c r="J701" s="1">
        <f t="shared" si="20"/>
        <v>5850</v>
      </c>
      <c r="K701" s="1" t="str">
        <f>VLOOKUP(D701,products!A:D,2,FALSE)</f>
        <v>Small Gadgets</v>
      </c>
      <c r="L701" s="1" t="str">
        <f t="shared" si="21"/>
        <v>Aug-2025</v>
      </c>
    </row>
    <row r="702" spans="1:12" x14ac:dyDescent="0.25">
      <c r="A702" s="3" t="s">
        <v>946</v>
      </c>
      <c r="B702" s="6">
        <v>45748</v>
      </c>
      <c r="C702" s="3" t="s">
        <v>8</v>
      </c>
      <c r="D702" s="3" t="s">
        <v>197</v>
      </c>
      <c r="E702" s="3" t="s">
        <v>673</v>
      </c>
      <c r="F702" s="3">
        <v>1</v>
      </c>
      <c r="G702" s="3">
        <v>0</v>
      </c>
      <c r="H702" s="1">
        <f>VLOOKUP(D702,products!A:D,4,FALSE)</f>
        <v>78000</v>
      </c>
      <c r="I702" s="1" t="str">
        <f>VLOOKUP(C702,branches!A:B,2,FALSE)</f>
        <v>Naija Mart GRA</v>
      </c>
      <c r="J702" s="1">
        <f t="shared" si="20"/>
        <v>78000</v>
      </c>
      <c r="K702" s="1" t="str">
        <f>VLOOKUP(D702,products!A:D,2,FALSE)</f>
        <v>Electronics</v>
      </c>
      <c r="L702" s="1" t="str">
        <f t="shared" si="21"/>
        <v>Apr-2025</v>
      </c>
    </row>
    <row r="703" spans="1:12" x14ac:dyDescent="0.25">
      <c r="A703" s="3" t="s">
        <v>947</v>
      </c>
      <c r="B703" s="6">
        <v>45824</v>
      </c>
      <c r="C703" s="3" t="s">
        <v>16</v>
      </c>
      <c r="D703" s="3" t="s">
        <v>69</v>
      </c>
      <c r="E703" s="3" t="s">
        <v>605</v>
      </c>
      <c r="F703" s="3">
        <v>2</v>
      </c>
      <c r="G703" s="3">
        <v>10</v>
      </c>
      <c r="H703" s="1">
        <f>VLOOKUP(D703,products!A:D,4,FALSE)</f>
        <v>45000</v>
      </c>
      <c r="I703" s="1" t="str">
        <f>VLOOKUP(C703,branches!A:B,2,FALSE)</f>
        <v>Naija Mart Ikeja</v>
      </c>
      <c r="J703" s="1">
        <f t="shared" si="20"/>
        <v>81000</v>
      </c>
      <c r="K703" s="1" t="str">
        <f>VLOOKUP(D703,products!A:D,2,FALSE)</f>
        <v>Electronics</v>
      </c>
      <c r="L703" s="1" t="str">
        <f t="shared" si="21"/>
        <v>Jun-2025</v>
      </c>
    </row>
    <row r="704" spans="1:12" x14ac:dyDescent="0.25">
      <c r="A704" s="3" t="s">
        <v>948</v>
      </c>
      <c r="B704" s="6">
        <v>45716</v>
      </c>
      <c r="C704" s="3" t="s">
        <v>8</v>
      </c>
      <c r="D704" s="3" t="s">
        <v>9</v>
      </c>
      <c r="E704" s="3" t="s">
        <v>390</v>
      </c>
      <c r="F704" s="3">
        <v>5</v>
      </c>
      <c r="G704" s="3">
        <v>20</v>
      </c>
      <c r="H704" s="1">
        <f>VLOOKUP(D704,products!A:D,4,FALSE)</f>
        <v>410000</v>
      </c>
      <c r="I704" s="1" t="str">
        <f>VLOOKUP(C704,branches!A:B,2,FALSE)</f>
        <v>Naija Mart GRA</v>
      </c>
      <c r="J704" s="1">
        <f t="shared" si="20"/>
        <v>1640000</v>
      </c>
      <c r="K704" s="1" t="str">
        <f>VLOOKUP(D704,products!A:D,2,FALSE)</f>
        <v>Home Appliances</v>
      </c>
      <c r="L704" s="1" t="str">
        <f t="shared" si="21"/>
        <v>Feb-2025</v>
      </c>
    </row>
    <row r="705" spans="1:12" x14ac:dyDescent="0.25">
      <c r="A705" s="3" t="s">
        <v>949</v>
      </c>
      <c r="B705" s="6">
        <v>45967</v>
      </c>
      <c r="C705" s="3" t="s">
        <v>8</v>
      </c>
      <c r="D705" s="3" t="s">
        <v>33</v>
      </c>
      <c r="E705" s="3" t="s">
        <v>398</v>
      </c>
      <c r="F705" s="3">
        <v>1</v>
      </c>
      <c r="G705" s="3">
        <v>10</v>
      </c>
      <c r="H705" s="1">
        <f>VLOOKUP(D705,products!A:D,4,FALSE)</f>
        <v>245000</v>
      </c>
      <c r="I705" s="1" t="str">
        <f>VLOOKUP(C705,branches!A:B,2,FALSE)</f>
        <v>Naija Mart GRA</v>
      </c>
      <c r="J705" s="1">
        <f t="shared" si="20"/>
        <v>220500</v>
      </c>
      <c r="K705" s="1" t="str">
        <f>VLOOKUP(D705,products!A:D,2,FALSE)</f>
        <v>Generators &amp; Power</v>
      </c>
      <c r="L705" s="1" t="str">
        <f t="shared" si="21"/>
        <v>Nov-2025</v>
      </c>
    </row>
    <row r="706" spans="1:12" x14ac:dyDescent="0.25">
      <c r="A706" s="3" t="s">
        <v>950</v>
      </c>
      <c r="B706" s="6">
        <v>45822</v>
      </c>
      <c r="C706" s="3" t="s">
        <v>16</v>
      </c>
      <c r="D706" s="3" t="s">
        <v>56</v>
      </c>
      <c r="E706" s="3" t="s">
        <v>486</v>
      </c>
      <c r="F706" s="3">
        <v>1</v>
      </c>
      <c r="G706" s="3">
        <v>0</v>
      </c>
      <c r="H706" s="1">
        <f>VLOOKUP(D706,products!A:D,4,FALSE)</f>
        <v>285000</v>
      </c>
      <c r="I706" s="1" t="str">
        <f>VLOOKUP(C706,branches!A:B,2,FALSE)</f>
        <v>Naija Mart Ikeja</v>
      </c>
      <c r="J706" s="1">
        <f t="shared" si="20"/>
        <v>285000</v>
      </c>
      <c r="K706" s="1" t="str">
        <f>VLOOKUP(D706,products!A:D,2,FALSE)</f>
        <v>Home Appliances</v>
      </c>
      <c r="L706" s="1" t="str">
        <f t="shared" si="21"/>
        <v>Jun-2025</v>
      </c>
    </row>
    <row r="707" spans="1:12" x14ac:dyDescent="0.25">
      <c r="A707" s="3" t="s">
        <v>951</v>
      </c>
      <c r="B707" s="6">
        <v>45758</v>
      </c>
      <c r="C707" s="3" t="s">
        <v>16</v>
      </c>
      <c r="D707" s="3" t="s">
        <v>23</v>
      </c>
      <c r="E707" s="3" t="s">
        <v>116</v>
      </c>
      <c r="F707" s="3">
        <v>1</v>
      </c>
      <c r="G707" s="3">
        <v>0</v>
      </c>
      <c r="H707" s="1">
        <f>VLOOKUP(D707,products!A:D,4,FALSE)</f>
        <v>19500</v>
      </c>
      <c r="I707" s="1" t="str">
        <f>VLOOKUP(C707,branches!A:B,2,FALSE)</f>
        <v>Naija Mart Ikeja</v>
      </c>
      <c r="J707" s="1">
        <f t="shared" ref="J707:J770" si="22">F707*H707*(1-G707/100)</f>
        <v>19500</v>
      </c>
      <c r="K707" s="1" t="str">
        <f>VLOOKUP(D707,products!A:D,2,FALSE)</f>
        <v>Home Appliances</v>
      </c>
      <c r="L707" s="1" t="str">
        <f t="shared" ref="L707:L770" si="23">TEXT(B707,"mmm-yyyy")</f>
        <v>Apr-2025</v>
      </c>
    </row>
    <row r="708" spans="1:12" x14ac:dyDescent="0.25">
      <c r="A708" s="3" t="s">
        <v>952</v>
      </c>
      <c r="B708" s="6">
        <v>45917</v>
      </c>
      <c r="C708" s="3" t="s">
        <v>16</v>
      </c>
      <c r="D708" s="3" t="s">
        <v>69</v>
      </c>
      <c r="E708" s="3" t="s">
        <v>953</v>
      </c>
      <c r="F708" s="3">
        <v>1</v>
      </c>
      <c r="G708" s="3">
        <v>25</v>
      </c>
      <c r="H708" s="1">
        <f>VLOOKUP(D708,products!A:D,4,FALSE)</f>
        <v>45000</v>
      </c>
      <c r="I708" s="1" t="str">
        <f>VLOOKUP(C708,branches!A:B,2,FALSE)</f>
        <v>Naija Mart Ikeja</v>
      </c>
      <c r="J708" s="1">
        <f t="shared" si="22"/>
        <v>33750</v>
      </c>
      <c r="K708" s="1" t="str">
        <f>VLOOKUP(D708,products!A:D,2,FALSE)</f>
        <v>Electronics</v>
      </c>
      <c r="L708" s="1" t="str">
        <f t="shared" si="23"/>
        <v>Sep-2025</v>
      </c>
    </row>
    <row r="709" spans="1:12" x14ac:dyDescent="0.25">
      <c r="A709" s="3" t="s">
        <v>954</v>
      </c>
      <c r="B709" s="6">
        <v>45901</v>
      </c>
      <c r="C709" s="3" t="s">
        <v>36</v>
      </c>
      <c r="D709" s="3" t="s">
        <v>9</v>
      </c>
      <c r="E709" s="3" t="s">
        <v>766</v>
      </c>
      <c r="F709" s="3">
        <v>1</v>
      </c>
      <c r="G709" s="3">
        <v>0</v>
      </c>
      <c r="H709" s="1">
        <f>VLOOKUP(D709,products!A:D,4,FALSE)</f>
        <v>410000</v>
      </c>
      <c r="I709" s="1" t="str">
        <f>VLOOKUP(C709,branches!A:B,2,FALSE)</f>
        <v>Naija Mart Sabon Gari</v>
      </c>
      <c r="J709" s="1">
        <f t="shared" si="22"/>
        <v>410000</v>
      </c>
      <c r="K709" s="1" t="str">
        <f>VLOOKUP(D709,products!A:D,2,FALSE)</f>
        <v>Home Appliances</v>
      </c>
      <c r="L709" s="1" t="str">
        <f t="shared" si="23"/>
        <v>Sep-2025</v>
      </c>
    </row>
    <row r="710" spans="1:12" x14ac:dyDescent="0.25">
      <c r="A710" s="3" t="s">
        <v>955</v>
      </c>
      <c r="B710" s="6">
        <v>46000</v>
      </c>
      <c r="C710" s="3" t="s">
        <v>16</v>
      </c>
      <c r="D710" s="3" t="s">
        <v>20</v>
      </c>
      <c r="E710" s="3" t="s">
        <v>114</v>
      </c>
      <c r="F710" s="3">
        <v>2</v>
      </c>
      <c r="G710" s="3">
        <v>5</v>
      </c>
      <c r="H710" s="1">
        <f>VLOOKUP(D710,products!A:D,4,FALSE)</f>
        <v>38000</v>
      </c>
      <c r="I710" s="1" t="str">
        <f>VLOOKUP(C710,branches!A:B,2,FALSE)</f>
        <v>Naija Mart Ikeja</v>
      </c>
      <c r="J710" s="1">
        <f t="shared" si="22"/>
        <v>72200</v>
      </c>
      <c r="K710" s="1" t="str">
        <f>VLOOKUP(D710,products!A:D,2,FALSE)</f>
        <v>Electronics</v>
      </c>
      <c r="L710" s="1" t="str">
        <f t="shared" si="23"/>
        <v>Dec-2025</v>
      </c>
    </row>
    <row r="711" spans="1:12" x14ac:dyDescent="0.25">
      <c r="A711" s="3" t="s">
        <v>956</v>
      </c>
      <c r="B711" s="6">
        <v>45996</v>
      </c>
      <c r="C711" s="3" t="s">
        <v>12</v>
      </c>
      <c r="D711" s="3" t="s">
        <v>64</v>
      </c>
      <c r="E711" s="3" t="s">
        <v>819</v>
      </c>
      <c r="F711" s="3">
        <v>1</v>
      </c>
      <c r="G711" s="3">
        <v>15</v>
      </c>
      <c r="H711" s="1">
        <f>VLOOKUP(D711,products!A:D,4,FALSE)</f>
        <v>175000</v>
      </c>
      <c r="I711" s="1" t="str">
        <f>VLOOKUP(C711,branches!A:B,2,FALSE)</f>
        <v>Naija Mart Wuse</v>
      </c>
      <c r="J711" s="1">
        <f t="shared" si="22"/>
        <v>148750</v>
      </c>
      <c r="K711" s="1" t="str">
        <f>VLOOKUP(D711,products!A:D,2,FALSE)</f>
        <v>Generators &amp; Power</v>
      </c>
      <c r="L711" s="1" t="str">
        <f t="shared" si="23"/>
        <v>Dec-2025</v>
      </c>
    </row>
    <row r="712" spans="1:12" x14ac:dyDescent="0.25">
      <c r="A712" s="3" t="s">
        <v>957</v>
      </c>
      <c r="B712" s="6">
        <v>45914</v>
      </c>
      <c r="C712" s="3" t="s">
        <v>12</v>
      </c>
      <c r="D712" s="3" t="s">
        <v>94</v>
      </c>
      <c r="E712" s="3" t="s">
        <v>228</v>
      </c>
      <c r="F712" s="3">
        <v>2</v>
      </c>
      <c r="G712" s="3">
        <v>0</v>
      </c>
      <c r="H712" s="1">
        <f>VLOOKUP(D712,products!A:D,4,FALSE)</f>
        <v>320000</v>
      </c>
      <c r="I712" s="1" t="str">
        <f>VLOOKUP(C712,branches!A:B,2,FALSE)</f>
        <v>Naija Mart Wuse</v>
      </c>
      <c r="J712" s="1">
        <f t="shared" si="22"/>
        <v>640000</v>
      </c>
      <c r="K712" s="1" t="str">
        <f>VLOOKUP(D712,products!A:D,2,FALSE)</f>
        <v>Electronics</v>
      </c>
      <c r="L712" s="1" t="str">
        <f t="shared" si="23"/>
        <v>Sep-2025</v>
      </c>
    </row>
    <row r="713" spans="1:12" x14ac:dyDescent="0.25">
      <c r="A713" s="3" t="s">
        <v>958</v>
      </c>
      <c r="B713" s="6">
        <v>45993</v>
      </c>
      <c r="C713" s="3" t="s">
        <v>8</v>
      </c>
      <c r="D713" s="3" t="s">
        <v>91</v>
      </c>
      <c r="E713" s="3" t="s">
        <v>174</v>
      </c>
      <c r="F713" s="3">
        <v>1</v>
      </c>
      <c r="G713" s="3">
        <v>0</v>
      </c>
      <c r="H713" s="1">
        <f>VLOOKUP(D713,products!A:D,4,FALSE)</f>
        <v>5200</v>
      </c>
      <c r="I713" s="1" t="str">
        <f>VLOOKUP(C713,branches!A:B,2,FALSE)</f>
        <v>Naija Mart GRA</v>
      </c>
      <c r="J713" s="1">
        <f t="shared" si="22"/>
        <v>5200</v>
      </c>
      <c r="K713" s="1" t="str">
        <f>VLOOKUP(D713,products!A:D,2,FALSE)</f>
        <v>Small Gadgets</v>
      </c>
      <c r="L713" s="1" t="str">
        <f t="shared" si="23"/>
        <v>Dec-2025</v>
      </c>
    </row>
    <row r="714" spans="1:12" x14ac:dyDescent="0.25">
      <c r="A714" s="3" t="s">
        <v>959</v>
      </c>
      <c r="B714" s="6">
        <v>45829</v>
      </c>
      <c r="C714" s="3" t="s">
        <v>16</v>
      </c>
      <c r="D714" s="3" t="s">
        <v>46</v>
      </c>
      <c r="E714" s="3" t="s">
        <v>868</v>
      </c>
      <c r="F714" s="3">
        <v>1</v>
      </c>
      <c r="G714" s="3">
        <v>15</v>
      </c>
      <c r="H714" s="1">
        <f>VLOOKUP(D714,products!A:D,4,FALSE)</f>
        <v>62000</v>
      </c>
      <c r="I714" s="1" t="str">
        <f>VLOOKUP(C714,branches!A:B,2,FALSE)</f>
        <v>Naija Mart Ikeja</v>
      </c>
      <c r="J714" s="1">
        <f t="shared" si="22"/>
        <v>52700</v>
      </c>
      <c r="K714" s="1" t="str">
        <f>VLOOKUP(D714,products!A:D,2,FALSE)</f>
        <v>Home Appliances</v>
      </c>
      <c r="L714" s="1" t="str">
        <f t="shared" si="23"/>
        <v>Jun-2025</v>
      </c>
    </row>
    <row r="715" spans="1:12" x14ac:dyDescent="0.25">
      <c r="A715" s="3" t="s">
        <v>960</v>
      </c>
      <c r="B715" s="6">
        <v>45820</v>
      </c>
      <c r="C715" s="3" t="s">
        <v>16</v>
      </c>
      <c r="D715" s="3" t="s">
        <v>197</v>
      </c>
      <c r="E715" s="3" t="s">
        <v>326</v>
      </c>
      <c r="F715" s="3">
        <v>1</v>
      </c>
      <c r="G715" s="3">
        <v>10</v>
      </c>
      <c r="H715" s="1">
        <f>VLOOKUP(D715,products!A:D,4,FALSE)</f>
        <v>78000</v>
      </c>
      <c r="I715" s="1" t="str">
        <f>VLOOKUP(C715,branches!A:B,2,FALSE)</f>
        <v>Naija Mart Ikeja</v>
      </c>
      <c r="J715" s="1">
        <f t="shared" si="22"/>
        <v>70200</v>
      </c>
      <c r="K715" s="1" t="str">
        <f>VLOOKUP(D715,products!A:D,2,FALSE)</f>
        <v>Electronics</v>
      </c>
      <c r="L715" s="1" t="str">
        <f t="shared" si="23"/>
        <v>Jun-2025</v>
      </c>
    </row>
    <row r="716" spans="1:12" x14ac:dyDescent="0.25">
      <c r="A716" s="3" t="s">
        <v>961</v>
      </c>
      <c r="B716" s="6">
        <v>45790</v>
      </c>
      <c r="C716" s="3" t="s">
        <v>8</v>
      </c>
      <c r="D716" s="3" t="s">
        <v>13</v>
      </c>
      <c r="E716" s="3" t="s">
        <v>774</v>
      </c>
      <c r="F716" s="3">
        <v>1</v>
      </c>
      <c r="G716" s="3">
        <v>0</v>
      </c>
      <c r="H716" s="1">
        <f>VLOOKUP(D716,products!A:D,4,FALSE)</f>
        <v>24000</v>
      </c>
      <c r="I716" s="1" t="str">
        <f>VLOOKUP(C716,branches!A:B,2,FALSE)</f>
        <v>Naija Mart GRA</v>
      </c>
      <c r="J716" s="1">
        <f t="shared" si="22"/>
        <v>24000</v>
      </c>
      <c r="K716" s="1" t="str">
        <f>VLOOKUP(D716,products!A:D,2,FALSE)</f>
        <v>Home Appliances</v>
      </c>
      <c r="L716" s="1" t="str">
        <f t="shared" si="23"/>
        <v>May-2025</v>
      </c>
    </row>
    <row r="717" spans="1:12" x14ac:dyDescent="0.25">
      <c r="A717" s="3" t="s">
        <v>962</v>
      </c>
      <c r="B717" s="6">
        <v>45664</v>
      </c>
      <c r="C717" s="3" t="s">
        <v>12</v>
      </c>
      <c r="D717" s="3" t="s">
        <v>64</v>
      </c>
      <c r="E717" s="3" t="s">
        <v>167</v>
      </c>
      <c r="F717" s="3">
        <v>3</v>
      </c>
      <c r="G717" s="3">
        <v>5</v>
      </c>
      <c r="H717" s="1">
        <f>VLOOKUP(D717,products!A:D,4,FALSE)</f>
        <v>175000</v>
      </c>
      <c r="I717" s="1" t="str">
        <f>VLOOKUP(C717,branches!A:B,2,FALSE)</f>
        <v>Naija Mart Wuse</v>
      </c>
      <c r="J717" s="1">
        <f t="shared" si="22"/>
        <v>498750</v>
      </c>
      <c r="K717" s="1" t="str">
        <f>VLOOKUP(D717,products!A:D,2,FALSE)</f>
        <v>Generators &amp; Power</v>
      </c>
      <c r="L717" s="1" t="str">
        <f t="shared" si="23"/>
        <v>Jan-2025</v>
      </c>
    </row>
    <row r="718" spans="1:12" x14ac:dyDescent="0.25">
      <c r="A718" s="3" t="s">
        <v>963</v>
      </c>
      <c r="B718" s="6">
        <v>45964</v>
      </c>
      <c r="C718" s="3" t="s">
        <v>12</v>
      </c>
      <c r="D718" s="3" t="s">
        <v>13</v>
      </c>
      <c r="E718" s="3" t="s">
        <v>240</v>
      </c>
      <c r="F718" s="3">
        <v>1</v>
      </c>
      <c r="G718" s="3">
        <v>0</v>
      </c>
      <c r="H718" s="1">
        <f>VLOOKUP(D718,products!A:D,4,FALSE)</f>
        <v>24000</v>
      </c>
      <c r="I718" s="1" t="str">
        <f>VLOOKUP(C718,branches!A:B,2,FALSE)</f>
        <v>Naija Mart Wuse</v>
      </c>
      <c r="J718" s="1">
        <f t="shared" si="22"/>
        <v>24000</v>
      </c>
      <c r="K718" s="1" t="str">
        <f>VLOOKUP(D718,products!A:D,2,FALSE)</f>
        <v>Home Appliances</v>
      </c>
      <c r="L718" s="1" t="str">
        <f t="shared" si="23"/>
        <v>Nov-2025</v>
      </c>
    </row>
    <row r="719" spans="1:12" x14ac:dyDescent="0.25">
      <c r="A719" s="3" t="s">
        <v>964</v>
      </c>
      <c r="B719" s="6">
        <v>46012</v>
      </c>
      <c r="C719" s="3" t="s">
        <v>8</v>
      </c>
      <c r="D719" s="3" t="s">
        <v>51</v>
      </c>
      <c r="E719" s="3" t="s">
        <v>459</v>
      </c>
      <c r="F719" s="3">
        <v>1</v>
      </c>
      <c r="G719" s="3">
        <v>20</v>
      </c>
      <c r="H719" s="1">
        <f>VLOOKUP(D719,products!A:D,4,FALSE)</f>
        <v>18000</v>
      </c>
      <c r="I719" s="1" t="str">
        <f>VLOOKUP(C719,branches!A:B,2,FALSE)</f>
        <v>Naija Mart GRA</v>
      </c>
      <c r="J719" s="1">
        <f t="shared" si="22"/>
        <v>14400</v>
      </c>
      <c r="K719" s="1" t="str">
        <f>VLOOKUP(D719,products!A:D,2,FALSE)</f>
        <v>Small Gadgets</v>
      </c>
      <c r="L719" s="1" t="str">
        <f t="shared" si="23"/>
        <v>Dec-2025</v>
      </c>
    </row>
    <row r="720" spans="1:12" x14ac:dyDescent="0.25">
      <c r="A720" s="3" t="s">
        <v>965</v>
      </c>
      <c r="B720" s="6">
        <v>45689</v>
      </c>
      <c r="C720" s="3" t="s">
        <v>16</v>
      </c>
      <c r="D720" s="3" t="s">
        <v>49</v>
      </c>
      <c r="E720" s="3" t="s">
        <v>217</v>
      </c>
      <c r="F720" s="3">
        <v>1</v>
      </c>
      <c r="G720" s="3">
        <v>10</v>
      </c>
      <c r="H720" s="1">
        <f>VLOOKUP(D720,products!A:D,4,FALSE)</f>
        <v>28000</v>
      </c>
      <c r="I720" s="1" t="str">
        <f>VLOOKUP(C720,branches!A:B,2,FALSE)</f>
        <v>Naija Mart Ikeja</v>
      </c>
      <c r="J720" s="1">
        <f t="shared" si="22"/>
        <v>25200</v>
      </c>
      <c r="K720" s="1" t="str">
        <f>VLOOKUP(D720,products!A:D,2,FALSE)</f>
        <v>Home Appliances</v>
      </c>
      <c r="L720" s="1" t="str">
        <f t="shared" si="23"/>
        <v>Feb-2025</v>
      </c>
    </row>
    <row r="721" spans="1:12" x14ac:dyDescent="0.25">
      <c r="A721" s="3" t="s">
        <v>966</v>
      </c>
      <c r="B721" s="6">
        <v>45823</v>
      </c>
      <c r="C721" s="3" t="s">
        <v>16</v>
      </c>
      <c r="D721" s="3" t="s">
        <v>69</v>
      </c>
      <c r="E721" s="3" t="s">
        <v>72</v>
      </c>
      <c r="F721" s="3">
        <v>1</v>
      </c>
      <c r="G721" s="3">
        <v>0</v>
      </c>
      <c r="H721" s="1">
        <f>VLOOKUP(D721,products!A:D,4,FALSE)</f>
        <v>45000</v>
      </c>
      <c r="I721" s="1" t="str">
        <f>VLOOKUP(C721,branches!A:B,2,FALSE)</f>
        <v>Naija Mart Ikeja</v>
      </c>
      <c r="J721" s="1">
        <f t="shared" si="22"/>
        <v>45000</v>
      </c>
      <c r="K721" s="1" t="str">
        <f>VLOOKUP(D721,products!A:D,2,FALSE)</f>
        <v>Electronics</v>
      </c>
      <c r="L721" s="1" t="str">
        <f t="shared" si="23"/>
        <v>Jun-2025</v>
      </c>
    </row>
    <row r="722" spans="1:12" x14ac:dyDescent="0.25">
      <c r="A722" s="3" t="s">
        <v>967</v>
      </c>
      <c r="B722" s="6">
        <v>45709</v>
      </c>
      <c r="C722" s="3" t="s">
        <v>16</v>
      </c>
      <c r="D722" s="3" t="s">
        <v>9</v>
      </c>
      <c r="E722" s="3" t="s">
        <v>191</v>
      </c>
      <c r="F722" s="3">
        <v>2</v>
      </c>
      <c r="G722" s="3">
        <v>5</v>
      </c>
      <c r="H722" s="1">
        <f>VLOOKUP(D722,products!A:D,4,FALSE)</f>
        <v>410000</v>
      </c>
      <c r="I722" s="1" t="str">
        <f>VLOOKUP(C722,branches!A:B,2,FALSE)</f>
        <v>Naija Mart Ikeja</v>
      </c>
      <c r="J722" s="1">
        <f t="shared" si="22"/>
        <v>779000</v>
      </c>
      <c r="K722" s="1" t="str">
        <f>VLOOKUP(D722,products!A:D,2,FALSE)</f>
        <v>Home Appliances</v>
      </c>
      <c r="L722" s="1" t="str">
        <f t="shared" si="23"/>
        <v>Feb-2025</v>
      </c>
    </row>
    <row r="723" spans="1:12" x14ac:dyDescent="0.25">
      <c r="A723" s="3" t="s">
        <v>968</v>
      </c>
      <c r="B723" s="6">
        <v>45925</v>
      </c>
      <c r="C723" s="3" t="s">
        <v>16</v>
      </c>
      <c r="D723" s="3" t="s">
        <v>40</v>
      </c>
      <c r="E723" s="3" t="s">
        <v>969</v>
      </c>
      <c r="F723" s="3">
        <v>1</v>
      </c>
      <c r="G723" s="3">
        <v>15</v>
      </c>
      <c r="H723" s="1">
        <f>VLOOKUP(D723,products!A:D,4,FALSE)</f>
        <v>195000</v>
      </c>
      <c r="I723" s="1" t="str">
        <f>VLOOKUP(C723,branches!A:B,2,FALSE)</f>
        <v>Naija Mart Ikeja</v>
      </c>
      <c r="J723" s="1">
        <f t="shared" si="22"/>
        <v>165750</v>
      </c>
      <c r="K723" s="1" t="str">
        <f>VLOOKUP(D723,products!A:D,2,FALSE)</f>
        <v>Generators &amp; Power</v>
      </c>
      <c r="L723" s="1" t="str">
        <f t="shared" si="23"/>
        <v>Sep-2025</v>
      </c>
    </row>
    <row r="724" spans="1:12" x14ac:dyDescent="0.25">
      <c r="A724" s="3" t="s">
        <v>970</v>
      </c>
      <c r="B724" s="6">
        <v>45798</v>
      </c>
      <c r="C724" s="3" t="s">
        <v>12</v>
      </c>
      <c r="D724" s="3" t="s">
        <v>46</v>
      </c>
      <c r="E724" s="3" t="s">
        <v>603</v>
      </c>
      <c r="F724" s="3">
        <v>1</v>
      </c>
      <c r="G724" s="3">
        <v>5</v>
      </c>
      <c r="H724" s="1">
        <f>VLOOKUP(D724,products!A:D,4,FALSE)</f>
        <v>62000</v>
      </c>
      <c r="I724" s="1" t="str">
        <f>VLOOKUP(C724,branches!A:B,2,FALSE)</f>
        <v>Naija Mart Wuse</v>
      </c>
      <c r="J724" s="1">
        <f t="shared" si="22"/>
        <v>58900</v>
      </c>
      <c r="K724" s="1" t="str">
        <f>VLOOKUP(D724,products!A:D,2,FALSE)</f>
        <v>Home Appliances</v>
      </c>
      <c r="L724" s="1" t="str">
        <f t="shared" si="23"/>
        <v>May-2025</v>
      </c>
    </row>
    <row r="725" spans="1:12" x14ac:dyDescent="0.25">
      <c r="A725" s="3" t="s">
        <v>971</v>
      </c>
      <c r="B725" s="6">
        <v>45789</v>
      </c>
      <c r="C725" s="3" t="s">
        <v>16</v>
      </c>
      <c r="D725" s="3" t="s">
        <v>91</v>
      </c>
      <c r="E725" s="3" t="s">
        <v>95</v>
      </c>
      <c r="F725" s="3">
        <v>1</v>
      </c>
      <c r="G725" s="3">
        <v>10</v>
      </c>
      <c r="H725" s="1">
        <f>VLOOKUP(D725,products!A:D,4,FALSE)</f>
        <v>5200</v>
      </c>
      <c r="I725" s="1" t="str">
        <f>VLOOKUP(C725,branches!A:B,2,FALSE)</f>
        <v>Naija Mart Ikeja</v>
      </c>
      <c r="J725" s="1">
        <f t="shared" si="22"/>
        <v>4680</v>
      </c>
      <c r="K725" s="1" t="str">
        <f>VLOOKUP(D725,products!A:D,2,FALSE)</f>
        <v>Small Gadgets</v>
      </c>
      <c r="L725" s="1" t="str">
        <f t="shared" si="23"/>
        <v>May-2025</v>
      </c>
    </row>
    <row r="726" spans="1:12" x14ac:dyDescent="0.25">
      <c r="A726" s="3" t="s">
        <v>972</v>
      </c>
      <c r="B726" s="6">
        <v>45917</v>
      </c>
      <c r="C726" s="3" t="s">
        <v>16</v>
      </c>
      <c r="D726" s="3" t="s">
        <v>149</v>
      </c>
      <c r="E726" s="3" t="s">
        <v>159</v>
      </c>
      <c r="F726" s="3">
        <v>1</v>
      </c>
      <c r="G726" s="3">
        <v>10</v>
      </c>
      <c r="H726" s="1">
        <f>VLOOKUP(D726,products!A:D,4,FALSE)</f>
        <v>6500</v>
      </c>
      <c r="I726" s="1" t="str">
        <f>VLOOKUP(C726,branches!A:B,2,FALSE)</f>
        <v>Naija Mart Ikeja</v>
      </c>
      <c r="J726" s="1">
        <f t="shared" si="22"/>
        <v>5850</v>
      </c>
      <c r="K726" s="1" t="str">
        <f>VLOOKUP(D726,products!A:D,2,FALSE)</f>
        <v>Small Gadgets</v>
      </c>
      <c r="L726" s="1" t="str">
        <f t="shared" si="23"/>
        <v>Sep-2025</v>
      </c>
    </row>
    <row r="727" spans="1:12" x14ac:dyDescent="0.25">
      <c r="A727" s="3" t="s">
        <v>973</v>
      </c>
      <c r="B727" s="6">
        <v>45701</v>
      </c>
      <c r="C727" s="3" t="s">
        <v>16</v>
      </c>
      <c r="D727" s="3" t="s">
        <v>56</v>
      </c>
      <c r="E727" s="3" t="s">
        <v>650</v>
      </c>
      <c r="F727" s="3">
        <v>1</v>
      </c>
      <c r="G727" s="3">
        <v>5</v>
      </c>
      <c r="H727" s="1">
        <f>VLOOKUP(D727,products!A:D,4,FALSE)</f>
        <v>285000</v>
      </c>
      <c r="I727" s="1" t="str">
        <f>VLOOKUP(C727,branches!A:B,2,FALSE)</f>
        <v>Naija Mart Ikeja</v>
      </c>
      <c r="J727" s="1">
        <f t="shared" si="22"/>
        <v>270750</v>
      </c>
      <c r="K727" s="1" t="str">
        <f>VLOOKUP(D727,products!A:D,2,FALSE)</f>
        <v>Home Appliances</v>
      </c>
      <c r="L727" s="1" t="str">
        <f t="shared" si="23"/>
        <v>Feb-2025</v>
      </c>
    </row>
    <row r="728" spans="1:12" x14ac:dyDescent="0.25">
      <c r="A728" s="3" t="s">
        <v>974</v>
      </c>
      <c r="B728" s="6">
        <v>45707</v>
      </c>
      <c r="C728" s="3" t="s">
        <v>12</v>
      </c>
      <c r="D728" s="3" t="s">
        <v>51</v>
      </c>
      <c r="E728" s="3" t="s">
        <v>81</v>
      </c>
      <c r="F728" s="3">
        <v>1</v>
      </c>
      <c r="G728" s="3">
        <v>0</v>
      </c>
      <c r="H728" s="1">
        <f>VLOOKUP(D728,products!A:D,4,FALSE)</f>
        <v>18000</v>
      </c>
      <c r="I728" s="1" t="str">
        <f>VLOOKUP(C728,branches!A:B,2,FALSE)</f>
        <v>Naija Mart Wuse</v>
      </c>
      <c r="J728" s="1">
        <f t="shared" si="22"/>
        <v>18000</v>
      </c>
      <c r="K728" s="1" t="str">
        <f>VLOOKUP(D728,products!A:D,2,FALSE)</f>
        <v>Small Gadgets</v>
      </c>
      <c r="L728" s="1" t="str">
        <f t="shared" si="23"/>
        <v>Feb-2025</v>
      </c>
    </row>
    <row r="729" spans="1:12" x14ac:dyDescent="0.25">
      <c r="A729" s="3" t="s">
        <v>975</v>
      </c>
      <c r="B729" s="6">
        <v>45668</v>
      </c>
      <c r="C729" s="3" t="s">
        <v>12</v>
      </c>
      <c r="D729" s="3" t="s">
        <v>23</v>
      </c>
      <c r="E729" s="3" t="s">
        <v>486</v>
      </c>
      <c r="F729" s="3">
        <v>1</v>
      </c>
      <c r="G729" s="3">
        <v>15</v>
      </c>
      <c r="H729" s="1">
        <f>VLOOKUP(D729,products!A:D,4,FALSE)</f>
        <v>19500</v>
      </c>
      <c r="I729" s="1" t="str">
        <f>VLOOKUP(C729,branches!A:B,2,FALSE)</f>
        <v>Naija Mart Wuse</v>
      </c>
      <c r="J729" s="1">
        <f t="shared" si="22"/>
        <v>16575</v>
      </c>
      <c r="K729" s="1" t="str">
        <f>VLOOKUP(D729,products!A:D,2,FALSE)</f>
        <v>Home Appliances</v>
      </c>
      <c r="L729" s="1" t="str">
        <f t="shared" si="23"/>
        <v>Jan-2025</v>
      </c>
    </row>
    <row r="730" spans="1:12" x14ac:dyDescent="0.25">
      <c r="A730" s="3" t="s">
        <v>728</v>
      </c>
      <c r="B730" s="6">
        <v>45781</v>
      </c>
      <c r="C730" s="3" t="s">
        <v>16</v>
      </c>
      <c r="D730" s="3" t="s">
        <v>149</v>
      </c>
      <c r="E730" s="3" t="s">
        <v>31</v>
      </c>
      <c r="F730" s="3">
        <v>1</v>
      </c>
      <c r="G730" s="3">
        <v>5</v>
      </c>
      <c r="H730" s="1">
        <f>VLOOKUP(D730,products!A:D,4,FALSE)</f>
        <v>6500</v>
      </c>
      <c r="I730" s="1" t="str">
        <f>VLOOKUP(C730,branches!A:B,2,FALSE)</f>
        <v>Naija Mart Ikeja</v>
      </c>
      <c r="J730" s="1">
        <f t="shared" si="22"/>
        <v>6175</v>
      </c>
      <c r="K730" s="1" t="str">
        <f>VLOOKUP(D730,products!A:D,2,FALSE)</f>
        <v>Small Gadgets</v>
      </c>
      <c r="L730" s="1" t="str">
        <f t="shared" si="23"/>
        <v>May-2025</v>
      </c>
    </row>
    <row r="731" spans="1:12" x14ac:dyDescent="0.25">
      <c r="A731" s="3" t="s">
        <v>976</v>
      </c>
      <c r="B731" s="6">
        <v>45780</v>
      </c>
      <c r="C731" s="3" t="s">
        <v>16</v>
      </c>
      <c r="D731" s="3" t="s">
        <v>23</v>
      </c>
      <c r="E731" s="3" t="s">
        <v>977</v>
      </c>
      <c r="F731" s="3">
        <v>3</v>
      </c>
      <c r="G731" s="3">
        <v>10</v>
      </c>
      <c r="H731" s="1">
        <f>VLOOKUP(D731,products!A:D,4,FALSE)</f>
        <v>19500</v>
      </c>
      <c r="I731" s="1" t="str">
        <f>VLOOKUP(C731,branches!A:B,2,FALSE)</f>
        <v>Naija Mart Ikeja</v>
      </c>
      <c r="J731" s="1">
        <f t="shared" si="22"/>
        <v>52650</v>
      </c>
      <c r="K731" s="1" t="str">
        <f>VLOOKUP(D731,products!A:D,2,FALSE)</f>
        <v>Home Appliances</v>
      </c>
      <c r="L731" s="1" t="str">
        <f t="shared" si="23"/>
        <v>May-2025</v>
      </c>
    </row>
    <row r="732" spans="1:12" x14ac:dyDescent="0.25">
      <c r="A732" s="3" t="s">
        <v>978</v>
      </c>
      <c r="B732" s="6">
        <v>45728</v>
      </c>
      <c r="C732" s="3" t="s">
        <v>16</v>
      </c>
      <c r="D732" s="3" t="s">
        <v>80</v>
      </c>
      <c r="E732" s="3" t="s">
        <v>400</v>
      </c>
      <c r="F732" s="3">
        <v>3</v>
      </c>
      <c r="G732" s="3">
        <v>15</v>
      </c>
      <c r="H732" s="1">
        <f>VLOOKUP(D732,products!A:D,4,FALSE)</f>
        <v>265000</v>
      </c>
      <c r="I732" s="1" t="str">
        <f>VLOOKUP(C732,branches!A:B,2,FALSE)</f>
        <v>Naija Mart Ikeja</v>
      </c>
      <c r="J732" s="1">
        <f t="shared" si="22"/>
        <v>675750</v>
      </c>
      <c r="K732" s="1" t="str">
        <f>VLOOKUP(D732,products!A:D,2,FALSE)</f>
        <v>Home Appliances</v>
      </c>
      <c r="L732" s="1" t="str">
        <f t="shared" si="23"/>
        <v>Mar-2025</v>
      </c>
    </row>
    <row r="733" spans="1:12" x14ac:dyDescent="0.25">
      <c r="A733" s="3" t="s">
        <v>979</v>
      </c>
      <c r="B733" s="6">
        <v>45972</v>
      </c>
      <c r="C733" s="3" t="s">
        <v>16</v>
      </c>
      <c r="D733" s="3" t="s">
        <v>49</v>
      </c>
      <c r="E733" s="3" t="s">
        <v>76</v>
      </c>
      <c r="F733" s="3">
        <v>1</v>
      </c>
      <c r="G733" s="3">
        <v>10</v>
      </c>
      <c r="H733" s="1">
        <f>VLOOKUP(D733,products!A:D,4,FALSE)</f>
        <v>28000</v>
      </c>
      <c r="I733" s="1" t="str">
        <f>VLOOKUP(C733,branches!A:B,2,FALSE)</f>
        <v>Naija Mart Ikeja</v>
      </c>
      <c r="J733" s="1">
        <f t="shared" si="22"/>
        <v>25200</v>
      </c>
      <c r="K733" s="1" t="str">
        <f>VLOOKUP(D733,products!A:D,2,FALSE)</f>
        <v>Home Appliances</v>
      </c>
      <c r="L733" s="1" t="str">
        <f t="shared" si="23"/>
        <v>Nov-2025</v>
      </c>
    </row>
    <row r="734" spans="1:12" x14ac:dyDescent="0.25">
      <c r="A734" s="3" t="s">
        <v>980</v>
      </c>
      <c r="B734" s="6">
        <v>45839</v>
      </c>
      <c r="C734" s="3" t="s">
        <v>8</v>
      </c>
      <c r="D734" s="3" t="s">
        <v>69</v>
      </c>
      <c r="E734" s="3" t="s">
        <v>253</v>
      </c>
      <c r="F734" s="3">
        <v>2</v>
      </c>
      <c r="G734" s="3">
        <v>0</v>
      </c>
      <c r="H734" s="1">
        <f>VLOOKUP(D734,products!A:D,4,FALSE)</f>
        <v>45000</v>
      </c>
      <c r="I734" s="1" t="str">
        <f>VLOOKUP(C734,branches!A:B,2,FALSE)</f>
        <v>Naija Mart GRA</v>
      </c>
      <c r="J734" s="1">
        <f t="shared" si="22"/>
        <v>90000</v>
      </c>
      <c r="K734" s="1" t="str">
        <f>VLOOKUP(D734,products!A:D,2,FALSE)</f>
        <v>Electronics</v>
      </c>
      <c r="L734" s="1" t="str">
        <f t="shared" si="23"/>
        <v>Jul-2025</v>
      </c>
    </row>
    <row r="735" spans="1:12" x14ac:dyDescent="0.25">
      <c r="A735" s="3" t="s">
        <v>981</v>
      </c>
      <c r="B735" s="6">
        <v>45955</v>
      </c>
      <c r="C735" s="3" t="s">
        <v>16</v>
      </c>
      <c r="D735" s="3" t="s">
        <v>97</v>
      </c>
      <c r="E735" s="3" t="s">
        <v>83</v>
      </c>
      <c r="F735" s="3">
        <v>1</v>
      </c>
      <c r="G735" s="3">
        <v>15</v>
      </c>
      <c r="H735" s="1">
        <f>VLOOKUP(D735,products!A:D,4,FALSE)</f>
        <v>21000</v>
      </c>
      <c r="I735" s="1" t="str">
        <f>VLOOKUP(C735,branches!A:B,2,FALSE)</f>
        <v>Naija Mart Ikeja</v>
      </c>
      <c r="J735" s="1">
        <f t="shared" si="22"/>
        <v>17850</v>
      </c>
      <c r="K735" s="1" t="str">
        <f>VLOOKUP(D735,products!A:D,2,FALSE)</f>
        <v>Small Gadgets</v>
      </c>
      <c r="L735" s="1" t="str">
        <f t="shared" si="23"/>
        <v>Oct-2025</v>
      </c>
    </row>
    <row r="736" spans="1:12" x14ac:dyDescent="0.25">
      <c r="A736" s="3" t="s">
        <v>982</v>
      </c>
      <c r="B736" s="6">
        <v>46003</v>
      </c>
      <c r="C736" s="3" t="s">
        <v>16</v>
      </c>
      <c r="D736" s="3" t="s">
        <v>91</v>
      </c>
      <c r="E736" s="3" t="s">
        <v>969</v>
      </c>
      <c r="F736" s="3">
        <v>1</v>
      </c>
      <c r="G736" s="3">
        <v>10</v>
      </c>
      <c r="H736" s="1">
        <f>VLOOKUP(D736,products!A:D,4,FALSE)</f>
        <v>5200</v>
      </c>
      <c r="I736" s="1" t="str">
        <f>VLOOKUP(C736,branches!A:B,2,FALSE)</f>
        <v>Naija Mart Ikeja</v>
      </c>
      <c r="J736" s="1">
        <f t="shared" si="22"/>
        <v>4680</v>
      </c>
      <c r="K736" s="1" t="str">
        <f>VLOOKUP(D736,products!A:D,2,FALSE)</f>
        <v>Small Gadgets</v>
      </c>
      <c r="L736" s="1" t="str">
        <f t="shared" si="23"/>
        <v>Dec-2025</v>
      </c>
    </row>
    <row r="737" spans="1:12" x14ac:dyDescent="0.25">
      <c r="A737" s="3" t="s">
        <v>983</v>
      </c>
      <c r="B737" s="6">
        <v>45937</v>
      </c>
      <c r="C737" s="3" t="s">
        <v>8</v>
      </c>
      <c r="D737" s="3" t="s">
        <v>94</v>
      </c>
      <c r="E737" s="3" t="s">
        <v>76</v>
      </c>
      <c r="F737" s="3">
        <v>1</v>
      </c>
      <c r="G737" s="3">
        <v>0</v>
      </c>
      <c r="H737" s="1">
        <f>VLOOKUP(D737,products!A:D,4,FALSE)</f>
        <v>320000</v>
      </c>
      <c r="I737" s="1" t="str">
        <f>VLOOKUP(C737,branches!A:B,2,FALSE)</f>
        <v>Naija Mart GRA</v>
      </c>
      <c r="J737" s="1">
        <f t="shared" si="22"/>
        <v>320000</v>
      </c>
      <c r="K737" s="1" t="str">
        <f>VLOOKUP(D737,products!A:D,2,FALSE)</f>
        <v>Electronics</v>
      </c>
      <c r="L737" s="1" t="str">
        <f t="shared" si="23"/>
        <v>Oct-2025</v>
      </c>
    </row>
    <row r="738" spans="1:12" x14ac:dyDescent="0.25">
      <c r="A738" s="3" t="s">
        <v>984</v>
      </c>
      <c r="B738" s="6">
        <v>45827</v>
      </c>
      <c r="C738" s="3" t="s">
        <v>16</v>
      </c>
      <c r="D738" s="3" t="s">
        <v>20</v>
      </c>
      <c r="E738" s="3" t="s">
        <v>448</v>
      </c>
      <c r="F738" s="3">
        <v>1</v>
      </c>
      <c r="G738" s="3">
        <v>0</v>
      </c>
      <c r="H738" s="1">
        <f>VLOOKUP(D738,products!A:D,4,FALSE)</f>
        <v>38000</v>
      </c>
      <c r="I738" s="1" t="str">
        <f>VLOOKUP(C738,branches!A:B,2,FALSE)</f>
        <v>Naija Mart Ikeja</v>
      </c>
      <c r="J738" s="1">
        <f t="shared" si="22"/>
        <v>38000</v>
      </c>
      <c r="K738" s="1" t="str">
        <f>VLOOKUP(D738,products!A:D,2,FALSE)</f>
        <v>Electronics</v>
      </c>
      <c r="L738" s="1" t="str">
        <f t="shared" si="23"/>
        <v>Jun-2025</v>
      </c>
    </row>
    <row r="739" spans="1:12" x14ac:dyDescent="0.25">
      <c r="A739" s="3" t="s">
        <v>985</v>
      </c>
      <c r="B739" s="6">
        <v>45950</v>
      </c>
      <c r="C739" s="3" t="s">
        <v>12</v>
      </c>
      <c r="D739" s="3" t="s">
        <v>23</v>
      </c>
      <c r="E739" s="3" t="s">
        <v>783</v>
      </c>
      <c r="F739" s="3">
        <v>1</v>
      </c>
      <c r="G739" s="3">
        <v>0</v>
      </c>
      <c r="H739" s="1">
        <f>VLOOKUP(D739,products!A:D,4,FALSE)</f>
        <v>19500</v>
      </c>
      <c r="I739" s="1" t="str">
        <f>VLOOKUP(C739,branches!A:B,2,FALSE)</f>
        <v>Naija Mart Wuse</v>
      </c>
      <c r="J739" s="1">
        <f t="shared" si="22"/>
        <v>19500</v>
      </c>
      <c r="K739" s="1" t="str">
        <f>VLOOKUP(D739,products!A:D,2,FALSE)</f>
        <v>Home Appliances</v>
      </c>
      <c r="L739" s="1" t="str">
        <f t="shared" si="23"/>
        <v>Oct-2025</v>
      </c>
    </row>
    <row r="740" spans="1:12" x14ac:dyDescent="0.25">
      <c r="A740" s="3" t="s">
        <v>986</v>
      </c>
      <c r="B740" s="6">
        <v>45816</v>
      </c>
      <c r="C740" s="3" t="s">
        <v>8</v>
      </c>
      <c r="D740" s="3" t="s">
        <v>37</v>
      </c>
      <c r="E740" s="3" t="s">
        <v>136</v>
      </c>
      <c r="F740" s="3">
        <v>1</v>
      </c>
      <c r="G740" s="3">
        <v>0</v>
      </c>
      <c r="H740" s="1">
        <f>VLOOKUP(D740,products!A:D,4,FALSE)</f>
        <v>8500</v>
      </c>
      <c r="I740" s="1" t="str">
        <f>VLOOKUP(C740,branches!A:B,2,FALSE)</f>
        <v>Naija Mart GRA</v>
      </c>
      <c r="J740" s="1">
        <f t="shared" si="22"/>
        <v>8500</v>
      </c>
      <c r="K740" s="1" t="str">
        <f>VLOOKUP(D740,products!A:D,2,FALSE)</f>
        <v>Small Gadgets</v>
      </c>
      <c r="L740" s="1" t="str">
        <f t="shared" si="23"/>
        <v>Jun-2025</v>
      </c>
    </row>
    <row r="741" spans="1:12" x14ac:dyDescent="0.25">
      <c r="A741" s="3" t="s">
        <v>987</v>
      </c>
      <c r="B741" s="6">
        <v>45819</v>
      </c>
      <c r="C741" s="3" t="s">
        <v>36</v>
      </c>
      <c r="D741" s="3" t="s">
        <v>49</v>
      </c>
      <c r="E741" s="3" t="s">
        <v>420</v>
      </c>
      <c r="F741" s="3">
        <v>1</v>
      </c>
      <c r="G741" s="3">
        <v>0</v>
      </c>
      <c r="H741" s="1">
        <f>VLOOKUP(D741,products!A:D,4,FALSE)</f>
        <v>28000</v>
      </c>
      <c r="I741" s="1" t="str">
        <f>VLOOKUP(C741,branches!A:B,2,FALSE)</f>
        <v>Naija Mart Sabon Gari</v>
      </c>
      <c r="J741" s="1">
        <f t="shared" si="22"/>
        <v>28000</v>
      </c>
      <c r="K741" s="1" t="str">
        <f>VLOOKUP(D741,products!A:D,2,FALSE)</f>
        <v>Home Appliances</v>
      </c>
      <c r="L741" s="1" t="str">
        <f t="shared" si="23"/>
        <v>Jun-2025</v>
      </c>
    </row>
    <row r="742" spans="1:12" x14ac:dyDescent="0.25">
      <c r="A742" s="3" t="s">
        <v>988</v>
      </c>
      <c r="B742" s="6">
        <v>45943</v>
      </c>
      <c r="C742" s="3" t="s">
        <v>8</v>
      </c>
      <c r="D742" s="3" t="s">
        <v>49</v>
      </c>
      <c r="E742" s="3" t="s">
        <v>163</v>
      </c>
      <c r="F742" s="3">
        <v>1</v>
      </c>
      <c r="G742" s="3">
        <v>20</v>
      </c>
      <c r="H742" s="1">
        <f>VLOOKUP(D742,products!A:D,4,FALSE)</f>
        <v>28000</v>
      </c>
      <c r="I742" s="1" t="str">
        <f>VLOOKUP(C742,branches!A:B,2,FALSE)</f>
        <v>Naija Mart GRA</v>
      </c>
      <c r="J742" s="1">
        <f t="shared" si="22"/>
        <v>22400</v>
      </c>
      <c r="K742" s="1" t="str">
        <f>VLOOKUP(D742,products!A:D,2,FALSE)</f>
        <v>Home Appliances</v>
      </c>
      <c r="L742" s="1" t="str">
        <f t="shared" si="23"/>
        <v>Oct-2025</v>
      </c>
    </row>
    <row r="743" spans="1:12" x14ac:dyDescent="0.25">
      <c r="A743" s="3" t="s">
        <v>989</v>
      </c>
      <c r="B743" s="6">
        <v>45732</v>
      </c>
      <c r="C743" s="3" t="s">
        <v>12</v>
      </c>
      <c r="D743" s="3" t="s">
        <v>49</v>
      </c>
      <c r="E743" s="3" t="s">
        <v>21</v>
      </c>
      <c r="F743" s="3">
        <v>2</v>
      </c>
      <c r="G743" s="3">
        <v>0</v>
      </c>
      <c r="H743" s="1">
        <f>VLOOKUP(D743,products!A:D,4,FALSE)</f>
        <v>28000</v>
      </c>
      <c r="I743" s="1" t="str">
        <f>VLOOKUP(C743,branches!A:B,2,FALSE)</f>
        <v>Naija Mart Wuse</v>
      </c>
      <c r="J743" s="1">
        <f t="shared" si="22"/>
        <v>56000</v>
      </c>
      <c r="K743" s="1" t="str">
        <f>VLOOKUP(D743,products!A:D,2,FALSE)</f>
        <v>Home Appliances</v>
      </c>
      <c r="L743" s="1" t="str">
        <f t="shared" si="23"/>
        <v>Mar-2025</v>
      </c>
    </row>
    <row r="744" spans="1:12" x14ac:dyDescent="0.25">
      <c r="A744" s="3" t="s">
        <v>990</v>
      </c>
      <c r="B744" s="6">
        <v>46005</v>
      </c>
      <c r="C744" s="3" t="s">
        <v>12</v>
      </c>
      <c r="D744" s="3" t="s">
        <v>40</v>
      </c>
      <c r="E744" s="3" t="s">
        <v>594</v>
      </c>
      <c r="F744" s="3">
        <v>2</v>
      </c>
      <c r="G744" s="3">
        <v>10</v>
      </c>
      <c r="H744" s="1">
        <f>VLOOKUP(D744,products!A:D,4,FALSE)</f>
        <v>195000</v>
      </c>
      <c r="I744" s="1" t="str">
        <f>VLOOKUP(C744,branches!A:B,2,FALSE)</f>
        <v>Naija Mart Wuse</v>
      </c>
      <c r="J744" s="1">
        <f t="shared" si="22"/>
        <v>351000</v>
      </c>
      <c r="K744" s="1" t="str">
        <f>VLOOKUP(D744,products!A:D,2,FALSE)</f>
        <v>Generators &amp; Power</v>
      </c>
      <c r="L744" s="1" t="str">
        <f t="shared" si="23"/>
        <v>Dec-2025</v>
      </c>
    </row>
    <row r="745" spans="1:12" x14ac:dyDescent="0.25">
      <c r="A745" s="3" t="s">
        <v>991</v>
      </c>
      <c r="B745" s="6">
        <v>46013</v>
      </c>
      <c r="C745" s="3" t="s">
        <v>36</v>
      </c>
      <c r="D745" s="3" t="s">
        <v>40</v>
      </c>
      <c r="E745" s="3" t="s">
        <v>67</v>
      </c>
      <c r="F745" s="3">
        <v>2</v>
      </c>
      <c r="G745" s="3">
        <v>10</v>
      </c>
      <c r="H745" s="1">
        <f>VLOOKUP(D745,products!A:D,4,FALSE)</f>
        <v>195000</v>
      </c>
      <c r="I745" s="1" t="str">
        <f>VLOOKUP(C745,branches!A:B,2,FALSE)</f>
        <v>Naija Mart Sabon Gari</v>
      </c>
      <c r="J745" s="1">
        <f t="shared" si="22"/>
        <v>351000</v>
      </c>
      <c r="K745" s="1" t="str">
        <f>VLOOKUP(D745,products!A:D,2,FALSE)</f>
        <v>Generators &amp; Power</v>
      </c>
      <c r="L745" s="1" t="str">
        <f t="shared" si="23"/>
        <v>Dec-2025</v>
      </c>
    </row>
    <row r="746" spans="1:12" x14ac:dyDescent="0.25">
      <c r="A746" s="3" t="s">
        <v>992</v>
      </c>
      <c r="B746" s="6">
        <v>45968</v>
      </c>
      <c r="C746" s="3" t="s">
        <v>12</v>
      </c>
      <c r="D746" s="3" t="s">
        <v>13</v>
      </c>
      <c r="E746" s="3" t="s">
        <v>234</v>
      </c>
      <c r="F746" s="3">
        <v>1</v>
      </c>
      <c r="G746" s="3">
        <v>20</v>
      </c>
      <c r="H746" s="1">
        <f>VLOOKUP(D746,products!A:D,4,FALSE)</f>
        <v>24000</v>
      </c>
      <c r="I746" s="1" t="str">
        <f>VLOOKUP(C746,branches!A:B,2,FALSE)</f>
        <v>Naija Mart Wuse</v>
      </c>
      <c r="J746" s="1">
        <f t="shared" si="22"/>
        <v>19200</v>
      </c>
      <c r="K746" s="1" t="str">
        <f>VLOOKUP(D746,products!A:D,2,FALSE)</f>
        <v>Home Appliances</v>
      </c>
      <c r="L746" s="1" t="str">
        <f t="shared" si="23"/>
        <v>Nov-2025</v>
      </c>
    </row>
    <row r="747" spans="1:12" x14ac:dyDescent="0.25">
      <c r="A747" s="3" t="s">
        <v>993</v>
      </c>
      <c r="B747" s="6">
        <v>45692</v>
      </c>
      <c r="C747" s="3" t="s">
        <v>12</v>
      </c>
      <c r="D747" s="3" t="s">
        <v>26</v>
      </c>
      <c r="E747" s="3" t="s">
        <v>349</v>
      </c>
      <c r="F747" s="3">
        <v>1</v>
      </c>
      <c r="G747" s="3">
        <v>20</v>
      </c>
      <c r="H747" s="1">
        <f>VLOOKUP(D747,products!A:D,4,FALSE)</f>
        <v>145000</v>
      </c>
      <c r="I747" s="1" t="str">
        <f>VLOOKUP(C747,branches!A:B,2,FALSE)</f>
        <v>Naija Mart Wuse</v>
      </c>
      <c r="J747" s="1">
        <f t="shared" si="22"/>
        <v>116000</v>
      </c>
      <c r="K747" s="1" t="str">
        <f>VLOOKUP(D747,products!A:D,2,FALSE)</f>
        <v>Electronics</v>
      </c>
      <c r="L747" s="1" t="str">
        <f t="shared" si="23"/>
        <v>Feb-2025</v>
      </c>
    </row>
    <row r="748" spans="1:12" x14ac:dyDescent="0.25">
      <c r="A748" s="3" t="s">
        <v>994</v>
      </c>
      <c r="B748" s="6">
        <v>45672</v>
      </c>
      <c r="C748" s="3" t="s">
        <v>16</v>
      </c>
      <c r="D748" s="3" t="s">
        <v>20</v>
      </c>
      <c r="E748" s="3" t="s">
        <v>60</v>
      </c>
      <c r="F748" s="3">
        <v>1</v>
      </c>
      <c r="G748" s="3">
        <v>0</v>
      </c>
      <c r="H748" s="1">
        <f>VLOOKUP(D748,products!A:D,4,FALSE)</f>
        <v>38000</v>
      </c>
      <c r="I748" s="1" t="str">
        <f>VLOOKUP(C748,branches!A:B,2,FALSE)</f>
        <v>Naija Mart Ikeja</v>
      </c>
      <c r="J748" s="1">
        <f t="shared" si="22"/>
        <v>38000</v>
      </c>
      <c r="K748" s="1" t="str">
        <f>VLOOKUP(D748,products!A:D,2,FALSE)</f>
        <v>Electronics</v>
      </c>
      <c r="L748" s="1" t="str">
        <f t="shared" si="23"/>
        <v>Jan-2025</v>
      </c>
    </row>
    <row r="749" spans="1:12" x14ac:dyDescent="0.25">
      <c r="A749" s="3" t="s">
        <v>995</v>
      </c>
      <c r="B749" s="6">
        <v>45843</v>
      </c>
      <c r="C749" s="3" t="s">
        <v>16</v>
      </c>
      <c r="D749" s="3" t="s">
        <v>40</v>
      </c>
      <c r="E749" s="3" t="s">
        <v>54</v>
      </c>
      <c r="F749" s="3">
        <v>1</v>
      </c>
      <c r="G749" s="3">
        <v>0</v>
      </c>
      <c r="H749" s="1">
        <f>VLOOKUP(D749,products!A:D,4,FALSE)</f>
        <v>195000</v>
      </c>
      <c r="I749" s="1" t="str">
        <f>VLOOKUP(C749,branches!A:B,2,FALSE)</f>
        <v>Naija Mart Ikeja</v>
      </c>
      <c r="J749" s="1">
        <f t="shared" si="22"/>
        <v>195000</v>
      </c>
      <c r="K749" s="1" t="str">
        <f>VLOOKUP(D749,products!A:D,2,FALSE)</f>
        <v>Generators &amp; Power</v>
      </c>
      <c r="L749" s="1" t="str">
        <f t="shared" si="23"/>
        <v>Jul-2025</v>
      </c>
    </row>
    <row r="750" spans="1:12" x14ac:dyDescent="0.25">
      <c r="A750" s="3" t="s">
        <v>996</v>
      </c>
      <c r="B750" s="6">
        <v>45813</v>
      </c>
      <c r="C750" s="3" t="s">
        <v>16</v>
      </c>
      <c r="D750" s="3" t="s">
        <v>23</v>
      </c>
      <c r="E750" s="3" t="s">
        <v>274</v>
      </c>
      <c r="F750" s="3">
        <v>1</v>
      </c>
      <c r="G750" s="3">
        <v>5</v>
      </c>
      <c r="H750" s="1">
        <f>VLOOKUP(D750,products!A:D,4,FALSE)</f>
        <v>19500</v>
      </c>
      <c r="I750" s="1" t="str">
        <f>VLOOKUP(C750,branches!A:B,2,FALSE)</f>
        <v>Naija Mart Ikeja</v>
      </c>
      <c r="J750" s="1">
        <f t="shared" si="22"/>
        <v>18525</v>
      </c>
      <c r="K750" s="1" t="str">
        <f>VLOOKUP(D750,products!A:D,2,FALSE)</f>
        <v>Home Appliances</v>
      </c>
      <c r="L750" s="1" t="str">
        <f t="shared" si="23"/>
        <v>Jun-2025</v>
      </c>
    </row>
    <row r="751" spans="1:12" x14ac:dyDescent="0.25">
      <c r="A751" s="3" t="s">
        <v>997</v>
      </c>
      <c r="B751" s="6">
        <v>45975</v>
      </c>
      <c r="C751" s="3" t="s">
        <v>16</v>
      </c>
      <c r="D751" s="3" t="s">
        <v>126</v>
      </c>
      <c r="E751" s="3" t="s">
        <v>143</v>
      </c>
      <c r="F751" s="3">
        <v>2</v>
      </c>
      <c r="G751" s="3">
        <v>10</v>
      </c>
      <c r="H751" s="1">
        <f>VLOOKUP(D751,products!A:D,4,FALSE)</f>
        <v>185000</v>
      </c>
      <c r="I751" s="1" t="str">
        <f>VLOOKUP(C751,branches!A:B,2,FALSE)</f>
        <v>Naija Mart Ikeja</v>
      </c>
      <c r="J751" s="1">
        <f t="shared" si="22"/>
        <v>333000</v>
      </c>
      <c r="K751" s="1" t="str">
        <f>VLOOKUP(D751,products!A:D,2,FALSE)</f>
        <v>Electronics</v>
      </c>
      <c r="L751" s="1" t="str">
        <f t="shared" si="23"/>
        <v>Nov-2025</v>
      </c>
    </row>
    <row r="752" spans="1:12" x14ac:dyDescent="0.25">
      <c r="A752" s="3" t="s">
        <v>998</v>
      </c>
      <c r="B752" s="6">
        <v>45912</v>
      </c>
      <c r="C752" s="3" t="s">
        <v>12</v>
      </c>
      <c r="D752" s="3" t="s">
        <v>64</v>
      </c>
      <c r="E752" s="3" t="s">
        <v>382</v>
      </c>
      <c r="F752" s="3">
        <v>1</v>
      </c>
      <c r="G752" s="3">
        <v>10</v>
      </c>
      <c r="H752" s="1">
        <f>VLOOKUP(D752,products!A:D,4,FALSE)</f>
        <v>175000</v>
      </c>
      <c r="I752" s="1" t="str">
        <f>VLOOKUP(C752,branches!A:B,2,FALSE)</f>
        <v>Naija Mart Wuse</v>
      </c>
      <c r="J752" s="1">
        <f t="shared" si="22"/>
        <v>157500</v>
      </c>
      <c r="K752" s="1" t="str">
        <f>VLOOKUP(D752,products!A:D,2,FALSE)</f>
        <v>Generators &amp; Power</v>
      </c>
      <c r="L752" s="1" t="str">
        <f t="shared" si="23"/>
        <v>Sep-2025</v>
      </c>
    </row>
    <row r="753" spans="1:12" x14ac:dyDescent="0.25">
      <c r="A753" s="3" t="s">
        <v>999</v>
      </c>
      <c r="B753" s="6">
        <v>45920</v>
      </c>
      <c r="C753" s="3" t="s">
        <v>12</v>
      </c>
      <c r="D753" s="3" t="s">
        <v>13</v>
      </c>
      <c r="E753" s="3" t="s">
        <v>428</v>
      </c>
      <c r="F753" s="3">
        <v>1</v>
      </c>
      <c r="G753" s="3">
        <v>5</v>
      </c>
      <c r="H753" s="1">
        <f>VLOOKUP(D753,products!A:D,4,FALSE)</f>
        <v>24000</v>
      </c>
      <c r="I753" s="1" t="str">
        <f>VLOOKUP(C753,branches!A:B,2,FALSE)</f>
        <v>Naija Mart Wuse</v>
      </c>
      <c r="J753" s="1">
        <f t="shared" si="22"/>
        <v>22800</v>
      </c>
      <c r="K753" s="1" t="str">
        <f>VLOOKUP(D753,products!A:D,2,FALSE)</f>
        <v>Home Appliances</v>
      </c>
      <c r="L753" s="1" t="str">
        <f t="shared" si="23"/>
        <v>Sep-2025</v>
      </c>
    </row>
    <row r="754" spans="1:12" x14ac:dyDescent="0.25">
      <c r="A754" s="3" t="s">
        <v>1000</v>
      </c>
      <c r="B754" s="6">
        <v>45880</v>
      </c>
      <c r="C754" s="3" t="s">
        <v>36</v>
      </c>
      <c r="D754" s="3" t="s">
        <v>26</v>
      </c>
      <c r="E754" s="3" t="s">
        <v>74</v>
      </c>
      <c r="F754" s="3">
        <v>2</v>
      </c>
      <c r="G754" s="3">
        <v>5</v>
      </c>
      <c r="H754" s="1">
        <f>VLOOKUP(D754,products!A:D,4,FALSE)</f>
        <v>145000</v>
      </c>
      <c r="I754" s="1" t="str">
        <f>VLOOKUP(C754,branches!A:B,2,FALSE)</f>
        <v>Naija Mart Sabon Gari</v>
      </c>
      <c r="J754" s="1">
        <f t="shared" si="22"/>
        <v>275500</v>
      </c>
      <c r="K754" s="1" t="str">
        <f>VLOOKUP(D754,products!A:D,2,FALSE)</f>
        <v>Electronics</v>
      </c>
      <c r="L754" s="1" t="str">
        <f t="shared" si="23"/>
        <v>Aug-2025</v>
      </c>
    </row>
    <row r="755" spans="1:12" x14ac:dyDescent="0.25">
      <c r="A755" s="3" t="s">
        <v>1001</v>
      </c>
      <c r="B755" s="6">
        <v>45992</v>
      </c>
      <c r="C755" s="3" t="s">
        <v>8</v>
      </c>
      <c r="D755" s="3" t="s">
        <v>13</v>
      </c>
      <c r="E755" s="3" t="s">
        <v>141</v>
      </c>
      <c r="F755" s="3">
        <v>2</v>
      </c>
      <c r="G755" s="3">
        <v>0</v>
      </c>
      <c r="H755" s="1">
        <f>VLOOKUP(D755,products!A:D,4,FALSE)</f>
        <v>24000</v>
      </c>
      <c r="I755" s="1" t="str">
        <f>VLOOKUP(C755,branches!A:B,2,FALSE)</f>
        <v>Naija Mart GRA</v>
      </c>
      <c r="J755" s="1">
        <f t="shared" si="22"/>
        <v>48000</v>
      </c>
      <c r="K755" s="1" t="str">
        <f>VLOOKUP(D755,products!A:D,2,FALSE)</f>
        <v>Home Appliances</v>
      </c>
      <c r="L755" s="1" t="str">
        <f t="shared" si="23"/>
        <v>Dec-2025</v>
      </c>
    </row>
    <row r="756" spans="1:12" x14ac:dyDescent="0.25">
      <c r="A756" s="3" t="s">
        <v>1002</v>
      </c>
      <c r="B756" s="6">
        <v>45917</v>
      </c>
      <c r="C756" s="3" t="s">
        <v>36</v>
      </c>
      <c r="D756" s="3" t="s">
        <v>80</v>
      </c>
      <c r="E756" s="3" t="s">
        <v>308</v>
      </c>
      <c r="F756" s="3">
        <v>1</v>
      </c>
      <c r="G756" s="3">
        <v>0</v>
      </c>
      <c r="H756" s="1">
        <f>VLOOKUP(D756,products!A:D,4,FALSE)</f>
        <v>265000</v>
      </c>
      <c r="I756" s="1" t="str">
        <f>VLOOKUP(C756,branches!A:B,2,FALSE)</f>
        <v>Naija Mart Sabon Gari</v>
      </c>
      <c r="J756" s="1">
        <f t="shared" si="22"/>
        <v>265000</v>
      </c>
      <c r="K756" s="1" t="str">
        <f>VLOOKUP(D756,products!A:D,2,FALSE)</f>
        <v>Home Appliances</v>
      </c>
      <c r="L756" s="1" t="str">
        <f t="shared" si="23"/>
        <v>Sep-2025</v>
      </c>
    </row>
    <row r="757" spans="1:12" x14ac:dyDescent="0.25">
      <c r="A757" s="3" t="s">
        <v>1003</v>
      </c>
      <c r="B757" s="6">
        <v>45917</v>
      </c>
      <c r="C757" s="3" t="s">
        <v>16</v>
      </c>
      <c r="D757" s="3" t="s">
        <v>80</v>
      </c>
      <c r="E757" s="3" t="s">
        <v>659</v>
      </c>
      <c r="F757" s="3">
        <v>2</v>
      </c>
      <c r="G757" s="3">
        <v>0</v>
      </c>
      <c r="H757" s="1">
        <f>VLOOKUP(D757,products!A:D,4,FALSE)</f>
        <v>265000</v>
      </c>
      <c r="I757" s="1" t="str">
        <f>VLOOKUP(C757,branches!A:B,2,FALSE)</f>
        <v>Naija Mart Ikeja</v>
      </c>
      <c r="J757" s="1">
        <f t="shared" si="22"/>
        <v>530000</v>
      </c>
      <c r="K757" s="1" t="str">
        <f>VLOOKUP(D757,products!A:D,2,FALSE)</f>
        <v>Home Appliances</v>
      </c>
      <c r="L757" s="1" t="str">
        <f t="shared" si="23"/>
        <v>Sep-2025</v>
      </c>
    </row>
    <row r="758" spans="1:12" x14ac:dyDescent="0.25">
      <c r="A758" s="3" t="s">
        <v>1004</v>
      </c>
      <c r="B758" s="6">
        <v>45979</v>
      </c>
      <c r="C758" s="3" t="s">
        <v>16</v>
      </c>
      <c r="D758" s="3" t="s">
        <v>46</v>
      </c>
      <c r="E758" s="3" t="s">
        <v>302</v>
      </c>
      <c r="F758" s="3">
        <v>1</v>
      </c>
      <c r="G758" s="3">
        <v>15</v>
      </c>
      <c r="H758" s="1">
        <f>VLOOKUP(D758,products!A:D,4,FALSE)</f>
        <v>62000</v>
      </c>
      <c r="I758" s="1" t="str">
        <f>VLOOKUP(C758,branches!A:B,2,FALSE)</f>
        <v>Naija Mart Ikeja</v>
      </c>
      <c r="J758" s="1">
        <f t="shared" si="22"/>
        <v>52700</v>
      </c>
      <c r="K758" s="1" t="str">
        <f>VLOOKUP(D758,products!A:D,2,FALSE)</f>
        <v>Home Appliances</v>
      </c>
      <c r="L758" s="1" t="str">
        <f t="shared" si="23"/>
        <v>Nov-2025</v>
      </c>
    </row>
    <row r="759" spans="1:12" x14ac:dyDescent="0.25">
      <c r="A759" s="3" t="s">
        <v>1005</v>
      </c>
      <c r="B759" s="6">
        <v>45948</v>
      </c>
      <c r="C759" s="3" t="s">
        <v>12</v>
      </c>
      <c r="D759" s="3" t="s">
        <v>33</v>
      </c>
      <c r="E759" s="3" t="s">
        <v>174</v>
      </c>
      <c r="F759" s="3">
        <v>2</v>
      </c>
      <c r="G759" s="3">
        <v>0</v>
      </c>
      <c r="H759" s="1">
        <f>VLOOKUP(D759,products!A:D,4,FALSE)</f>
        <v>245000</v>
      </c>
      <c r="I759" s="1" t="str">
        <f>VLOOKUP(C759,branches!A:B,2,FALSE)</f>
        <v>Naija Mart Wuse</v>
      </c>
      <c r="J759" s="1">
        <f t="shared" si="22"/>
        <v>490000</v>
      </c>
      <c r="K759" s="1" t="str">
        <f>VLOOKUP(D759,products!A:D,2,FALSE)</f>
        <v>Generators &amp; Power</v>
      </c>
      <c r="L759" s="1" t="str">
        <f t="shared" si="23"/>
        <v>Oct-2025</v>
      </c>
    </row>
    <row r="760" spans="1:12" x14ac:dyDescent="0.25">
      <c r="A760" s="3" t="s">
        <v>1006</v>
      </c>
      <c r="B760" s="6">
        <v>45857</v>
      </c>
      <c r="C760" s="3" t="s">
        <v>16</v>
      </c>
      <c r="D760" s="3" t="s">
        <v>33</v>
      </c>
      <c r="E760" s="3" t="s">
        <v>659</v>
      </c>
      <c r="F760" s="3">
        <v>1</v>
      </c>
      <c r="G760" s="3">
        <v>5</v>
      </c>
      <c r="H760" s="1">
        <f>VLOOKUP(D760,products!A:D,4,FALSE)</f>
        <v>245000</v>
      </c>
      <c r="I760" s="1" t="str">
        <f>VLOOKUP(C760,branches!A:B,2,FALSE)</f>
        <v>Naija Mart Ikeja</v>
      </c>
      <c r="J760" s="1">
        <f t="shared" si="22"/>
        <v>232750</v>
      </c>
      <c r="K760" s="1" t="str">
        <f>VLOOKUP(D760,products!A:D,2,FALSE)</f>
        <v>Generators &amp; Power</v>
      </c>
      <c r="L760" s="1" t="str">
        <f t="shared" si="23"/>
        <v>Jul-2025</v>
      </c>
    </row>
    <row r="761" spans="1:12" x14ac:dyDescent="0.25">
      <c r="A761" s="3" t="s">
        <v>1007</v>
      </c>
      <c r="B761" s="6">
        <v>45789</v>
      </c>
      <c r="C761" s="3" t="s">
        <v>8</v>
      </c>
      <c r="D761" s="3" t="s">
        <v>20</v>
      </c>
      <c r="E761" s="3" t="s">
        <v>263</v>
      </c>
      <c r="F761" s="3">
        <v>1</v>
      </c>
      <c r="G761" s="3">
        <v>10</v>
      </c>
      <c r="H761" s="1">
        <f>VLOOKUP(D761,products!A:D,4,FALSE)</f>
        <v>38000</v>
      </c>
      <c r="I761" s="1" t="str">
        <f>VLOOKUP(C761,branches!A:B,2,FALSE)</f>
        <v>Naija Mart GRA</v>
      </c>
      <c r="J761" s="1">
        <f t="shared" si="22"/>
        <v>34200</v>
      </c>
      <c r="K761" s="1" t="str">
        <f>VLOOKUP(D761,products!A:D,2,FALSE)</f>
        <v>Electronics</v>
      </c>
      <c r="L761" s="1" t="str">
        <f t="shared" si="23"/>
        <v>May-2025</v>
      </c>
    </row>
    <row r="762" spans="1:12" x14ac:dyDescent="0.25">
      <c r="A762" s="3" t="s">
        <v>1008</v>
      </c>
      <c r="B762" s="6">
        <v>45858</v>
      </c>
      <c r="C762" s="3" t="s">
        <v>16</v>
      </c>
      <c r="D762" s="3" t="s">
        <v>258</v>
      </c>
      <c r="E762" s="3" t="s">
        <v>469</v>
      </c>
      <c r="F762" s="3">
        <v>1</v>
      </c>
      <c r="G762" s="3">
        <v>15</v>
      </c>
      <c r="H762" s="1">
        <f>VLOOKUP(D762,products!A:D,4,FALSE)</f>
        <v>95000</v>
      </c>
      <c r="I762" s="1" t="str">
        <f>VLOOKUP(C762,branches!A:B,2,FALSE)</f>
        <v>Naija Mart Ikeja</v>
      </c>
      <c r="J762" s="1">
        <f t="shared" si="22"/>
        <v>80750</v>
      </c>
      <c r="K762" s="1" t="str">
        <f>VLOOKUP(D762,products!A:D,2,FALSE)</f>
        <v>Electronics</v>
      </c>
      <c r="L762" s="1" t="str">
        <f t="shared" si="23"/>
        <v>Jul-2025</v>
      </c>
    </row>
    <row r="763" spans="1:12" x14ac:dyDescent="0.25">
      <c r="A763" s="3" t="s">
        <v>1009</v>
      </c>
      <c r="B763" s="6">
        <v>45904</v>
      </c>
      <c r="C763" s="3" t="s">
        <v>12</v>
      </c>
      <c r="D763" s="3" t="s">
        <v>149</v>
      </c>
      <c r="E763" s="3" t="s">
        <v>60</v>
      </c>
      <c r="F763" s="3">
        <v>1</v>
      </c>
      <c r="G763" s="3">
        <v>5</v>
      </c>
      <c r="H763" s="1">
        <f>VLOOKUP(D763,products!A:D,4,FALSE)</f>
        <v>6500</v>
      </c>
      <c r="I763" s="1" t="str">
        <f>VLOOKUP(C763,branches!A:B,2,FALSE)</f>
        <v>Naija Mart Wuse</v>
      </c>
      <c r="J763" s="1">
        <f t="shared" si="22"/>
        <v>6175</v>
      </c>
      <c r="K763" s="1" t="str">
        <f>VLOOKUP(D763,products!A:D,2,FALSE)</f>
        <v>Small Gadgets</v>
      </c>
      <c r="L763" s="1" t="str">
        <f t="shared" si="23"/>
        <v>Sep-2025</v>
      </c>
    </row>
    <row r="764" spans="1:12" x14ac:dyDescent="0.25">
      <c r="A764" s="3" t="s">
        <v>1010</v>
      </c>
      <c r="B764" s="6">
        <v>45942</v>
      </c>
      <c r="C764" s="3" t="s">
        <v>12</v>
      </c>
      <c r="D764" s="3" t="s">
        <v>9</v>
      </c>
      <c r="E764" s="3" t="s">
        <v>637</v>
      </c>
      <c r="F764" s="3">
        <v>3</v>
      </c>
      <c r="G764" s="3">
        <v>10</v>
      </c>
      <c r="H764" s="1">
        <f>VLOOKUP(D764,products!A:D,4,FALSE)</f>
        <v>410000</v>
      </c>
      <c r="I764" s="1" t="str">
        <f>VLOOKUP(C764,branches!A:B,2,FALSE)</f>
        <v>Naija Mart Wuse</v>
      </c>
      <c r="J764" s="1">
        <f t="shared" si="22"/>
        <v>1107000</v>
      </c>
      <c r="K764" s="1" t="str">
        <f>VLOOKUP(D764,products!A:D,2,FALSE)</f>
        <v>Home Appliances</v>
      </c>
      <c r="L764" s="1" t="str">
        <f t="shared" si="23"/>
        <v>Oct-2025</v>
      </c>
    </row>
    <row r="765" spans="1:12" x14ac:dyDescent="0.25">
      <c r="A765" s="3" t="s">
        <v>1011</v>
      </c>
      <c r="B765" s="6">
        <v>46010</v>
      </c>
      <c r="C765" s="3" t="s">
        <v>8</v>
      </c>
      <c r="D765" s="3" t="s">
        <v>40</v>
      </c>
      <c r="E765" s="3" t="s">
        <v>78</v>
      </c>
      <c r="F765" s="3">
        <v>2</v>
      </c>
      <c r="G765" s="3">
        <v>20</v>
      </c>
      <c r="H765" s="1">
        <f>VLOOKUP(D765,products!A:D,4,FALSE)</f>
        <v>195000</v>
      </c>
      <c r="I765" s="1" t="str">
        <f>VLOOKUP(C765,branches!A:B,2,FALSE)</f>
        <v>Naija Mart GRA</v>
      </c>
      <c r="J765" s="1">
        <f t="shared" si="22"/>
        <v>312000</v>
      </c>
      <c r="K765" s="1" t="str">
        <f>VLOOKUP(D765,products!A:D,2,FALSE)</f>
        <v>Generators &amp; Power</v>
      </c>
      <c r="L765" s="1" t="str">
        <f t="shared" si="23"/>
        <v>Dec-2025</v>
      </c>
    </row>
    <row r="766" spans="1:12" x14ac:dyDescent="0.25">
      <c r="A766" s="3" t="s">
        <v>1012</v>
      </c>
      <c r="B766" s="6">
        <v>45920</v>
      </c>
      <c r="C766" s="3" t="s">
        <v>36</v>
      </c>
      <c r="D766" s="3" t="s">
        <v>40</v>
      </c>
      <c r="E766" s="3" t="s">
        <v>603</v>
      </c>
      <c r="F766" s="3">
        <v>1</v>
      </c>
      <c r="G766" s="3">
        <v>5</v>
      </c>
      <c r="H766" s="1">
        <f>VLOOKUP(D766,products!A:D,4,FALSE)</f>
        <v>195000</v>
      </c>
      <c r="I766" s="1" t="str">
        <f>VLOOKUP(C766,branches!A:B,2,FALSE)</f>
        <v>Naija Mart Sabon Gari</v>
      </c>
      <c r="J766" s="1">
        <f t="shared" si="22"/>
        <v>185250</v>
      </c>
      <c r="K766" s="1" t="str">
        <f>VLOOKUP(D766,products!A:D,2,FALSE)</f>
        <v>Generators &amp; Power</v>
      </c>
      <c r="L766" s="1" t="str">
        <f t="shared" si="23"/>
        <v>Sep-2025</v>
      </c>
    </row>
    <row r="767" spans="1:12" x14ac:dyDescent="0.25">
      <c r="A767" s="3" t="s">
        <v>1013</v>
      </c>
      <c r="B767" s="6">
        <v>45805</v>
      </c>
      <c r="C767" s="3" t="s">
        <v>36</v>
      </c>
      <c r="D767" s="3" t="s">
        <v>97</v>
      </c>
      <c r="E767" s="3" t="s">
        <v>618</v>
      </c>
      <c r="F767" s="3">
        <v>2</v>
      </c>
      <c r="G767" s="3">
        <v>20</v>
      </c>
      <c r="H767" s="1">
        <f>VLOOKUP(D767,products!A:D,4,FALSE)</f>
        <v>21000</v>
      </c>
      <c r="I767" s="1" t="str">
        <f>VLOOKUP(C767,branches!A:B,2,FALSE)</f>
        <v>Naija Mart Sabon Gari</v>
      </c>
      <c r="J767" s="1">
        <f t="shared" si="22"/>
        <v>33600</v>
      </c>
      <c r="K767" s="1" t="str">
        <f>VLOOKUP(D767,products!A:D,2,FALSE)</f>
        <v>Small Gadgets</v>
      </c>
      <c r="L767" s="1" t="str">
        <f t="shared" si="23"/>
        <v>May-2025</v>
      </c>
    </row>
    <row r="768" spans="1:12" x14ac:dyDescent="0.25">
      <c r="A768" s="3" t="s">
        <v>1014</v>
      </c>
      <c r="B768" s="6">
        <v>45940</v>
      </c>
      <c r="C768" s="3" t="s">
        <v>36</v>
      </c>
      <c r="D768" s="3" t="s">
        <v>91</v>
      </c>
      <c r="E768" s="3" t="s">
        <v>250</v>
      </c>
      <c r="F768" s="3">
        <v>1</v>
      </c>
      <c r="G768" s="3">
        <v>0</v>
      </c>
      <c r="H768" s="1">
        <f>VLOOKUP(D768,products!A:D,4,FALSE)</f>
        <v>5200</v>
      </c>
      <c r="I768" s="1" t="str">
        <f>VLOOKUP(C768,branches!A:B,2,FALSE)</f>
        <v>Naija Mart Sabon Gari</v>
      </c>
      <c r="J768" s="1">
        <f t="shared" si="22"/>
        <v>5200</v>
      </c>
      <c r="K768" s="1" t="str">
        <f>VLOOKUP(D768,products!A:D,2,FALSE)</f>
        <v>Small Gadgets</v>
      </c>
      <c r="L768" s="1" t="str">
        <f t="shared" si="23"/>
        <v>Oct-2025</v>
      </c>
    </row>
    <row r="769" spans="1:12" x14ac:dyDescent="0.25">
      <c r="A769" s="3" t="s">
        <v>1015</v>
      </c>
      <c r="B769" s="6">
        <v>45931</v>
      </c>
      <c r="C769" s="3" t="s">
        <v>8</v>
      </c>
      <c r="D769" s="3" t="s">
        <v>149</v>
      </c>
      <c r="E769" s="3" t="s">
        <v>574</v>
      </c>
      <c r="F769" s="3">
        <v>2</v>
      </c>
      <c r="G769" s="3">
        <v>0</v>
      </c>
      <c r="H769" s="1">
        <f>VLOOKUP(D769,products!A:D,4,FALSE)</f>
        <v>6500</v>
      </c>
      <c r="I769" s="1" t="str">
        <f>VLOOKUP(C769,branches!A:B,2,FALSE)</f>
        <v>Naija Mart GRA</v>
      </c>
      <c r="J769" s="1">
        <f t="shared" si="22"/>
        <v>13000</v>
      </c>
      <c r="K769" s="1" t="str">
        <f>VLOOKUP(D769,products!A:D,2,FALSE)</f>
        <v>Small Gadgets</v>
      </c>
      <c r="L769" s="1" t="str">
        <f t="shared" si="23"/>
        <v>Oct-2025</v>
      </c>
    </row>
    <row r="770" spans="1:12" x14ac:dyDescent="0.25">
      <c r="A770" s="3" t="s">
        <v>1016</v>
      </c>
      <c r="B770" s="6">
        <v>45921</v>
      </c>
      <c r="C770" s="3" t="s">
        <v>16</v>
      </c>
      <c r="D770" s="3" t="s">
        <v>23</v>
      </c>
      <c r="E770" s="3" t="s">
        <v>98</v>
      </c>
      <c r="F770" s="3">
        <v>1</v>
      </c>
      <c r="G770" s="3">
        <v>20</v>
      </c>
      <c r="H770" s="1">
        <f>VLOOKUP(D770,products!A:D,4,FALSE)</f>
        <v>19500</v>
      </c>
      <c r="I770" s="1" t="str">
        <f>VLOOKUP(C770,branches!A:B,2,FALSE)</f>
        <v>Naija Mart Ikeja</v>
      </c>
      <c r="J770" s="1">
        <f t="shared" si="22"/>
        <v>15600</v>
      </c>
      <c r="K770" s="1" t="str">
        <f>VLOOKUP(D770,products!A:D,2,FALSE)</f>
        <v>Home Appliances</v>
      </c>
      <c r="L770" s="1" t="str">
        <f t="shared" si="23"/>
        <v>Sep-2025</v>
      </c>
    </row>
    <row r="771" spans="1:12" x14ac:dyDescent="0.25">
      <c r="A771" s="3" t="s">
        <v>1017</v>
      </c>
      <c r="B771" s="6">
        <v>45827</v>
      </c>
      <c r="C771" s="3" t="s">
        <v>12</v>
      </c>
      <c r="D771" s="3" t="s">
        <v>9</v>
      </c>
      <c r="E771" s="3" t="s">
        <v>349</v>
      </c>
      <c r="F771" s="3">
        <v>2</v>
      </c>
      <c r="G771" s="3">
        <v>0</v>
      </c>
      <c r="H771" s="1">
        <f>VLOOKUP(D771,products!A:D,4,FALSE)</f>
        <v>410000</v>
      </c>
      <c r="I771" s="1" t="str">
        <f>VLOOKUP(C771,branches!A:B,2,FALSE)</f>
        <v>Naija Mart Wuse</v>
      </c>
      <c r="J771" s="1">
        <f t="shared" ref="J771:J834" si="24">F771*H771*(1-G771/100)</f>
        <v>820000</v>
      </c>
      <c r="K771" s="1" t="str">
        <f>VLOOKUP(D771,products!A:D,2,FALSE)</f>
        <v>Home Appliances</v>
      </c>
      <c r="L771" s="1" t="str">
        <f t="shared" ref="L771:L834" si="25">TEXT(B771,"mmm-yyyy")</f>
        <v>Jun-2025</v>
      </c>
    </row>
    <row r="772" spans="1:12" x14ac:dyDescent="0.25">
      <c r="A772" s="3" t="s">
        <v>1018</v>
      </c>
      <c r="B772" s="6">
        <v>45964</v>
      </c>
      <c r="C772" s="3" t="s">
        <v>8</v>
      </c>
      <c r="D772" s="3" t="s">
        <v>9</v>
      </c>
      <c r="E772" s="3" t="s">
        <v>326</v>
      </c>
      <c r="F772" s="3">
        <v>1</v>
      </c>
      <c r="G772" s="3">
        <v>5</v>
      </c>
      <c r="H772" s="1">
        <f>VLOOKUP(D772,products!A:D,4,FALSE)</f>
        <v>410000</v>
      </c>
      <c r="I772" s="1" t="str">
        <f>VLOOKUP(C772,branches!A:B,2,FALSE)</f>
        <v>Naija Mart GRA</v>
      </c>
      <c r="J772" s="1">
        <f t="shared" si="24"/>
        <v>389500</v>
      </c>
      <c r="K772" s="1" t="str">
        <f>VLOOKUP(D772,products!A:D,2,FALSE)</f>
        <v>Home Appliances</v>
      </c>
      <c r="L772" s="1" t="str">
        <f t="shared" si="25"/>
        <v>Nov-2025</v>
      </c>
    </row>
    <row r="773" spans="1:12" x14ac:dyDescent="0.25">
      <c r="A773" s="3" t="s">
        <v>1019</v>
      </c>
      <c r="B773" s="6">
        <v>45774</v>
      </c>
      <c r="C773" s="3" t="s">
        <v>16</v>
      </c>
      <c r="D773" s="3" t="s">
        <v>126</v>
      </c>
      <c r="E773" s="3" t="s">
        <v>519</v>
      </c>
      <c r="F773" s="3">
        <v>1</v>
      </c>
      <c r="G773" s="3">
        <v>0</v>
      </c>
      <c r="H773" s="1">
        <f>VLOOKUP(D773,products!A:D,4,FALSE)</f>
        <v>185000</v>
      </c>
      <c r="I773" s="1" t="str">
        <f>VLOOKUP(C773,branches!A:B,2,FALSE)</f>
        <v>Naija Mart Ikeja</v>
      </c>
      <c r="J773" s="1">
        <f t="shared" si="24"/>
        <v>185000</v>
      </c>
      <c r="K773" s="1" t="str">
        <f>VLOOKUP(D773,products!A:D,2,FALSE)</f>
        <v>Electronics</v>
      </c>
      <c r="L773" s="1" t="str">
        <f t="shared" si="25"/>
        <v>Apr-2025</v>
      </c>
    </row>
    <row r="774" spans="1:12" x14ac:dyDescent="0.25">
      <c r="A774" s="3" t="s">
        <v>1020</v>
      </c>
      <c r="B774" s="6">
        <v>45733</v>
      </c>
      <c r="C774" s="3" t="s">
        <v>16</v>
      </c>
      <c r="D774" s="3" t="s">
        <v>69</v>
      </c>
      <c r="E774" s="3" t="s">
        <v>127</v>
      </c>
      <c r="F774" s="3">
        <v>1</v>
      </c>
      <c r="G774" s="3">
        <v>0</v>
      </c>
      <c r="H774" s="1">
        <f>VLOOKUP(D774,products!A:D,4,FALSE)</f>
        <v>45000</v>
      </c>
      <c r="I774" s="1" t="str">
        <f>VLOOKUP(C774,branches!A:B,2,FALSE)</f>
        <v>Naija Mart Ikeja</v>
      </c>
      <c r="J774" s="1">
        <f t="shared" si="24"/>
        <v>45000</v>
      </c>
      <c r="K774" s="1" t="str">
        <f>VLOOKUP(D774,products!A:D,2,FALSE)</f>
        <v>Electronics</v>
      </c>
      <c r="L774" s="1" t="str">
        <f t="shared" si="25"/>
        <v>Mar-2025</v>
      </c>
    </row>
    <row r="775" spans="1:12" x14ac:dyDescent="0.25">
      <c r="A775" s="3" t="s">
        <v>1021</v>
      </c>
      <c r="B775" s="6">
        <v>45982</v>
      </c>
      <c r="C775" s="3" t="s">
        <v>36</v>
      </c>
      <c r="D775" s="3" t="s">
        <v>80</v>
      </c>
      <c r="E775" s="3" t="s">
        <v>230</v>
      </c>
      <c r="F775" s="3">
        <v>1</v>
      </c>
      <c r="G775" s="3">
        <v>10</v>
      </c>
      <c r="H775" s="1">
        <f>VLOOKUP(D775,products!A:D,4,FALSE)</f>
        <v>265000</v>
      </c>
      <c r="I775" s="1" t="str">
        <f>VLOOKUP(C775,branches!A:B,2,FALSE)</f>
        <v>Naija Mart Sabon Gari</v>
      </c>
      <c r="J775" s="1">
        <f t="shared" si="24"/>
        <v>238500</v>
      </c>
      <c r="K775" s="1" t="str">
        <f>VLOOKUP(D775,products!A:D,2,FALSE)</f>
        <v>Home Appliances</v>
      </c>
      <c r="L775" s="1" t="str">
        <f t="shared" si="25"/>
        <v>Nov-2025</v>
      </c>
    </row>
    <row r="776" spans="1:12" x14ac:dyDescent="0.25">
      <c r="A776" s="3" t="s">
        <v>1022</v>
      </c>
      <c r="B776" s="6">
        <v>46019</v>
      </c>
      <c r="C776" s="3" t="s">
        <v>16</v>
      </c>
      <c r="D776" s="3" t="s">
        <v>23</v>
      </c>
      <c r="E776" s="3" t="s">
        <v>184</v>
      </c>
      <c r="F776" s="3">
        <v>1</v>
      </c>
      <c r="G776" s="3">
        <v>0</v>
      </c>
      <c r="H776" s="1">
        <f>VLOOKUP(D776,products!A:D,4,FALSE)</f>
        <v>19500</v>
      </c>
      <c r="I776" s="1" t="str">
        <f>VLOOKUP(C776,branches!A:B,2,FALSE)</f>
        <v>Naija Mart Ikeja</v>
      </c>
      <c r="J776" s="1">
        <f t="shared" si="24"/>
        <v>19500</v>
      </c>
      <c r="K776" s="1" t="str">
        <f>VLOOKUP(D776,products!A:D,2,FALSE)</f>
        <v>Home Appliances</v>
      </c>
      <c r="L776" s="1" t="str">
        <f t="shared" si="25"/>
        <v>Dec-2025</v>
      </c>
    </row>
    <row r="777" spans="1:12" x14ac:dyDescent="0.25">
      <c r="A777" s="3" t="s">
        <v>759</v>
      </c>
      <c r="B777" s="6">
        <v>45803</v>
      </c>
      <c r="C777" s="3" t="s">
        <v>36</v>
      </c>
      <c r="D777" s="3" t="s">
        <v>51</v>
      </c>
      <c r="E777" s="3" t="s">
        <v>269</v>
      </c>
      <c r="F777" s="3">
        <v>1</v>
      </c>
      <c r="G777" s="3">
        <v>0</v>
      </c>
      <c r="H777" s="1">
        <f>VLOOKUP(D777,products!A:D,4,FALSE)</f>
        <v>18000</v>
      </c>
      <c r="I777" s="1" t="str">
        <f>VLOOKUP(C777,branches!A:B,2,FALSE)</f>
        <v>Naija Mart Sabon Gari</v>
      </c>
      <c r="J777" s="1">
        <f t="shared" si="24"/>
        <v>18000</v>
      </c>
      <c r="K777" s="1" t="str">
        <f>VLOOKUP(D777,products!A:D,2,FALSE)</f>
        <v>Small Gadgets</v>
      </c>
      <c r="L777" s="1" t="str">
        <f t="shared" si="25"/>
        <v>May-2025</v>
      </c>
    </row>
    <row r="778" spans="1:12" x14ac:dyDescent="0.25">
      <c r="A778" s="3" t="s">
        <v>1023</v>
      </c>
      <c r="B778" s="6">
        <v>46010</v>
      </c>
      <c r="C778" s="3" t="s">
        <v>16</v>
      </c>
      <c r="D778" s="3" t="s">
        <v>80</v>
      </c>
      <c r="E778" s="3" t="s">
        <v>308</v>
      </c>
      <c r="F778" s="3">
        <v>2</v>
      </c>
      <c r="G778" s="3">
        <v>10</v>
      </c>
      <c r="H778" s="1">
        <f>VLOOKUP(D778,products!A:D,4,FALSE)</f>
        <v>265000</v>
      </c>
      <c r="I778" s="1" t="str">
        <f>VLOOKUP(C778,branches!A:B,2,FALSE)</f>
        <v>Naija Mart Ikeja</v>
      </c>
      <c r="J778" s="1">
        <f t="shared" si="24"/>
        <v>477000</v>
      </c>
      <c r="K778" s="1" t="str">
        <f>VLOOKUP(D778,products!A:D,2,FALSE)</f>
        <v>Home Appliances</v>
      </c>
      <c r="L778" s="1" t="str">
        <f t="shared" si="25"/>
        <v>Dec-2025</v>
      </c>
    </row>
    <row r="779" spans="1:12" x14ac:dyDescent="0.25">
      <c r="A779" s="3" t="s">
        <v>1024</v>
      </c>
      <c r="B779" s="6">
        <v>46004</v>
      </c>
      <c r="C779" s="3" t="s">
        <v>12</v>
      </c>
      <c r="D779" s="3" t="s">
        <v>13</v>
      </c>
      <c r="E779" s="3" t="s">
        <v>60</v>
      </c>
      <c r="F779" s="3">
        <v>3</v>
      </c>
      <c r="G779" s="3">
        <v>30</v>
      </c>
      <c r="H779" s="1">
        <f>VLOOKUP(D779,products!A:D,4,FALSE)</f>
        <v>24000</v>
      </c>
      <c r="I779" s="1" t="str">
        <f>VLOOKUP(C779,branches!A:B,2,FALSE)</f>
        <v>Naija Mart Wuse</v>
      </c>
      <c r="J779" s="1">
        <f t="shared" si="24"/>
        <v>50400</v>
      </c>
      <c r="K779" s="1" t="str">
        <f>VLOOKUP(D779,products!A:D,2,FALSE)</f>
        <v>Home Appliances</v>
      </c>
      <c r="L779" s="1" t="str">
        <f t="shared" si="25"/>
        <v>Dec-2025</v>
      </c>
    </row>
    <row r="780" spans="1:12" x14ac:dyDescent="0.25">
      <c r="A780" s="3" t="s">
        <v>1025</v>
      </c>
      <c r="B780" s="6">
        <v>45988</v>
      </c>
      <c r="C780" s="3" t="s">
        <v>12</v>
      </c>
      <c r="D780" s="3" t="s">
        <v>94</v>
      </c>
      <c r="E780" s="3" t="s">
        <v>182</v>
      </c>
      <c r="F780" s="3">
        <v>1</v>
      </c>
      <c r="G780" s="3">
        <v>10</v>
      </c>
      <c r="H780" s="1">
        <f>VLOOKUP(D780,products!A:D,4,FALSE)</f>
        <v>320000</v>
      </c>
      <c r="I780" s="1" t="str">
        <f>VLOOKUP(C780,branches!A:B,2,FALSE)</f>
        <v>Naija Mart Wuse</v>
      </c>
      <c r="J780" s="1">
        <f t="shared" si="24"/>
        <v>288000</v>
      </c>
      <c r="K780" s="1" t="str">
        <f>VLOOKUP(D780,products!A:D,2,FALSE)</f>
        <v>Electronics</v>
      </c>
      <c r="L780" s="1" t="str">
        <f t="shared" si="25"/>
        <v>Nov-2025</v>
      </c>
    </row>
    <row r="781" spans="1:12" x14ac:dyDescent="0.25">
      <c r="A781" s="3" t="s">
        <v>1026</v>
      </c>
      <c r="B781" s="6">
        <v>45751</v>
      </c>
      <c r="C781" s="3" t="s">
        <v>12</v>
      </c>
      <c r="D781" s="3" t="s">
        <v>258</v>
      </c>
      <c r="E781" s="3" t="s">
        <v>108</v>
      </c>
      <c r="F781" s="3">
        <v>2</v>
      </c>
      <c r="G781" s="3">
        <v>0</v>
      </c>
      <c r="H781" s="1">
        <f>VLOOKUP(D781,products!A:D,4,FALSE)</f>
        <v>95000</v>
      </c>
      <c r="I781" s="1" t="str">
        <f>VLOOKUP(C781,branches!A:B,2,FALSE)</f>
        <v>Naija Mart Wuse</v>
      </c>
      <c r="J781" s="1">
        <f t="shared" si="24"/>
        <v>190000</v>
      </c>
      <c r="K781" s="1" t="str">
        <f>VLOOKUP(D781,products!A:D,2,FALSE)</f>
        <v>Electronics</v>
      </c>
      <c r="L781" s="1" t="str">
        <f t="shared" si="25"/>
        <v>Apr-2025</v>
      </c>
    </row>
    <row r="782" spans="1:12" x14ac:dyDescent="0.25">
      <c r="A782" s="3" t="s">
        <v>1027</v>
      </c>
      <c r="B782" s="6">
        <v>45915</v>
      </c>
      <c r="C782" s="3" t="s">
        <v>36</v>
      </c>
      <c r="D782" s="3" t="s">
        <v>69</v>
      </c>
      <c r="E782" s="3" t="s">
        <v>547</v>
      </c>
      <c r="F782" s="3">
        <v>5</v>
      </c>
      <c r="G782" s="3">
        <v>0</v>
      </c>
      <c r="H782" s="1">
        <f>VLOOKUP(D782,products!A:D,4,FALSE)</f>
        <v>45000</v>
      </c>
      <c r="I782" s="1" t="str">
        <f>VLOOKUP(C782,branches!A:B,2,FALSE)</f>
        <v>Naija Mart Sabon Gari</v>
      </c>
      <c r="J782" s="1">
        <f t="shared" si="24"/>
        <v>225000</v>
      </c>
      <c r="K782" s="1" t="str">
        <f>VLOOKUP(D782,products!A:D,2,FALSE)</f>
        <v>Electronics</v>
      </c>
      <c r="L782" s="1" t="str">
        <f t="shared" si="25"/>
        <v>Sep-2025</v>
      </c>
    </row>
    <row r="783" spans="1:12" x14ac:dyDescent="0.25">
      <c r="A783" s="3" t="s">
        <v>1028</v>
      </c>
      <c r="B783" s="6">
        <v>45822</v>
      </c>
      <c r="C783" s="3" t="s">
        <v>8</v>
      </c>
      <c r="D783" s="3" t="s">
        <v>37</v>
      </c>
      <c r="E783" s="3" t="s">
        <v>72</v>
      </c>
      <c r="F783" s="3">
        <v>1</v>
      </c>
      <c r="G783" s="3">
        <v>0</v>
      </c>
      <c r="H783" s="1">
        <f>VLOOKUP(D783,products!A:D,4,FALSE)</f>
        <v>8500</v>
      </c>
      <c r="I783" s="1" t="str">
        <f>VLOOKUP(C783,branches!A:B,2,FALSE)</f>
        <v>Naija Mart GRA</v>
      </c>
      <c r="J783" s="1">
        <f t="shared" si="24"/>
        <v>8500</v>
      </c>
      <c r="K783" s="1" t="str">
        <f>VLOOKUP(D783,products!A:D,2,FALSE)</f>
        <v>Small Gadgets</v>
      </c>
      <c r="L783" s="1" t="str">
        <f t="shared" si="25"/>
        <v>Jun-2025</v>
      </c>
    </row>
    <row r="784" spans="1:12" x14ac:dyDescent="0.25">
      <c r="A784" s="3" t="s">
        <v>1029</v>
      </c>
      <c r="B784" s="6">
        <v>45920</v>
      </c>
      <c r="C784" s="3" t="s">
        <v>8</v>
      </c>
      <c r="D784" s="3" t="s">
        <v>51</v>
      </c>
      <c r="E784" s="3" t="s">
        <v>861</v>
      </c>
      <c r="F784" s="3">
        <v>2</v>
      </c>
      <c r="G784" s="3">
        <v>0</v>
      </c>
      <c r="H784" s="1">
        <f>VLOOKUP(D784,products!A:D,4,FALSE)</f>
        <v>18000</v>
      </c>
      <c r="I784" s="1" t="str">
        <f>VLOOKUP(C784,branches!A:B,2,FALSE)</f>
        <v>Naija Mart GRA</v>
      </c>
      <c r="J784" s="1">
        <f t="shared" si="24"/>
        <v>36000</v>
      </c>
      <c r="K784" s="1" t="str">
        <f>VLOOKUP(D784,products!A:D,2,FALSE)</f>
        <v>Small Gadgets</v>
      </c>
      <c r="L784" s="1" t="str">
        <f t="shared" si="25"/>
        <v>Sep-2025</v>
      </c>
    </row>
    <row r="785" spans="1:12" x14ac:dyDescent="0.25">
      <c r="A785" s="3" t="s">
        <v>1030</v>
      </c>
      <c r="B785" s="6">
        <v>45766</v>
      </c>
      <c r="C785" s="3" t="s">
        <v>36</v>
      </c>
      <c r="D785" s="3" t="s">
        <v>37</v>
      </c>
      <c r="E785" s="3" t="s">
        <v>405</v>
      </c>
      <c r="F785" s="3">
        <v>1</v>
      </c>
      <c r="G785" s="3">
        <v>10</v>
      </c>
      <c r="H785" s="1">
        <f>VLOOKUP(D785,products!A:D,4,FALSE)</f>
        <v>8500</v>
      </c>
      <c r="I785" s="1" t="str">
        <f>VLOOKUP(C785,branches!A:B,2,FALSE)</f>
        <v>Naija Mart Sabon Gari</v>
      </c>
      <c r="J785" s="1">
        <f t="shared" si="24"/>
        <v>7650</v>
      </c>
      <c r="K785" s="1" t="str">
        <f>VLOOKUP(D785,products!A:D,2,FALSE)</f>
        <v>Small Gadgets</v>
      </c>
      <c r="L785" s="1" t="str">
        <f t="shared" si="25"/>
        <v>Apr-2025</v>
      </c>
    </row>
    <row r="786" spans="1:12" x14ac:dyDescent="0.25">
      <c r="A786" s="3" t="s">
        <v>1031</v>
      </c>
      <c r="B786" s="6">
        <v>45923</v>
      </c>
      <c r="C786" s="3" t="s">
        <v>12</v>
      </c>
      <c r="D786" s="3" t="s">
        <v>51</v>
      </c>
      <c r="E786" s="3" t="s">
        <v>81</v>
      </c>
      <c r="F786" s="3">
        <v>1</v>
      </c>
      <c r="G786" s="3">
        <v>0</v>
      </c>
      <c r="H786" s="1">
        <f>VLOOKUP(D786,products!A:D,4,FALSE)</f>
        <v>18000</v>
      </c>
      <c r="I786" s="1" t="str">
        <f>VLOOKUP(C786,branches!A:B,2,FALSE)</f>
        <v>Naija Mart Wuse</v>
      </c>
      <c r="J786" s="1">
        <f t="shared" si="24"/>
        <v>18000</v>
      </c>
      <c r="K786" s="1" t="str">
        <f>VLOOKUP(D786,products!A:D,2,FALSE)</f>
        <v>Small Gadgets</v>
      </c>
      <c r="L786" s="1" t="str">
        <f t="shared" si="25"/>
        <v>Sep-2025</v>
      </c>
    </row>
    <row r="787" spans="1:12" x14ac:dyDescent="0.25">
      <c r="A787" s="3" t="s">
        <v>1032</v>
      </c>
      <c r="B787" s="6">
        <v>46014</v>
      </c>
      <c r="C787" s="3" t="s">
        <v>16</v>
      </c>
      <c r="D787" s="3" t="s">
        <v>37</v>
      </c>
      <c r="E787" s="3" t="s">
        <v>477</v>
      </c>
      <c r="F787" s="3">
        <v>1</v>
      </c>
      <c r="G787" s="3">
        <v>15</v>
      </c>
      <c r="H787" s="1">
        <f>VLOOKUP(D787,products!A:D,4,FALSE)</f>
        <v>8500</v>
      </c>
      <c r="I787" s="1" t="str">
        <f>VLOOKUP(C787,branches!A:B,2,FALSE)</f>
        <v>Naija Mart Ikeja</v>
      </c>
      <c r="J787" s="1">
        <f t="shared" si="24"/>
        <v>7225</v>
      </c>
      <c r="K787" s="1" t="str">
        <f>VLOOKUP(D787,products!A:D,2,FALSE)</f>
        <v>Small Gadgets</v>
      </c>
      <c r="L787" s="1" t="str">
        <f t="shared" si="25"/>
        <v>Dec-2025</v>
      </c>
    </row>
    <row r="788" spans="1:12" x14ac:dyDescent="0.25">
      <c r="A788" s="3" t="s">
        <v>1033</v>
      </c>
      <c r="B788" s="6">
        <v>45928</v>
      </c>
      <c r="C788" s="3" t="s">
        <v>12</v>
      </c>
      <c r="D788" s="3" t="s">
        <v>46</v>
      </c>
      <c r="E788" s="3" t="s">
        <v>263</v>
      </c>
      <c r="F788" s="3">
        <v>2</v>
      </c>
      <c r="G788" s="3">
        <v>0</v>
      </c>
      <c r="H788" s="1">
        <f>VLOOKUP(D788,products!A:D,4,FALSE)</f>
        <v>62000</v>
      </c>
      <c r="I788" s="1" t="str">
        <f>VLOOKUP(C788,branches!A:B,2,FALSE)</f>
        <v>Naija Mart Wuse</v>
      </c>
      <c r="J788" s="1">
        <f t="shared" si="24"/>
        <v>124000</v>
      </c>
      <c r="K788" s="1" t="str">
        <f>VLOOKUP(D788,products!A:D,2,FALSE)</f>
        <v>Home Appliances</v>
      </c>
      <c r="L788" s="1" t="str">
        <f t="shared" si="25"/>
        <v>Sep-2025</v>
      </c>
    </row>
    <row r="789" spans="1:12" x14ac:dyDescent="0.25">
      <c r="A789" s="3" t="s">
        <v>1034</v>
      </c>
      <c r="B789" s="6">
        <v>45715</v>
      </c>
      <c r="C789" s="3" t="s">
        <v>12</v>
      </c>
      <c r="D789" s="3" t="s">
        <v>149</v>
      </c>
      <c r="E789" s="3" t="s">
        <v>454</v>
      </c>
      <c r="F789" s="3">
        <v>5</v>
      </c>
      <c r="G789" s="3">
        <v>0</v>
      </c>
      <c r="H789" s="1">
        <f>VLOOKUP(D789,products!A:D,4,FALSE)</f>
        <v>6500</v>
      </c>
      <c r="I789" s="1" t="str">
        <f>VLOOKUP(C789,branches!A:B,2,FALSE)</f>
        <v>Naija Mart Wuse</v>
      </c>
      <c r="J789" s="1">
        <f t="shared" si="24"/>
        <v>32500</v>
      </c>
      <c r="K789" s="1" t="str">
        <f>VLOOKUP(D789,products!A:D,2,FALSE)</f>
        <v>Small Gadgets</v>
      </c>
      <c r="L789" s="1" t="str">
        <f t="shared" si="25"/>
        <v>Feb-2025</v>
      </c>
    </row>
    <row r="790" spans="1:12" x14ac:dyDescent="0.25">
      <c r="A790" s="3" t="s">
        <v>1035</v>
      </c>
      <c r="B790" s="6">
        <v>45958</v>
      </c>
      <c r="C790" s="3" t="s">
        <v>16</v>
      </c>
      <c r="D790" s="3" t="s">
        <v>37</v>
      </c>
      <c r="E790" s="3" t="s">
        <v>21</v>
      </c>
      <c r="F790" s="3">
        <v>1</v>
      </c>
      <c r="G790" s="3">
        <v>0</v>
      </c>
      <c r="H790" s="1">
        <f>VLOOKUP(D790,products!A:D,4,FALSE)</f>
        <v>8500</v>
      </c>
      <c r="I790" s="1" t="str">
        <f>VLOOKUP(C790,branches!A:B,2,FALSE)</f>
        <v>Naija Mart Ikeja</v>
      </c>
      <c r="J790" s="1">
        <f t="shared" si="24"/>
        <v>8500</v>
      </c>
      <c r="K790" s="1" t="str">
        <f>VLOOKUP(D790,products!A:D,2,FALSE)</f>
        <v>Small Gadgets</v>
      </c>
      <c r="L790" s="1" t="str">
        <f t="shared" si="25"/>
        <v>Oct-2025</v>
      </c>
    </row>
    <row r="791" spans="1:12" x14ac:dyDescent="0.25">
      <c r="A791" s="3" t="s">
        <v>1036</v>
      </c>
      <c r="B791" s="6">
        <v>45727</v>
      </c>
      <c r="C791" s="3" t="s">
        <v>12</v>
      </c>
      <c r="D791" s="3" t="s">
        <v>9</v>
      </c>
      <c r="E791" s="3" t="s">
        <v>83</v>
      </c>
      <c r="F791" s="3">
        <v>1</v>
      </c>
      <c r="G791" s="3">
        <v>5</v>
      </c>
      <c r="H791" s="1">
        <f>VLOOKUP(D791,products!A:D,4,FALSE)</f>
        <v>410000</v>
      </c>
      <c r="I791" s="1" t="str">
        <f>VLOOKUP(C791,branches!A:B,2,FALSE)</f>
        <v>Naija Mart Wuse</v>
      </c>
      <c r="J791" s="1">
        <f t="shared" si="24"/>
        <v>389500</v>
      </c>
      <c r="K791" s="1" t="str">
        <f>VLOOKUP(D791,products!A:D,2,FALSE)</f>
        <v>Home Appliances</v>
      </c>
      <c r="L791" s="1" t="str">
        <f t="shared" si="25"/>
        <v>Mar-2025</v>
      </c>
    </row>
    <row r="792" spans="1:12" x14ac:dyDescent="0.25">
      <c r="A792" s="3" t="s">
        <v>1037</v>
      </c>
      <c r="B792" s="6">
        <v>45660</v>
      </c>
      <c r="C792" s="3" t="s">
        <v>12</v>
      </c>
      <c r="D792" s="3" t="s">
        <v>94</v>
      </c>
      <c r="E792" s="3" t="s">
        <v>243</v>
      </c>
      <c r="F792" s="3">
        <v>1</v>
      </c>
      <c r="G792" s="3">
        <v>10</v>
      </c>
      <c r="H792" s="1">
        <f>VLOOKUP(D792,products!A:D,4,FALSE)</f>
        <v>320000</v>
      </c>
      <c r="I792" s="1" t="str">
        <f>VLOOKUP(C792,branches!A:B,2,FALSE)</f>
        <v>Naija Mart Wuse</v>
      </c>
      <c r="J792" s="1">
        <f t="shared" si="24"/>
        <v>288000</v>
      </c>
      <c r="K792" s="1" t="str">
        <f>VLOOKUP(D792,products!A:D,2,FALSE)</f>
        <v>Electronics</v>
      </c>
      <c r="L792" s="1" t="str">
        <f t="shared" si="25"/>
        <v>Jan-2025</v>
      </c>
    </row>
    <row r="793" spans="1:12" x14ac:dyDescent="0.25">
      <c r="A793" s="3" t="s">
        <v>1038</v>
      </c>
      <c r="B793" s="6">
        <v>45829</v>
      </c>
      <c r="C793" s="3" t="s">
        <v>12</v>
      </c>
      <c r="D793" s="3" t="s">
        <v>94</v>
      </c>
      <c r="E793" s="3" t="s">
        <v>78</v>
      </c>
      <c r="F793" s="3">
        <v>5</v>
      </c>
      <c r="G793" s="3">
        <v>5</v>
      </c>
      <c r="H793" s="1">
        <f>VLOOKUP(D793,products!A:D,4,FALSE)</f>
        <v>320000</v>
      </c>
      <c r="I793" s="1" t="str">
        <f>VLOOKUP(C793,branches!A:B,2,FALSE)</f>
        <v>Naija Mart Wuse</v>
      </c>
      <c r="J793" s="1">
        <f t="shared" si="24"/>
        <v>1520000</v>
      </c>
      <c r="K793" s="1" t="str">
        <f>VLOOKUP(D793,products!A:D,2,FALSE)</f>
        <v>Electronics</v>
      </c>
      <c r="L793" s="1" t="str">
        <f t="shared" si="25"/>
        <v>Jun-2025</v>
      </c>
    </row>
    <row r="794" spans="1:12" x14ac:dyDescent="0.25">
      <c r="A794" s="3" t="s">
        <v>1039</v>
      </c>
      <c r="B794" s="6">
        <v>45728</v>
      </c>
      <c r="C794" s="3" t="s">
        <v>8</v>
      </c>
      <c r="D794" s="3" t="s">
        <v>64</v>
      </c>
      <c r="E794" s="3" t="s">
        <v>219</v>
      </c>
      <c r="F794" s="3">
        <v>1</v>
      </c>
      <c r="G794" s="3">
        <v>5</v>
      </c>
      <c r="H794" s="1">
        <f>VLOOKUP(D794,products!A:D,4,FALSE)</f>
        <v>175000</v>
      </c>
      <c r="I794" s="1" t="str">
        <f>VLOOKUP(C794,branches!A:B,2,FALSE)</f>
        <v>Naija Mart GRA</v>
      </c>
      <c r="J794" s="1">
        <f t="shared" si="24"/>
        <v>166250</v>
      </c>
      <c r="K794" s="1" t="str">
        <f>VLOOKUP(D794,products!A:D,2,FALSE)</f>
        <v>Generators &amp; Power</v>
      </c>
      <c r="L794" s="1" t="str">
        <f t="shared" si="25"/>
        <v>Mar-2025</v>
      </c>
    </row>
    <row r="795" spans="1:12" x14ac:dyDescent="0.25">
      <c r="A795" s="3" t="s">
        <v>1040</v>
      </c>
      <c r="B795" s="6">
        <v>45928</v>
      </c>
      <c r="C795" s="3" t="s">
        <v>16</v>
      </c>
      <c r="D795" s="3" t="s">
        <v>126</v>
      </c>
      <c r="E795" s="3" t="s">
        <v>459</v>
      </c>
      <c r="F795" s="3">
        <v>5</v>
      </c>
      <c r="G795" s="3">
        <v>15</v>
      </c>
      <c r="H795" s="1">
        <f>VLOOKUP(D795,products!A:D,4,FALSE)</f>
        <v>185000</v>
      </c>
      <c r="I795" s="1" t="str">
        <f>VLOOKUP(C795,branches!A:B,2,FALSE)</f>
        <v>Naija Mart Ikeja</v>
      </c>
      <c r="J795" s="1">
        <f t="shared" si="24"/>
        <v>786250</v>
      </c>
      <c r="K795" s="1" t="str">
        <f>VLOOKUP(D795,products!A:D,2,FALSE)</f>
        <v>Electronics</v>
      </c>
      <c r="L795" s="1" t="str">
        <f t="shared" si="25"/>
        <v>Sep-2025</v>
      </c>
    </row>
    <row r="796" spans="1:12" x14ac:dyDescent="0.25">
      <c r="A796" s="3" t="s">
        <v>1041</v>
      </c>
      <c r="B796" s="6">
        <v>45731</v>
      </c>
      <c r="C796" s="3" t="s">
        <v>8</v>
      </c>
      <c r="D796" s="3" t="s">
        <v>59</v>
      </c>
      <c r="E796" s="3" t="s">
        <v>597</v>
      </c>
      <c r="F796" s="3">
        <v>1</v>
      </c>
      <c r="G796" s="3">
        <v>15</v>
      </c>
      <c r="H796" s="1">
        <f>VLOOKUP(D796,products!A:D,4,FALSE)</f>
        <v>15000</v>
      </c>
      <c r="I796" s="1" t="str">
        <f>VLOOKUP(C796,branches!A:B,2,FALSE)</f>
        <v>Naija Mart GRA</v>
      </c>
      <c r="J796" s="1">
        <f t="shared" si="24"/>
        <v>12750</v>
      </c>
      <c r="K796" s="1" t="str">
        <f>VLOOKUP(D796,products!A:D,2,FALSE)</f>
        <v>Home Appliances</v>
      </c>
      <c r="L796" s="1" t="str">
        <f t="shared" si="25"/>
        <v>Mar-2025</v>
      </c>
    </row>
    <row r="797" spans="1:12" x14ac:dyDescent="0.25">
      <c r="A797" s="3" t="s">
        <v>1042</v>
      </c>
      <c r="B797" s="6">
        <v>45980</v>
      </c>
      <c r="C797" s="3" t="s">
        <v>36</v>
      </c>
      <c r="D797" s="3" t="s">
        <v>149</v>
      </c>
      <c r="E797" s="3" t="s">
        <v>398</v>
      </c>
      <c r="F797" s="3">
        <v>1</v>
      </c>
      <c r="G797" s="3">
        <v>0</v>
      </c>
      <c r="H797" s="1">
        <f>VLOOKUP(D797,products!A:D,4,FALSE)</f>
        <v>6500</v>
      </c>
      <c r="I797" s="1" t="str">
        <f>VLOOKUP(C797,branches!A:B,2,FALSE)</f>
        <v>Naija Mart Sabon Gari</v>
      </c>
      <c r="J797" s="1">
        <f t="shared" si="24"/>
        <v>6500</v>
      </c>
      <c r="K797" s="1" t="str">
        <f>VLOOKUP(D797,products!A:D,2,FALSE)</f>
        <v>Small Gadgets</v>
      </c>
      <c r="L797" s="1" t="str">
        <f t="shared" si="25"/>
        <v>Nov-2025</v>
      </c>
    </row>
    <row r="798" spans="1:12" x14ac:dyDescent="0.25">
      <c r="A798" s="3" t="s">
        <v>1043</v>
      </c>
      <c r="B798" s="6">
        <v>45833</v>
      </c>
      <c r="C798" s="3" t="s">
        <v>16</v>
      </c>
      <c r="D798" s="3" t="s">
        <v>49</v>
      </c>
      <c r="E798" s="3" t="s">
        <v>38</v>
      </c>
      <c r="F798" s="3">
        <v>1</v>
      </c>
      <c r="G798" s="3">
        <v>0</v>
      </c>
      <c r="H798" s="1">
        <f>VLOOKUP(D798,products!A:D,4,FALSE)</f>
        <v>28000</v>
      </c>
      <c r="I798" s="1" t="str">
        <f>VLOOKUP(C798,branches!A:B,2,FALSE)</f>
        <v>Naija Mart Ikeja</v>
      </c>
      <c r="J798" s="1">
        <f t="shared" si="24"/>
        <v>28000</v>
      </c>
      <c r="K798" s="1" t="str">
        <f>VLOOKUP(D798,products!A:D,2,FALSE)</f>
        <v>Home Appliances</v>
      </c>
      <c r="L798" s="1" t="str">
        <f t="shared" si="25"/>
        <v>Jun-2025</v>
      </c>
    </row>
    <row r="799" spans="1:12" x14ac:dyDescent="0.25">
      <c r="A799" s="3" t="s">
        <v>1044</v>
      </c>
      <c r="B799" s="6">
        <v>45852</v>
      </c>
      <c r="C799" s="3" t="s">
        <v>12</v>
      </c>
      <c r="D799" s="3" t="s">
        <v>64</v>
      </c>
      <c r="E799" s="3" t="s">
        <v>400</v>
      </c>
      <c r="F799" s="3">
        <v>1</v>
      </c>
      <c r="G799" s="3">
        <v>5</v>
      </c>
      <c r="H799" s="1">
        <f>VLOOKUP(D799,products!A:D,4,FALSE)</f>
        <v>175000</v>
      </c>
      <c r="I799" s="1" t="str">
        <f>VLOOKUP(C799,branches!A:B,2,FALSE)</f>
        <v>Naija Mart Wuse</v>
      </c>
      <c r="J799" s="1">
        <f t="shared" si="24"/>
        <v>166250</v>
      </c>
      <c r="K799" s="1" t="str">
        <f>VLOOKUP(D799,products!A:D,2,FALSE)</f>
        <v>Generators &amp; Power</v>
      </c>
      <c r="L799" s="1" t="str">
        <f t="shared" si="25"/>
        <v>Jul-2025</v>
      </c>
    </row>
    <row r="800" spans="1:12" x14ac:dyDescent="0.25">
      <c r="A800" s="3" t="s">
        <v>1045</v>
      </c>
      <c r="B800" s="6">
        <v>45732</v>
      </c>
      <c r="C800" s="3" t="s">
        <v>12</v>
      </c>
      <c r="D800" s="3" t="s">
        <v>80</v>
      </c>
      <c r="E800" s="3" t="s">
        <v>180</v>
      </c>
      <c r="F800" s="3">
        <v>1</v>
      </c>
      <c r="G800" s="3">
        <v>0</v>
      </c>
      <c r="H800" s="1">
        <f>VLOOKUP(D800,products!A:D,4,FALSE)</f>
        <v>265000</v>
      </c>
      <c r="I800" s="1" t="str">
        <f>VLOOKUP(C800,branches!A:B,2,FALSE)</f>
        <v>Naija Mart Wuse</v>
      </c>
      <c r="J800" s="1">
        <f t="shared" si="24"/>
        <v>265000</v>
      </c>
      <c r="K800" s="1" t="str">
        <f>VLOOKUP(D800,products!A:D,2,FALSE)</f>
        <v>Home Appliances</v>
      </c>
      <c r="L800" s="1" t="str">
        <f t="shared" si="25"/>
        <v>Mar-2025</v>
      </c>
    </row>
    <row r="801" spans="1:12" x14ac:dyDescent="0.25">
      <c r="A801" s="3" t="s">
        <v>1046</v>
      </c>
      <c r="B801" s="6">
        <v>45944</v>
      </c>
      <c r="C801" s="3" t="s">
        <v>16</v>
      </c>
      <c r="D801" s="3" t="s">
        <v>33</v>
      </c>
      <c r="E801" s="3" t="s">
        <v>141</v>
      </c>
      <c r="F801" s="3">
        <v>2</v>
      </c>
      <c r="G801" s="3">
        <v>0</v>
      </c>
      <c r="H801" s="1">
        <f>VLOOKUP(D801,products!A:D,4,FALSE)</f>
        <v>245000</v>
      </c>
      <c r="I801" s="1" t="str">
        <f>VLOOKUP(C801,branches!A:B,2,FALSE)</f>
        <v>Naija Mart Ikeja</v>
      </c>
      <c r="J801" s="1">
        <f t="shared" si="24"/>
        <v>490000</v>
      </c>
      <c r="K801" s="1" t="str">
        <f>VLOOKUP(D801,products!A:D,2,FALSE)</f>
        <v>Generators &amp; Power</v>
      </c>
      <c r="L801" s="1" t="str">
        <f t="shared" si="25"/>
        <v>Oct-2025</v>
      </c>
    </row>
    <row r="802" spans="1:12" x14ac:dyDescent="0.25">
      <c r="A802" s="3" t="s">
        <v>1047</v>
      </c>
      <c r="B802" s="6">
        <v>45886</v>
      </c>
      <c r="C802" s="3" t="s">
        <v>36</v>
      </c>
      <c r="D802" s="3" t="s">
        <v>49</v>
      </c>
      <c r="E802" s="3" t="s">
        <v>809</v>
      </c>
      <c r="F802" s="3">
        <v>1</v>
      </c>
      <c r="G802" s="3">
        <v>0</v>
      </c>
      <c r="H802" s="1">
        <f>VLOOKUP(D802,products!A:D,4,FALSE)</f>
        <v>28000</v>
      </c>
      <c r="I802" s="1" t="str">
        <f>VLOOKUP(C802,branches!A:B,2,FALSE)</f>
        <v>Naija Mart Sabon Gari</v>
      </c>
      <c r="J802" s="1">
        <f t="shared" si="24"/>
        <v>28000</v>
      </c>
      <c r="K802" s="1" t="str">
        <f>VLOOKUP(D802,products!A:D,2,FALSE)</f>
        <v>Home Appliances</v>
      </c>
      <c r="L802" s="1" t="str">
        <f t="shared" si="25"/>
        <v>Aug-2025</v>
      </c>
    </row>
    <row r="803" spans="1:12" x14ac:dyDescent="0.25">
      <c r="A803" s="3" t="s">
        <v>1048</v>
      </c>
      <c r="B803" s="6">
        <v>45873</v>
      </c>
      <c r="C803" s="3" t="s">
        <v>8</v>
      </c>
      <c r="D803" s="3" t="s">
        <v>33</v>
      </c>
      <c r="E803" s="3" t="s">
        <v>100</v>
      </c>
      <c r="F803" s="3">
        <v>1</v>
      </c>
      <c r="G803" s="3">
        <v>0</v>
      </c>
      <c r="H803" s="1">
        <f>VLOOKUP(D803,products!A:D,4,FALSE)</f>
        <v>245000</v>
      </c>
      <c r="I803" s="1" t="str">
        <f>VLOOKUP(C803,branches!A:B,2,FALSE)</f>
        <v>Naija Mart GRA</v>
      </c>
      <c r="J803" s="1">
        <f t="shared" si="24"/>
        <v>245000</v>
      </c>
      <c r="K803" s="1" t="str">
        <f>VLOOKUP(D803,products!A:D,2,FALSE)</f>
        <v>Generators &amp; Power</v>
      </c>
      <c r="L803" s="1" t="str">
        <f t="shared" si="25"/>
        <v>Aug-2025</v>
      </c>
    </row>
    <row r="804" spans="1:12" x14ac:dyDescent="0.25">
      <c r="A804" s="3" t="s">
        <v>1049</v>
      </c>
      <c r="B804" s="6">
        <v>45855</v>
      </c>
      <c r="C804" s="3" t="s">
        <v>16</v>
      </c>
      <c r="D804" s="3" t="s">
        <v>43</v>
      </c>
      <c r="E804" s="3" t="s">
        <v>288</v>
      </c>
      <c r="F804" s="3">
        <v>1</v>
      </c>
      <c r="G804" s="3">
        <v>0</v>
      </c>
      <c r="H804" s="1">
        <f>VLOOKUP(D804,products!A:D,4,FALSE)</f>
        <v>74000</v>
      </c>
      <c r="I804" s="1" t="str">
        <f>VLOOKUP(C804,branches!A:B,2,FALSE)</f>
        <v>Naija Mart Ikeja</v>
      </c>
      <c r="J804" s="1">
        <f t="shared" si="24"/>
        <v>74000</v>
      </c>
      <c r="K804" s="1" t="str">
        <f>VLOOKUP(D804,products!A:D,2,FALSE)</f>
        <v>Home Appliances</v>
      </c>
      <c r="L804" s="1" t="str">
        <f t="shared" si="25"/>
        <v>Jul-2025</v>
      </c>
    </row>
    <row r="805" spans="1:12" x14ac:dyDescent="0.25">
      <c r="A805" s="3" t="s">
        <v>1050</v>
      </c>
      <c r="B805" s="6">
        <v>45907</v>
      </c>
      <c r="C805" s="3" t="s">
        <v>16</v>
      </c>
      <c r="D805" s="3" t="s">
        <v>46</v>
      </c>
      <c r="E805" s="3" t="s">
        <v>766</v>
      </c>
      <c r="F805" s="3">
        <v>1</v>
      </c>
      <c r="G805" s="3">
        <v>15</v>
      </c>
      <c r="H805" s="1">
        <f>VLOOKUP(D805,products!A:D,4,FALSE)</f>
        <v>62000</v>
      </c>
      <c r="I805" s="1" t="str">
        <f>VLOOKUP(C805,branches!A:B,2,FALSE)</f>
        <v>Naija Mart Ikeja</v>
      </c>
      <c r="J805" s="1">
        <f t="shared" si="24"/>
        <v>52700</v>
      </c>
      <c r="K805" s="1" t="str">
        <f>VLOOKUP(D805,products!A:D,2,FALSE)</f>
        <v>Home Appliances</v>
      </c>
      <c r="L805" s="1" t="str">
        <f t="shared" si="25"/>
        <v>Sep-2025</v>
      </c>
    </row>
    <row r="806" spans="1:12" x14ac:dyDescent="0.25">
      <c r="A806" s="3" t="s">
        <v>1051</v>
      </c>
      <c r="B806" s="6">
        <v>46006</v>
      </c>
      <c r="C806" s="3" t="s">
        <v>16</v>
      </c>
      <c r="D806" s="3" t="s">
        <v>13</v>
      </c>
      <c r="E806" s="3" t="s">
        <v>293</v>
      </c>
      <c r="F806" s="3">
        <v>1</v>
      </c>
      <c r="G806" s="3">
        <v>5</v>
      </c>
      <c r="H806" s="1">
        <f>VLOOKUP(D806,products!A:D,4,FALSE)</f>
        <v>24000</v>
      </c>
      <c r="I806" s="1" t="str">
        <f>VLOOKUP(C806,branches!A:B,2,FALSE)</f>
        <v>Naija Mart Ikeja</v>
      </c>
      <c r="J806" s="1">
        <f t="shared" si="24"/>
        <v>22800</v>
      </c>
      <c r="K806" s="1" t="str">
        <f>VLOOKUP(D806,products!A:D,2,FALSE)</f>
        <v>Home Appliances</v>
      </c>
      <c r="L806" s="1" t="str">
        <f t="shared" si="25"/>
        <v>Dec-2025</v>
      </c>
    </row>
    <row r="807" spans="1:12" x14ac:dyDescent="0.25">
      <c r="A807" s="3" t="s">
        <v>1052</v>
      </c>
      <c r="B807" s="6">
        <v>45672</v>
      </c>
      <c r="C807" s="3" t="s">
        <v>36</v>
      </c>
      <c r="D807" s="3" t="s">
        <v>80</v>
      </c>
      <c r="E807" s="3" t="s">
        <v>122</v>
      </c>
      <c r="F807" s="3">
        <v>1</v>
      </c>
      <c r="G807" s="3">
        <v>0</v>
      </c>
      <c r="H807" s="1">
        <f>VLOOKUP(D807,products!A:D,4,FALSE)</f>
        <v>265000</v>
      </c>
      <c r="I807" s="1" t="str">
        <f>VLOOKUP(C807,branches!A:B,2,FALSE)</f>
        <v>Naija Mart Sabon Gari</v>
      </c>
      <c r="J807" s="1">
        <f t="shared" si="24"/>
        <v>265000</v>
      </c>
      <c r="K807" s="1" t="str">
        <f>VLOOKUP(D807,products!A:D,2,FALSE)</f>
        <v>Home Appliances</v>
      </c>
      <c r="L807" s="1" t="str">
        <f t="shared" si="25"/>
        <v>Jan-2025</v>
      </c>
    </row>
    <row r="808" spans="1:12" x14ac:dyDescent="0.25">
      <c r="A808" s="3" t="s">
        <v>1053</v>
      </c>
      <c r="B808" s="6">
        <v>45978</v>
      </c>
      <c r="C808" s="3" t="s">
        <v>36</v>
      </c>
      <c r="D808" s="3" t="s">
        <v>9</v>
      </c>
      <c r="E808" s="3" t="s">
        <v>346</v>
      </c>
      <c r="F808" s="3">
        <v>1</v>
      </c>
      <c r="G808" s="3">
        <v>0</v>
      </c>
      <c r="H808" s="1">
        <f>VLOOKUP(D808,products!A:D,4,FALSE)</f>
        <v>410000</v>
      </c>
      <c r="I808" s="1" t="str">
        <f>VLOOKUP(C808,branches!A:B,2,FALSE)</f>
        <v>Naija Mart Sabon Gari</v>
      </c>
      <c r="J808" s="1">
        <f t="shared" si="24"/>
        <v>410000</v>
      </c>
      <c r="K808" s="1" t="str">
        <f>VLOOKUP(D808,products!A:D,2,FALSE)</f>
        <v>Home Appliances</v>
      </c>
      <c r="L808" s="1" t="str">
        <f t="shared" si="25"/>
        <v>Nov-2025</v>
      </c>
    </row>
    <row r="809" spans="1:12" x14ac:dyDescent="0.25">
      <c r="A809" s="3" t="s">
        <v>1054</v>
      </c>
      <c r="B809" s="6">
        <v>45825</v>
      </c>
      <c r="C809" s="3" t="s">
        <v>36</v>
      </c>
      <c r="D809" s="3" t="s">
        <v>97</v>
      </c>
      <c r="E809" s="3" t="s">
        <v>104</v>
      </c>
      <c r="F809" s="3">
        <v>1</v>
      </c>
      <c r="G809" s="3">
        <v>0</v>
      </c>
      <c r="H809" s="1">
        <f>VLOOKUP(D809,products!A:D,4,FALSE)</f>
        <v>21000</v>
      </c>
      <c r="I809" s="1" t="str">
        <f>VLOOKUP(C809,branches!A:B,2,FALSE)</f>
        <v>Naija Mart Sabon Gari</v>
      </c>
      <c r="J809" s="1">
        <f t="shared" si="24"/>
        <v>21000</v>
      </c>
      <c r="K809" s="1" t="str">
        <f>VLOOKUP(D809,products!A:D,2,FALSE)</f>
        <v>Small Gadgets</v>
      </c>
      <c r="L809" s="1" t="str">
        <f t="shared" si="25"/>
        <v>Jun-2025</v>
      </c>
    </row>
    <row r="810" spans="1:12" x14ac:dyDescent="0.25">
      <c r="A810" s="3" t="s">
        <v>1055</v>
      </c>
      <c r="B810" s="6">
        <v>45881</v>
      </c>
      <c r="C810" s="3" t="s">
        <v>16</v>
      </c>
      <c r="D810" s="3" t="s">
        <v>20</v>
      </c>
      <c r="E810" s="3" t="s">
        <v>605</v>
      </c>
      <c r="F810" s="3">
        <v>1</v>
      </c>
      <c r="G810" s="3">
        <v>0</v>
      </c>
      <c r="H810" s="1">
        <f>VLOOKUP(D810,products!A:D,4,FALSE)</f>
        <v>38000</v>
      </c>
      <c r="I810" s="1" t="str">
        <f>VLOOKUP(C810,branches!A:B,2,FALSE)</f>
        <v>Naija Mart Ikeja</v>
      </c>
      <c r="J810" s="1">
        <f t="shared" si="24"/>
        <v>38000</v>
      </c>
      <c r="K810" s="1" t="str">
        <f>VLOOKUP(D810,products!A:D,2,FALSE)</f>
        <v>Electronics</v>
      </c>
      <c r="L810" s="1" t="str">
        <f t="shared" si="25"/>
        <v>Aug-2025</v>
      </c>
    </row>
    <row r="811" spans="1:12" x14ac:dyDescent="0.25">
      <c r="A811" s="3" t="s">
        <v>1056</v>
      </c>
      <c r="B811" s="6">
        <v>45689</v>
      </c>
      <c r="C811" s="3" t="s">
        <v>8</v>
      </c>
      <c r="D811" s="3" t="s">
        <v>91</v>
      </c>
      <c r="E811" s="3" t="s">
        <v>178</v>
      </c>
      <c r="F811" s="3">
        <v>1</v>
      </c>
      <c r="G811" s="3">
        <v>5</v>
      </c>
      <c r="H811" s="1">
        <f>VLOOKUP(D811,products!A:D,4,FALSE)</f>
        <v>5200</v>
      </c>
      <c r="I811" s="1" t="str">
        <f>VLOOKUP(C811,branches!A:B,2,FALSE)</f>
        <v>Naija Mart GRA</v>
      </c>
      <c r="J811" s="1">
        <f t="shared" si="24"/>
        <v>4940</v>
      </c>
      <c r="K811" s="1" t="str">
        <f>VLOOKUP(D811,products!A:D,2,FALSE)</f>
        <v>Small Gadgets</v>
      </c>
      <c r="L811" s="1" t="str">
        <f t="shared" si="25"/>
        <v>Feb-2025</v>
      </c>
    </row>
    <row r="812" spans="1:12" x14ac:dyDescent="0.25">
      <c r="A812" s="3" t="s">
        <v>1057</v>
      </c>
      <c r="B812" s="6">
        <v>45712</v>
      </c>
      <c r="C812" s="3" t="s">
        <v>16</v>
      </c>
      <c r="D812" s="3" t="s">
        <v>33</v>
      </c>
      <c r="E812" s="3" t="s">
        <v>313</v>
      </c>
      <c r="F812" s="3">
        <v>1</v>
      </c>
      <c r="G812" s="3">
        <v>0</v>
      </c>
      <c r="H812" s="1">
        <f>VLOOKUP(D812,products!A:D,4,FALSE)</f>
        <v>245000</v>
      </c>
      <c r="I812" s="1" t="str">
        <f>VLOOKUP(C812,branches!A:B,2,FALSE)</f>
        <v>Naija Mart Ikeja</v>
      </c>
      <c r="J812" s="1">
        <f t="shared" si="24"/>
        <v>245000</v>
      </c>
      <c r="K812" s="1" t="str">
        <f>VLOOKUP(D812,products!A:D,2,FALSE)</f>
        <v>Generators &amp; Power</v>
      </c>
      <c r="L812" s="1" t="str">
        <f t="shared" si="25"/>
        <v>Feb-2025</v>
      </c>
    </row>
    <row r="813" spans="1:12" x14ac:dyDescent="0.25">
      <c r="A813" s="3" t="s">
        <v>1058</v>
      </c>
      <c r="B813" s="6">
        <v>46005</v>
      </c>
      <c r="C813" s="3" t="s">
        <v>36</v>
      </c>
      <c r="D813" s="3" t="s">
        <v>69</v>
      </c>
      <c r="E813" s="3" t="s">
        <v>150</v>
      </c>
      <c r="F813" s="3">
        <v>1</v>
      </c>
      <c r="G813" s="3">
        <v>15</v>
      </c>
      <c r="H813" s="1">
        <f>VLOOKUP(D813,products!A:D,4,FALSE)</f>
        <v>45000</v>
      </c>
      <c r="I813" s="1" t="str">
        <f>VLOOKUP(C813,branches!A:B,2,FALSE)</f>
        <v>Naija Mart Sabon Gari</v>
      </c>
      <c r="J813" s="1">
        <f t="shared" si="24"/>
        <v>38250</v>
      </c>
      <c r="K813" s="1" t="str">
        <f>VLOOKUP(D813,products!A:D,2,FALSE)</f>
        <v>Electronics</v>
      </c>
      <c r="L813" s="1" t="str">
        <f t="shared" si="25"/>
        <v>Dec-2025</v>
      </c>
    </row>
    <row r="814" spans="1:12" x14ac:dyDescent="0.25">
      <c r="A814" s="3" t="s">
        <v>1059</v>
      </c>
      <c r="B814" s="6">
        <v>45976</v>
      </c>
      <c r="C814" s="3" t="s">
        <v>16</v>
      </c>
      <c r="D814" s="3" t="s">
        <v>9</v>
      </c>
      <c r="E814" s="3" t="s">
        <v>733</v>
      </c>
      <c r="F814" s="3">
        <v>1</v>
      </c>
      <c r="G814" s="3">
        <v>0</v>
      </c>
      <c r="H814" s="1">
        <f>VLOOKUP(D814,products!A:D,4,FALSE)</f>
        <v>410000</v>
      </c>
      <c r="I814" s="1" t="str">
        <f>VLOOKUP(C814,branches!A:B,2,FALSE)</f>
        <v>Naija Mart Ikeja</v>
      </c>
      <c r="J814" s="1">
        <f t="shared" si="24"/>
        <v>410000</v>
      </c>
      <c r="K814" s="1" t="str">
        <f>VLOOKUP(D814,products!A:D,2,FALSE)</f>
        <v>Home Appliances</v>
      </c>
      <c r="L814" s="1" t="str">
        <f t="shared" si="25"/>
        <v>Nov-2025</v>
      </c>
    </row>
    <row r="815" spans="1:12" x14ac:dyDescent="0.25">
      <c r="A815" s="3" t="s">
        <v>1060</v>
      </c>
      <c r="B815" s="6">
        <v>45710</v>
      </c>
      <c r="C815" s="3" t="s">
        <v>16</v>
      </c>
      <c r="D815" s="3" t="s">
        <v>26</v>
      </c>
      <c r="E815" s="3" t="s">
        <v>24</v>
      </c>
      <c r="F815" s="3">
        <v>1</v>
      </c>
      <c r="G815" s="3">
        <v>15</v>
      </c>
      <c r="H815" s="1">
        <f>VLOOKUP(D815,products!A:D,4,FALSE)</f>
        <v>145000</v>
      </c>
      <c r="I815" s="1" t="str">
        <f>VLOOKUP(C815,branches!A:B,2,FALSE)</f>
        <v>Naija Mart Ikeja</v>
      </c>
      <c r="J815" s="1">
        <f t="shared" si="24"/>
        <v>123250</v>
      </c>
      <c r="K815" s="1" t="str">
        <f>VLOOKUP(D815,products!A:D,2,FALSE)</f>
        <v>Electronics</v>
      </c>
      <c r="L815" s="1" t="str">
        <f t="shared" si="25"/>
        <v>Feb-2025</v>
      </c>
    </row>
    <row r="816" spans="1:12" x14ac:dyDescent="0.25">
      <c r="A816" s="3" t="s">
        <v>1061</v>
      </c>
      <c r="B816" s="6">
        <v>45863</v>
      </c>
      <c r="C816" s="3" t="s">
        <v>12</v>
      </c>
      <c r="D816" s="3" t="s">
        <v>40</v>
      </c>
      <c r="E816" s="3" t="s">
        <v>52</v>
      </c>
      <c r="F816" s="3">
        <v>1</v>
      </c>
      <c r="G816" s="3">
        <v>0</v>
      </c>
      <c r="H816" s="1">
        <f>VLOOKUP(D816,products!A:D,4,FALSE)</f>
        <v>195000</v>
      </c>
      <c r="I816" s="1" t="str">
        <f>VLOOKUP(C816,branches!A:B,2,FALSE)</f>
        <v>Naija Mart Wuse</v>
      </c>
      <c r="J816" s="1">
        <f t="shared" si="24"/>
        <v>195000</v>
      </c>
      <c r="K816" s="1" t="str">
        <f>VLOOKUP(D816,products!A:D,2,FALSE)</f>
        <v>Generators &amp; Power</v>
      </c>
      <c r="L816" s="1" t="str">
        <f t="shared" si="25"/>
        <v>Jul-2025</v>
      </c>
    </row>
    <row r="817" spans="1:12" x14ac:dyDescent="0.25">
      <c r="A817" s="3" t="s">
        <v>1062</v>
      </c>
      <c r="B817" s="6">
        <v>45769</v>
      </c>
      <c r="C817" s="3" t="s">
        <v>36</v>
      </c>
      <c r="D817" s="3" t="s">
        <v>9</v>
      </c>
      <c r="E817" s="3" t="s">
        <v>165</v>
      </c>
      <c r="F817" s="3">
        <v>5</v>
      </c>
      <c r="G817" s="3">
        <v>0</v>
      </c>
      <c r="H817" s="1">
        <f>VLOOKUP(D817,products!A:D,4,FALSE)</f>
        <v>410000</v>
      </c>
      <c r="I817" s="1" t="str">
        <f>VLOOKUP(C817,branches!A:B,2,FALSE)</f>
        <v>Naija Mart Sabon Gari</v>
      </c>
      <c r="J817" s="1">
        <f t="shared" si="24"/>
        <v>2050000</v>
      </c>
      <c r="K817" s="1" t="str">
        <f>VLOOKUP(D817,products!A:D,2,FALSE)</f>
        <v>Home Appliances</v>
      </c>
      <c r="L817" s="1" t="str">
        <f t="shared" si="25"/>
        <v>Apr-2025</v>
      </c>
    </row>
    <row r="818" spans="1:12" x14ac:dyDescent="0.25">
      <c r="A818" s="3" t="s">
        <v>1063</v>
      </c>
      <c r="B818" s="6">
        <v>45695</v>
      </c>
      <c r="C818" s="3" t="s">
        <v>8</v>
      </c>
      <c r="D818" s="3" t="s">
        <v>94</v>
      </c>
      <c r="E818" s="3" t="s">
        <v>250</v>
      </c>
      <c r="F818" s="3">
        <v>1</v>
      </c>
      <c r="G818" s="3">
        <v>0</v>
      </c>
      <c r="H818" s="1">
        <f>VLOOKUP(D818,products!A:D,4,FALSE)</f>
        <v>320000</v>
      </c>
      <c r="I818" s="1" t="str">
        <f>VLOOKUP(C818,branches!A:B,2,FALSE)</f>
        <v>Naija Mart GRA</v>
      </c>
      <c r="J818" s="1">
        <f t="shared" si="24"/>
        <v>320000</v>
      </c>
      <c r="K818" s="1" t="str">
        <f>VLOOKUP(D818,products!A:D,2,FALSE)</f>
        <v>Electronics</v>
      </c>
      <c r="L818" s="1" t="str">
        <f t="shared" si="25"/>
        <v>Feb-2025</v>
      </c>
    </row>
    <row r="819" spans="1:12" x14ac:dyDescent="0.25">
      <c r="A819" s="3" t="s">
        <v>1064</v>
      </c>
      <c r="B819" s="6">
        <v>45664</v>
      </c>
      <c r="C819" s="3" t="s">
        <v>16</v>
      </c>
      <c r="D819" s="3" t="s">
        <v>149</v>
      </c>
      <c r="E819" s="3" t="s">
        <v>263</v>
      </c>
      <c r="F819" s="3">
        <v>1</v>
      </c>
      <c r="G819" s="3">
        <v>0</v>
      </c>
      <c r="H819" s="1">
        <f>VLOOKUP(D819,products!A:D,4,FALSE)</f>
        <v>6500</v>
      </c>
      <c r="I819" s="1" t="str">
        <f>VLOOKUP(C819,branches!A:B,2,FALSE)</f>
        <v>Naija Mart Ikeja</v>
      </c>
      <c r="J819" s="1">
        <f t="shared" si="24"/>
        <v>6500</v>
      </c>
      <c r="K819" s="1" t="str">
        <f>VLOOKUP(D819,products!A:D,2,FALSE)</f>
        <v>Small Gadgets</v>
      </c>
      <c r="L819" s="1" t="str">
        <f t="shared" si="25"/>
        <v>Jan-2025</v>
      </c>
    </row>
    <row r="820" spans="1:12" x14ac:dyDescent="0.25">
      <c r="A820" s="3" t="s">
        <v>1065</v>
      </c>
      <c r="B820" s="6">
        <v>45842</v>
      </c>
      <c r="C820" s="3" t="s">
        <v>36</v>
      </c>
      <c r="D820" s="3" t="s">
        <v>40</v>
      </c>
      <c r="E820" s="3" t="s">
        <v>124</v>
      </c>
      <c r="F820" s="3">
        <v>1</v>
      </c>
      <c r="G820" s="3">
        <v>0</v>
      </c>
      <c r="H820" s="1">
        <f>VLOOKUP(D820,products!A:D,4,FALSE)</f>
        <v>195000</v>
      </c>
      <c r="I820" s="1" t="str">
        <f>VLOOKUP(C820,branches!A:B,2,FALSE)</f>
        <v>Naija Mart Sabon Gari</v>
      </c>
      <c r="J820" s="1">
        <f t="shared" si="24"/>
        <v>195000</v>
      </c>
      <c r="K820" s="1" t="str">
        <f>VLOOKUP(D820,products!A:D,2,FALSE)</f>
        <v>Generators &amp; Power</v>
      </c>
      <c r="L820" s="1" t="str">
        <f t="shared" si="25"/>
        <v>Jul-2025</v>
      </c>
    </row>
    <row r="821" spans="1:12" x14ac:dyDescent="0.25">
      <c r="A821" s="3" t="s">
        <v>1066</v>
      </c>
      <c r="B821" s="6">
        <v>45978</v>
      </c>
      <c r="C821" s="3" t="s">
        <v>16</v>
      </c>
      <c r="D821" s="3" t="s">
        <v>56</v>
      </c>
      <c r="E821" s="3" t="s">
        <v>34</v>
      </c>
      <c r="F821" s="3">
        <v>1</v>
      </c>
      <c r="G821" s="3">
        <v>10</v>
      </c>
      <c r="H821" s="1">
        <f>VLOOKUP(D821,products!A:D,4,FALSE)</f>
        <v>285000</v>
      </c>
      <c r="I821" s="1" t="str">
        <f>VLOOKUP(C821,branches!A:B,2,FALSE)</f>
        <v>Naija Mart Ikeja</v>
      </c>
      <c r="J821" s="1">
        <f t="shared" si="24"/>
        <v>256500</v>
      </c>
      <c r="K821" s="1" t="str">
        <f>VLOOKUP(D821,products!A:D,2,FALSE)</f>
        <v>Home Appliances</v>
      </c>
      <c r="L821" s="1" t="str">
        <f t="shared" si="25"/>
        <v>Nov-2025</v>
      </c>
    </row>
    <row r="822" spans="1:12" x14ac:dyDescent="0.25">
      <c r="A822" s="3" t="s">
        <v>1067</v>
      </c>
      <c r="B822" s="6">
        <v>45895</v>
      </c>
      <c r="C822" s="3" t="s">
        <v>16</v>
      </c>
      <c r="D822" s="3" t="s">
        <v>43</v>
      </c>
      <c r="E822" s="3" t="s">
        <v>387</v>
      </c>
      <c r="F822" s="3">
        <v>1</v>
      </c>
      <c r="G822" s="3">
        <v>0</v>
      </c>
      <c r="H822" s="1">
        <f>VLOOKUP(D822,products!A:D,4,FALSE)</f>
        <v>74000</v>
      </c>
      <c r="I822" s="1" t="str">
        <f>VLOOKUP(C822,branches!A:B,2,FALSE)</f>
        <v>Naija Mart Ikeja</v>
      </c>
      <c r="J822" s="1">
        <f t="shared" si="24"/>
        <v>74000</v>
      </c>
      <c r="K822" s="1" t="str">
        <f>VLOOKUP(D822,products!A:D,2,FALSE)</f>
        <v>Home Appliances</v>
      </c>
      <c r="L822" s="1" t="str">
        <f t="shared" si="25"/>
        <v>Aug-2025</v>
      </c>
    </row>
    <row r="823" spans="1:12" x14ac:dyDescent="0.25">
      <c r="A823" s="3" t="s">
        <v>1068</v>
      </c>
      <c r="B823" s="6">
        <v>45757</v>
      </c>
      <c r="C823" s="3" t="s">
        <v>36</v>
      </c>
      <c r="D823" s="3" t="s">
        <v>13</v>
      </c>
      <c r="E823" s="3" t="s">
        <v>322</v>
      </c>
      <c r="F823" s="3">
        <v>2</v>
      </c>
      <c r="G823" s="3">
        <v>0</v>
      </c>
      <c r="H823" s="1">
        <f>VLOOKUP(D823,products!A:D,4,FALSE)</f>
        <v>24000</v>
      </c>
      <c r="I823" s="1" t="str">
        <f>VLOOKUP(C823,branches!A:B,2,FALSE)</f>
        <v>Naija Mart Sabon Gari</v>
      </c>
      <c r="J823" s="1">
        <f t="shared" si="24"/>
        <v>48000</v>
      </c>
      <c r="K823" s="1" t="str">
        <f>VLOOKUP(D823,products!A:D,2,FALSE)</f>
        <v>Home Appliances</v>
      </c>
      <c r="L823" s="1" t="str">
        <f t="shared" si="25"/>
        <v>Apr-2025</v>
      </c>
    </row>
    <row r="824" spans="1:12" x14ac:dyDescent="0.25">
      <c r="A824" s="3" t="s">
        <v>1069</v>
      </c>
      <c r="B824" s="6">
        <v>45889</v>
      </c>
      <c r="C824" s="3" t="s">
        <v>16</v>
      </c>
      <c r="D824" s="3" t="s">
        <v>9</v>
      </c>
      <c r="E824" s="3" t="s">
        <v>661</v>
      </c>
      <c r="F824" s="3">
        <v>3</v>
      </c>
      <c r="G824" s="3">
        <v>0</v>
      </c>
      <c r="H824" s="1">
        <f>VLOOKUP(D824,products!A:D,4,FALSE)</f>
        <v>410000</v>
      </c>
      <c r="I824" s="1" t="str">
        <f>VLOOKUP(C824,branches!A:B,2,FALSE)</f>
        <v>Naija Mart Ikeja</v>
      </c>
      <c r="J824" s="1">
        <f t="shared" si="24"/>
        <v>1230000</v>
      </c>
      <c r="K824" s="1" t="str">
        <f>VLOOKUP(D824,products!A:D,2,FALSE)</f>
        <v>Home Appliances</v>
      </c>
      <c r="L824" s="1" t="str">
        <f t="shared" si="25"/>
        <v>Aug-2025</v>
      </c>
    </row>
    <row r="825" spans="1:12" x14ac:dyDescent="0.25">
      <c r="A825" s="3" t="s">
        <v>1070</v>
      </c>
      <c r="B825" s="6">
        <v>45782</v>
      </c>
      <c r="C825" s="3" t="s">
        <v>12</v>
      </c>
      <c r="D825" s="3" t="s">
        <v>149</v>
      </c>
      <c r="E825" s="3" t="s">
        <v>868</v>
      </c>
      <c r="F825" s="3">
        <v>2</v>
      </c>
      <c r="G825" s="3">
        <v>10</v>
      </c>
      <c r="H825" s="1">
        <f>VLOOKUP(D825,products!A:D,4,FALSE)</f>
        <v>6500</v>
      </c>
      <c r="I825" s="1" t="str">
        <f>VLOOKUP(C825,branches!A:B,2,FALSE)</f>
        <v>Naija Mart Wuse</v>
      </c>
      <c r="J825" s="1">
        <f t="shared" si="24"/>
        <v>11700</v>
      </c>
      <c r="K825" s="1" t="str">
        <f>VLOOKUP(D825,products!A:D,2,FALSE)</f>
        <v>Small Gadgets</v>
      </c>
      <c r="L825" s="1" t="str">
        <f t="shared" si="25"/>
        <v>May-2025</v>
      </c>
    </row>
    <row r="826" spans="1:12" x14ac:dyDescent="0.25">
      <c r="A826" s="3" t="s">
        <v>1071</v>
      </c>
      <c r="B826" s="6">
        <v>45693</v>
      </c>
      <c r="C826" s="3" t="s">
        <v>12</v>
      </c>
      <c r="D826" s="3" t="s">
        <v>126</v>
      </c>
      <c r="E826" s="3" t="s">
        <v>85</v>
      </c>
      <c r="F826" s="3">
        <v>5</v>
      </c>
      <c r="G826" s="3">
        <v>0</v>
      </c>
      <c r="H826" s="1">
        <f>VLOOKUP(D826,products!A:D,4,FALSE)</f>
        <v>185000</v>
      </c>
      <c r="I826" s="1" t="str">
        <f>VLOOKUP(C826,branches!A:B,2,FALSE)</f>
        <v>Naija Mart Wuse</v>
      </c>
      <c r="J826" s="1">
        <f t="shared" si="24"/>
        <v>925000</v>
      </c>
      <c r="K826" s="1" t="str">
        <f>VLOOKUP(D826,products!A:D,2,FALSE)</f>
        <v>Electronics</v>
      </c>
      <c r="L826" s="1" t="str">
        <f t="shared" si="25"/>
        <v>Feb-2025</v>
      </c>
    </row>
    <row r="827" spans="1:12" x14ac:dyDescent="0.25">
      <c r="A827" s="3" t="s">
        <v>1072</v>
      </c>
      <c r="B827" s="6">
        <v>45758</v>
      </c>
      <c r="C827" s="3" t="s">
        <v>16</v>
      </c>
      <c r="D827" s="3" t="s">
        <v>149</v>
      </c>
      <c r="E827" s="3" t="s">
        <v>228</v>
      </c>
      <c r="F827" s="3">
        <v>1</v>
      </c>
      <c r="G827" s="3">
        <v>5</v>
      </c>
      <c r="H827" s="1">
        <f>VLOOKUP(D827,products!A:D,4,FALSE)</f>
        <v>6500</v>
      </c>
      <c r="I827" s="1" t="str">
        <f>VLOOKUP(C827,branches!A:B,2,FALSE)</f>
        <v>Naija Mart Ikeja</v>
      </c>
      <c r="J827" s="1">
        <f t="shared" si="24"/>
        <v>6175</v>
      </c>
      <c r="K827" s="1" t="str">
        <f>VLOOKUP(D827,products!A:D,2,FALSE)</f>
        <v>Small Gadgets</v>
      </c>
      <c r="L827" s="1" t="str">
        <f t="shared" si="25"/>
        <v>Apr-2025</v>
      </c>
    </row>
    <row r="828" spans="1:12" x14ac:dyDescent="0.25">
      <c r="A828" s="3" t="s">
        <v>1073</v>
      </c>
      <c r="B828" s="6">
        <v>45944</v>
      </c>
      <c r="C828" s="3" t="s">
        <v>8</v>
      </c>
      <c r="D828" s="3" t="s">
        <v>197</v>
      </c>
      <c r="E828" s="3" t="s">
        <v>514</v>
      </c>
      <c r="F828" s="3">
        <v>2</v>
      </c>
      <c r="G828" s="3">
        <v>0</v>
      </c>
      <c r="H828" s="1">
        <f>VLOOKUP(D828,products!A:D,4,FALSE)</f>
        <v>78000</v>
      </c>
      <c r="I828" s="1" t="str">
        <f>VLOOKUP(C828,branches!A:B,2,FALSE)</f>
        <v>Naija Mart GRA</v>
      </c>
      <c r="J828" s="1">
        <f t="shared" si="24"/>
        <v>156000</v>
      </c>
      <c r="K828" s="1" t="str">
        <f>VLOOKUP(D828,products!A:D,2,FALSE)</f>
        <v>Electronics</v>
      </c>
      <c r="L828" s="1" t="str">
        <f t="shared" si="25"/>
        <v>Oct-2025</v>
      </c>
    </row>
    <row r="829" spans="1:12" x14ac:dyDescent="0.25">
      <c r="A829" s="3" t="s">
        <v>1074</v>
      </c>
      <c r="B829" s="6">
        <v>45749</v>
      </c>
      <c r="C829" s="3" t="s">
        <v>12</v>
      </c>
      <c r="D829" s="3" t="s">
        <v>126</v>
      </c>
      <c r="E829" s="3" t="s">
        <v>519</v>
      </c>
      <c r="F829" s="3">
        <v>1</v>
      </c>
      <c r="G829" s="3">
        <v>0</v>
      </c>
      <c r="H829" s="1">
        <f>VLOOKUP(D829,products!A:D,4,FALSE)</f>
        <v>185000</v>
      </c>
      <c r="I829" s="1" t="str">
        <f>VLOOKUP(C829,branches!A:B,2,FALSE)</f>
        <v>Naija Mart Wuse</v>
      </c>
      <c r="J829" s="1">
        <f t="shared" si="24"/>
        <v>185000</v>
      </c>
      <c r="K829" s="1" t="str">
        <f>VLOOKUP(D829,products!A:D,2,FALSE)</f>
        <v>Electronics</v>
      </c>
      <c r="L829" s="1" t="str">
        <f t="shared" si="25"/>
        <v>Apr-2025</v>
      </c>
    </row>
    <row r="830" spans="1:12" x14ac:dyDescent="0.25">
      <c r="A830" s="3" t="s">
        <v>1075</v>
      </c>
      <c r="B830" s="6">
        <v>45799</v>
      </c>
      <c r="C830" s="3" t="s">
        <v>12</v>
      </c>
      <c r="D830" s="3" t="s">
        <v>46</v>
      </c>
      <c r="E830" s="3" t="s">
        <v>27</v>
      </c>
      <c r="F830" s="3">
        <v>1</v>
      </c>
      <c r="G830" s="3">
        <v>0</v>
      </c>
      <c r="H830" s="1">
        <f>VLOOKUP(D830,products!A:D,4,FALSE)</f>
        <v>62000</v>
      </c>
      <c r="I830" s="1" t="str">
        <f>VLOOKUP(C830,branches!A:B,2,FALSE)</f>
        <v>Naija Mart Wuse</v>
      </c>
      <c r="J830" s="1">
        <f t="shared" si="24"/>
        <v>62000</v>
      </c>
      <c r="K830" s="1" t="str">
        <f>VLOOKUP(D830,products!A:D,2,FALSE)</f>
        <v>Home Appliances</v>
      </c>
      <c r="L830" s="1" t="str">
        <f t="shared" si="25"/>
        <v>May-2025</v>
      </c>
    </row>
    <row r="831" spans="1:12" x14ac:dyDescent="0.25">
      <c r="A831" s="3" t="s">
        <v>1076</v>
      </c>
      <c r="B831" s="6">
        <v>45707</v>
      </c>
      <c r="C831" s="3" t="s">
        <v>36</v>
      </c>
      <c r="D831" s="3" t="s">
        <v>49</v>
      </c>
      <c r="E831" s="3" t="s">
        <v>78</v>
      </c>
      <c r="F831" s="3">
        <v>1</v>
      </c>
      <c r="G831" s="3">
        <v>20</v>
      </c>
      <c r="H831" s="1">
        <f>VLOOKUP(D831,products!A:D,4,FALSE)</f>
        <v>28000</v>
      </c>
      <c r="I831" s="1" t="str">
        <f>VLOOKUP(C831,branches!A:B,2,FALSE)</f>
        <v>Naija Mart Sabon Gari</v>
      </c>
      <c r="J831" s="1">
        <f t="shared" si="24"/>
        <v>22400</v>
      </c>
      <c r="K831" s="1" t="str">
        <f>VLOOKUP(D831,products!A:D,2,FALSE)</f>
        <v>Home Appliances</v>
      </c>
      <c r="L831" s="1" t="str">
        <f t="shared" si="25"/>
        <v>Feb-2025</v>
      </c>
    </row>
    <row r="832" spans="1:12" x14ac:dyDescent="0.25">
      <c r="A832" s="3" t="s">
        <v>1077</v>
      </c>
      <c r="B832" s="6">
        <v>45904</v>
      </c>
      <c r="C832" s="3" t="s">
        <v>16</v>
      </c>
      <c r="D832" s="3" t="s">
        <v>40</v>
      </c>
      <c r="E832" s="3" t="s">
        <v>85</v>
      </c>
      <c r="F832" s="3">
        <v>1</v>
      </c>
      <c r="G832" s="3">
        <v>0</v>
      </c>
      <c r="H832" s="1">
        <f>VLOOKUP(D832,products!A:D,4,FALSE)</f>
        <v>195000</v>
      </c>
      <c r="I832" s="1" t="str">
        <f>VLOOKUP(C832,branches!A:B,2,FALSE)</f>
        <v>Naija Mart Ikeja</v>
      </c>
      <c r="J832" s="1">
        <f t="shared" si="24"/>
        <v>195000</v>
      </c>
      <c r="K832" s="1" t="str">
        <f>VLOOKUP(D832,products!A:D,2,FALSE)</f>
        <v>Generators &amp; Power</v>
      </c>
      <c r="L832" s="1" t="str">
        <f t="shared" si="25"/>
        <v>Sep-2025</v>
      </c>
    </row>
    <row r="833" spans="1:12" x14ac:dyDescent="0.25">
      <c r="A833" s="3" t="s">
        <v>1078</v>
      </c>
      <c r="B833" s="6">
        <v>45883</v>
      </c>
      <c r="C833" s="3" t="s">
        <v>12</v>
      </c>
      <c r="D833" s="3" t="s">
        <v>26</v>
      </c>
      <c r="E833" s="3" t="s">
        <v>209</v>
      </c>
      <c r="F833" s="3">
        <v>1</v>
      </c>
      <c r="G833" s="3">
        <v>0</v>
      </c>
      <c r="H833" s="1">
        <f>VLOOKUP(D833,products!A:D,4,FALSE)</f>
        <v>145000</v>
      </c>
      <c r="I833" s="1" t="str">
        <f>VLOOKUP(C833,branches!A:B,2,FALSE)</f>
        <v>Naija Mart Wuse</v>
      </c>
      <c r="J833" s="1">
        <f t="shared" si="24"/>
        <v>145000</v>
      </c>
      <c r="K833" s="1" t="str">
        <f>VLOOKUP(D833,products!A:D,2,FALSE)</f>
        <v>Electronics</v>
      </c>
      <c r="L833" s="1" t="str">
        <f t="shared" si="25"/>
        <v>Aug-2025</v>
      </c>
    </row>
    <row r="834" spans="1:12" x14ac:dyDescent="0.25">
      <c r="A834" s="3" t="s">
        <v>1079</v>
      </c>
      <c r="B834" s="6">
        <v>45905</v>
      </c>
      <c r="C834" s="3" t="s">
        <v>12</v>
      </c>
      <c r="D834" s="3" t="s">
        <v>13</v>
      </c>
      <c r="E834" s="3" t="s">
        <v>407</v>
      </c>
      <c r="F834" s="3">
        <v>1</v>
      </c>
      <c r="G834" s="3">
        <v>0</v>
      </c>
      <c r="H834" s="1">
        <f>VLOOKUP(D834,products!A:D,4,FALSE)</f>
        <v>24000</v>
      </c>
      <c r="I834" s="1" t="str">
        <f>VLOOKUP(C834,branches!A:B,2,FALSE)</f>
        <v>Naija Mart Wuse</v>
      </c>
      <c r="J834" s="1">
        <f t="shared" si="24"/>
        <v>24000</v>
      </c>
      <c r="K834" s="1" t="str">
        <f>VLOOKUP(D834,products!A:D,2,FALSE)</f>
        <v>Home Appliances</v>
      </c>
      <c r="L834" s="1" t="str">
        <f t="shared" si="25"/>
        <v>Sep-2025</v>
      </c>
    </row>
    <row r="835" spans="1:12" x14ac:dyDescent="0.25">
      <c r="A835" s="3" t="s">
        <v>1080</v>
      </c>
      <c r="B835" s="6">
        <v>45974</v>
      </c>
      <c r="C835" s="3" t="s">
        <v>8</v>
      </c>
      <c r="D835" s="3" t="s">
        <v>23</v>
      </c>
      <c r="E835" s="3" t="s">
        <v>114</v>
      </c>
      <c r="F835" s="3">
        <v>1</v>
      </c>
      <c r="G835" s="3">
        <v>5</v>
      </c>
      <c r="H835" s="1">
        <f>VLOOKUP(D835,products!A:D,4,FALSE)</f>
        <v>19500</v>
      </c>
      <c r="I835" s="1" t="str">
        <f>VLOOKUP(C835,branches!A:B,2,FALSE)</f>
        <v>Naija Mart GRA</v>
      </c>
      <c r="J835" s="1">
        <f t="shared" ref="J835:J898" si="26">F835*H835*(1-G835/100)</f>
        <v>18525</v>
      </c>
      <c r="K835" s="1" t="str">
        <f>VLOOKUP(D835,products!A:D,2,FALSE)</f>
        <v>Home Appliances</v>
      </c>
      <c r="L835" s="1" t="str">
        <f t="shared" ref="L835:L898" si="27">TEXT(B835,"mmm-yyyy")</f>
        <v>Nov-2025</v>
      </c>
    </row>
    <row r="836" spans="1:12" x14ac:dyDescent="0.25">
      <c r="A836" s="3" t="s">
        <v>1081</v>
      </c>
      <c r="B836" s="6">
        <v>46016</v>
      </c>
      <c r="C836" s="3" t="s">
        <v>8</v>
      </c>
      <c r="D836" s="3" t="s">
        <v>43</v>
      </c>
      <c r="E836" s="3" t="s">
        <v>138</v>
      </c>
      <c r="F836" s="3">
        <v>1</v>
      </c>
      <c r="G836" s="3">
        <v>15</v>
      </c>
      <c r="H836" s="1">
        <f>VLOOKUP(D836,products!A:D,4,FALSE)</f>
        <v>74000</v>
      </c>
      <c r="I836" s="1" t="str">
        <f>VLOOKUP(C836,branches!A:B,2,FALSE)</f>
        <v>Naija Mart GRA</v>
      </c>
      <c r="J836" s="1">
        <f t="shared" si="26"/>
        <v>62900</v>
      </c>
      <c r="K836" s="1" t="str">
        <f>VLOOKUP(D836,products!A:D,2,FALSE)</f>
        <v>Home Appliances</v>
      </c>
      <c r="L836" s="1" t="str">
        <f t="shared" si="27"/>
        <v>Dec-2025</v>
      </c>
    </row>
    <row r="837" spans="1:12" x14ac:dyDescent="0.25">
      <c r="A837" s="3" t="s">
        <v>1082</v>
      </c>
      <c r="B837" s="6">
        <v>45839</v>
      </c>
      <c r="C837" s="3" t="s">
        <v>16</v>
      </c>
      <c r="D837" s="3" t="s">
        <v>20</v>
      </c>
      <c r="E837" s="3" t="s">
        <v>783</v>
      </c>
      <c r="F837" s="3">
        <v>2</v>
      </c>
      <c r="G837" s="3">
        <v>15</v>
      </c>
      <c r="H837" s="1">
        <f>VLOOKUP(D837,products!A:D,4,FALSE)</f>
        <v>38000</v>
      </c>
      <c r="I837" s="1" t="str">
        <f>VLOOKUP(C837,branches!A:B,2,FALSE)</f>
        <v>Naija Mart Ikeja</v>
      </c>
      <c r="J837" s="1">
        <f t="shared" si="26"/>
        <v>64600</v>
      </c>
      <c r="K837" s="1" t="str">
        <f>VLOOKUP(D837,products!A:D,2,FALSE)</f>
        <v>Electronics</v>
      </c>
      <c r="L837" s="1" t="str">
        <f t="shared" si="27"/>
        <v>Jul-2025</v>
      </c>
    </row>
    <row r="838" spans="1:12" x14ac:dyDescent="0.25">
      <c r="A838" s="3" t="s">
        <v>1083</v>
      </c>
      <c r="B838" s="6">
        <v>45942</v>
      </c>
      <c r="C838" s="3" t="s">
        <v>36</v>
      </c>
      <c r="D838" s="3" t="s">
        <v>51</v>
      </c>
      <c r="E838" s="3" t="s">
        <v>400</v>
      </c>
      <c r="F838" s="3">
        <v>2</v>
      </c>
      <c r="G838" s="3">
        <v>0</v>
      </c>
      <c r="H838" s="1">
        <f>VLOOKUP(D838,products!A:D,4,FALSE)</f>
        <v>18000</v>
      </c>
      <c r="I838" s="1" t="str">
        <f>VLOOKUP(C838,branches!A:B,2,FALSE)</f>
        <v>Naija Mart Sabon Gari</v>
      </c>
      <c r="J838" s="1">
        <f t="shared" si="26"/>
        <v>36000</v>
      </c>
      <c r="K838" s="1" t="str">
        <f>VLOOKUP(D838,products!A:D,2,FALSE)</f>
        <v>Small Gadgets</v>
      </c>
      <c r="L838" s="1" t="str">
        <f t="shared" si="27"/>
        <v>Oct-2025</v>
      </c>
    </row>
    <row r="839" spans="1:12" x14ac:dyDescent="0.25">
      <c r="A839" s="3" t="s">
        <v>1084</v>
      </c>
      <c r="B839" s="6">
        <v>45815</v>
      </c>
      <c r="C839" s="3" t="s">
        <v>12</v>
      </c>
      <c r="D839" s="3" t="s">
        <v>97</v>
      </c>
      <c r="E839" s="3" t="s">
        <v>253</v>
      </c>
      <c r="F839" s="3">
        <v>1</v>
      </c>
      <c r="G839" s="3">
        <v>0</v>
      </c>
      <c r="H839" s="1">
        <f>VLOOKUP(D839,products!A:D,4,FALSE)</f>
        <v>21000</v>
      </c>
      <c r="I839" s="1" t="str">
        <f>VLOOKUP(C839,branches!A:B,2,FALSE)</f>
        <v>Naija Mart Wuse</v>
      </c>
      <c r="J839" s="1">
        <f t="shared" si="26"/>
        <v>21000</v>
      </c>
      <c r="K839" s="1" t="str">
        <f>VLOOKUP(D839,products!A:D,2,FALSE)</f>
        <v>Small Gadgets</v>
      </c>
      <c r="L839" s="1" t="str">
        <f t="shared" si="27"/>
        <v>Jun-2025</v>
      </c>
    </row>
    <row r="840" spans="1:12" x14ac:dyDescent="0.25">
      <c r="A840" s="3" t="s">
        <v>1085</v>
      </c>
      <c r="B840" s="6">
        <v>46010</v>
      </c>
      <c r="C840" s="3" t="s">
        <v>16</v>
      </c>
      <c r="D840" s="3" t="s">
        <v>20</v>
      </c>
      <c r="E840" s="3" t="s">
        <v>547</v>
      </c>
      <c r="F840" s="3">
        <v>1</v>
      </c>
      <c r="G840" s="3">
        <v>10</v>
      </c>
      <c r="H840" s="1">
        <f>VLOOKUP(D840,products!A:D,4,FALSE)</f>
        <v>38000</v>
      </c>
      <c r="I840" s="1" t="str">
        <f>VLOOKUP(C840,branches!A:B,2,FALSE)</f>
        <v>Naija Mart Ikeja</v>
      </c>
      <c r="J840" s="1">
        <f t="shared" si="26"/>
        <v>34200</v>
      </c>
      <c r="K840" s="1" t="str">
        <f>VLOOKUP(D840,products!A:D,2,FALSE)</f>
        <v>Electronics</v>
      </c>
      <c r="L840" s="1" t="str">
        <f t="shared" si="27"/>
        <v>Dec-2025</v>
      </c>
    </row>
    <row r="841" spans="1:12" x14ac:dyDescent="0.25">
      <c r="A841" s="3" t="s">
        <v>1086</v>
      </c>
      <c r="B841" s="6">
        <v>45707</v>
      </c>
      <c r="C841" s="3" t="s">
        <v>12</v>
      </c>
      <c r="D841" s="3" t="s">
        <v>20</v>
      </c>
      <c r="E841" s="3" t="s">
        <v>228</v>
      </c>
      <c r="F841" s="3">
        <v>1</v>
      </c>
      <c r="G841" s="3">
        <v>0</v>
      </c>
      <c r="H841" s="1">
        <f>VLOOKUP(D841,products!A:D,4,FALSE)</f>
        <v>38000</v>
      </c>
      <c r="I841" s="1" t="str">
        <f>VLOOKUP(C841,branches!A:B,2,FALSE)</f>
        <v>Naija Mart Wuse</v>
      </c>
      <c r="J841" s="1">
        <f t="shared" si="26"/>
        <v>38000</v>
      </c>
      <c r="K841" s="1" t="str">
        <f>VLOOKUP(D841,products!A:D,2,FALSE)</f>
        <v>Electronics</v>
      </c>
      <c r="L841" s="1" t="str">
        <f t="shared" si="27"/>
        <v>Feb-2025</v>
      </c>
    </row>
    <row r="842" spans="1:12" x14ac:dyDescent="0.25">
      <c r="A842" s="3" t="s">
        <v>1087</v>
      </c>
      <c r="B842" s="6">
        <v>45817</v>
      </c>
      <c r="C842" s="3" t="s">
        <v>36</v>
      </c>
      <c r="D842" s="3" t="s">
        <v>37</v>
      </c>
      <c r="E842" s="3" t="s">
        <v>87</v>
      </c>
      <c r="F842" s="3">
        <v>1</v>
      </c>
      <c r="G842" s="3">
        <v>0</v>
      </c>
      <c r="H842" s="1">
        <f>VLOOKUP(D842,products!A:D,4,FALSE)</f>
        <v>8500</v>
      </c>
      <c r="I842" s="1" t="str">
        <f>VLOOKUP(C842,branches!A:B,2,FALSE)</f>
        <v>Naija Mart Sabon Gari</v>
      </c>
      <c r="J842" s="1">
        <f t="shared" si="26"/>
        <v>8500</v>
      </c>
      <c r="K842" s="1" t="str">
        <f>VLOOKUP(D842,products!A:D,2,FALSE)</f>
        <v>Small Gadgets</v>
      </c>
      <c r="L842" s="1" t="str">
        <f t="shared" si="27"/>
        <v>Jun-2025</v>
      </c>
    </row>
    <row r="843" spans="1:12" x14ac:dyDescent="0.25">
      <c r="A843" s="3" t="s">
        <v>1088</v>
      </c>
      <c r="B843" s="6">
        <v>45741</v>
      </c>
      <c r="C843" s="3" t="s">
        <v>16</v>
      </c>
      <c r="D843" s="3" t="s">
        <v>49</v>
      </c>
      <c r="E843" s="3" t="s">
        <v>52</v>
      </c>
      <c r="F843" s="3">
        <v>1</v>
      </c>
      <c r="G843" s="3">
        <v>0</v>
      </c>
      <c r="H843" s="1">
        <f>VLOOKUP(D843,products!A:D,4,FALSE)</f>
        <v>28000</v>
      </c>
      <c r="I843" s="1" t="str">
        <f>VLOOKUP(C843,branches!A:B,2,FALSE)</f>
        <v>Naija Mart Ikeja</v>
      </c>
      <c r="J843" s="1">
        <f t="shared" si="26"/>
        <v>28000</v>
      </c>
      <c r="K843" s="1" t="str">
        <f>VLOOKUP(D843,products!A:D,2,FALSE)</f>
        <v>Home Appliances</v>
      </c>
      <c r="L843" s="1" t="str">
        <f t="shared" si="27"/>
        <v>Mar-2025</v>
      </c>
    </row>
    <row r="844" spans="1:12" x14ac:dyDescent="0.25">
      <c r="A844" s="3" t="s">
        <v>1089</v>
      </c>
      <c r="B844" s="6">
        <v>45795</v>
      </c>
      <c r="C844" s="3" t="s">
        <v>16</v>
      </c>
      <c r="D844" s="3" t="s">
        <v>13</v>
      </c>
      <c r="E844" s="3" t="s">
        <v>1090</v>
      </c>
      <c r="F844" s="3">
        <v>1</v>
      </c>
      <c r="G844" s="3">
        <v>5</v>
      </c>
      <c r="H844" s="1">
        <f>VLOOKUP(D844,products!A:D,4,FALSE)</f>
        <v>24000</v>
      </c>
      <c r="I844" s="1" t="str">
        <f>VLOOKUP(C844,branches!A:B,2,FALSE)</f>
        <v>Naija Mart Ikeja</v>
      </c>
      <c r="J844" s="1">
        <f t="shared" si="26"/>
        <v>22800</v>
      </c>
      <c r="K844" s="1" t="str">
        <f>VLOOKUP(D844,products!A:D,2,FALSE)</f>
        <v>Home Appliances</v>
      </c>
      <c r="L844" s="1" t="str">
        <f t="shared" si="27"/>
        <v>May-2025</v>
      </c>
    </row>
    <row r="845" spans="1:12" x14ac:dyDescent="0.25">
      <c r="A845" s="3" t="s">
        <v>1091</v>
      </c>
      <c r="B845" s="6">
        <v>45774</v>
      </c>
      <c r="C845" s="3" t="s">
        <v>12</v>
      </c>
      <c r="D845" s="3" t="s">
        <v>197</v>
      </c>
      <c r="E845" s="3" t="s">
        <v>108</v>
      </c>
      <c r="F845" s="3">
        <v>2</v>
      </c>
      <c r="G845" s="3">
        <v>0</v>
      </c>
      <c r="H845" s="1">
        <f>VLOOKUP(D845,products!A:D,4,FALSE)</f>
        <v>78000</v>
      </c>
      <c r="I845" s="1" t="str">
        <f>VLOOKUP(C845,branches!A:B,2,FALSE)</f>
        <v>Naija Mart Wuse</v>
      </c>
      <c r="J845" s="1">
        <f t="shared" si="26"/>
        <v>156000</v>
      </c>
      <c r="K845" s="1" t="str">
        <f>VLOOKUP(D845,products!A:D,2,FALSE)</f>
        <v>Electronics</v>
      </c>
      <c r="L845" s="1" t="str">
        <f t="shared" si="27"/>
        <v>Apr-2025</v>
      </c>
    </row>
    <row r="846" spans="1:12" x14ac:dyDescent="0.25">
      <c r="A846" s="3" t="s">
        <v>1092</v>
      </c>
      <c r="B846" s="6">
        <v>45683</v>
      </c>
      <c r="C846" s="3" t="s">
        <v>16</v>
      </c>
      <c r="D846" s="3" t="s">
        <v>33</v>
      </c>
      <c r="E846" s="3" t="s">
        <v>500</v>
      </c>
      <c r="F846" s="3">
        <v>1</v>
      </c>
      <c r="G846" s="3">
        <v>0</v>
      </c>
      <c r="H846" s="1">
        <f>VLOOKUP(D846,products!A:D,4,FALSE)</f>
        <v>245000</v>
      </c>
      <c r="I846" s="1" t="str">
        <f>VLOOKUP(C846,branches!A:B,2,FALSE)</f>
        <v>Naija Mart Ikeja</v>
      </c>
      <c r="J846" s="1">
        <f t="shared" si="26"/>
        <v>245000</v>
      </c>
      <c r="K846" s="1" t="str">
        <f>VLOOKUP(D846,products!A:D,2,FALSE)</f>
        <v>Generators &amp; Power</v>
      </c>
      <c r="L846" s="1" t="str">
        <f t="shared" si="27"/>
        <v>Jan-2025</v>
      </c>
    </row>
    <row r="847" spans="1:12" x14ac:dyDescent="0.25">
      <c r="A847" s="3" t="s">
        <v>1093</v>
      </c>
      <c r="B847" s="6">
        <v>45992</v>
      </c>
      <c r="C847" s="3" t="s">
        <v>8</v>
      </c>
      <c r="D847" s="3" t="s">
        <v>94</v>
      </c>
      <c r="E847" s="3" t="s">
        <v>83</v>
      </c>
      <c r="F847" s="3">
        <v>1</v>
      </c>
      <c r="G847" s="3">
        <v>0</v>
      </c>
      <c r="H847" s="1">
        <f>VLOOKUP(D847,products!A:D,4,FALSE)</f>
        <v>320000</v>
      </c>
      <c r="I847" s="1" t="str">
        <f>VLOOKUP(C847,branches!A:B,2,FALSE)</f>
        <v>Naija Mart GRA</v>
      </c>
      <c r="J847" s="1">
        <f t="shared" si="26"/>
        <v>320000</v>
      </c>
      <c r="K847" s="1" t="str">
        <f>VLOOKUP(D847,products!A:D,2,FALSE)</f>
        <v>Electronics</v>
      </c>
      <c r="L847" s="1" t="str">
        <f t="shared" si="27"/>
        <v>Dec-2025</v>
      </c>
    </row>
    <row r="848" spans="1:12" x14ac:dyDescent="0.25">
      <c r="A848" s="3" t="s">
        <v>1094</v>
      </c>
      <c r="B848" s="6">
        <v>45727</v>
      </c>
      <c r="C848" s="3" t="s">
        <v>16</v>
      </c>
      <c r="D848" s="3" t="s">
        <v>33</v>
      </c>
      <c r="E848" s="3" t="s">
        <v>1090</v>
      </c>
      <c r="F848" s="3">
        <v>1</v>
      </c>
      <c r="G848" s="3">
        <v>15</v>
      </c>
      <c r="H848" s="1">
        <f>VLOOKUP(D848,products!A:D,4,FALSE)</f>
        <v>245000</v>
      </c>
      <c r="I848" s="1" t="str">
        <f>VLOOKUP(C848,branches!A:B,2,FALSE)</f>
        <v>Naija Mart Ikeja</v>
      </c>
      <c r="J848" s="1">
        <f t="shared" si="26"/>
        <v>208250</v>
      </c>
      <c r="K848" s="1" t="str">
        <f>VLOOKUP(D848,products!A:D,2,FALSE)</f>
        <v>Generators &amp; Power</v>
      </c>
      <c r="L848" s="1" t="str">
        <f t="shared" si="27"/>
        <v>Mar-2025</v>
      </c>
    </row>
    <row r="849" spans="1:12" x14ac:dyDescent="0.25">
      <c r="A849" s="3" t="s">
        <v>1095</v>
      </c>
      <c r="B849" s="6">
        <v>45785</v>
      </c>
      <c r="C849" s="3" t="s">
        <v>12</v>
      </c>
      <c r="D849" s="3" t="s">
        <v>97</v>
      </c>
      <c r="E849" s="3" t="s">
        <v>150</v>
      </c>
      <c r="F849" s="3">
        <v>1</v>
      </c>
      <c r="G849" s="3">
        <v>0</v>
      </c>
      <c r="H849" s="1">
        <f>VLOOKUP(D849,products!A:D,4,FALSE)</f>
        <v>21000</v>
      </c>
      <c r="I849" s="1" t="str">
        <f>VLOOKUP(C849,branches!A:B,2,FALSE)</f>
        <v>Naija Mart Wuse</v>
      </c>
      <c r="J849" s="1">
        <f t="shared" si="26"/>
        <v>21000</v>
      </c>
      <c r="K849" s="1" t="str">
        <f>VLOOKUP(D849,products!A:D,2,FALSE)</f>
        <v>Small Gadgets</v>
      </c>
      <c r="L849" s="1" t="str">
        <f t="shared" si="27"/>
        <v>May-2025</v>
      </c>
    </row>
    <row r="850" spans="1:12" x14ac:dyDescent="0.25">
      <c r="A850" s="3" t="s">
        <v>1096</v>
      </c>
      <c r="B850" s="6">
        <v>45692</v>
      </c>
      <c r="C850" s="3" t="s">
        <v>16</v>
      </c>
      <c r="D850" s="3" t="s">
        <v>9</v>
      </c>
      <c r="E850" s="3" t="s">
        <v>31</v>
      </c>
      <c r="F850" s="3">
        <v>2</v>
      </c>
      <c r="G850" s="3">
        <v>15</v>
      </c>
      <c r="H850" s="1">
        <f>VLOOKUP(D850,products!A:D,4,FALSE)</f>
        <v>410000</v>
      </c>
      <c r="I850" s="1" t="str">
        <f>VLOOKUP(C850,branches!A:B,2,FALSE)</f>
        <v>Naija Mart Ikeja</v>
      </c>
      <c r="J850" s="1">
        <f t="shared" si="26"/>
        <v>697000</v>
      </c>
      <c r="K850" s="1" t="str">
        <f>VLOOKUP(D850,products!A:D,2,FALSE)</f>
        <v>Home Appliances</v>
      </c>
      <c r="L850" s="1" t="str">
        <f t="shared" si="27"/>
        <v>Feb-2025</v>
      </c>
    </row>
    <row r="851" spans="1:12" x14ac:dyDescent="0.25">
      <c r="A851" s="3" t="s">
        <v>1097</v>
      </c>
      <c r="B851" s="6">
        <v>45690</v>
      </c>
      <c r="C851" s="3" t="s">
        <v>16</v>
      </c>
      <c r="D851" s="3" t="s">
        <v>64</v>
      </c>
      <c r="E851" s="3" t="s">
        <v>92</v>
      </c>
      <c r="F851" s="3">
        <v>1</v>
      </c>
      <c r="G851" s="3">
        <v>0</v>
      </c>
      <c r="H851" s="1">
        <f>VLOOKUP(D851,products!A:D,4,FALSE)</f>
        <v>175000</v>
      </c>
      <c r="I851" s="1" t="str">
        <f>VLOOKUP(C851,branches!A:B,2,FALSE)</f>
        <v>Naija Mart Ikeja</v>
      </c>
      <c r="J851" s="1">
        <f t="shared" si="26"/>
        <v>175000</v>
      </c>
      <c r="K851" s="1" t="str">
        <f>VLOOKUP(D851,products!A:D,2,FALSE)</f>
        <v>Generators &amp; Power</v>
      </c>
      <c r="L851" s="1" t="str">
        <f t="shared" si="27"/>
        <v>Feb-2025</v>
      </c>
    </row>
    <row r="852" spans="1:12" x14ac:dyDescent="0.25">
      <c r="A852" s="3" t="s">
        <v>1098</v>
      </c>
      <c r="B852" s="6">
        <v>45859</v>
      </c>
      <c r="C852" s="3" t="s">
        <v>8</v>
      </c>
      <c r="D852" s="3" t="s">
        <v>51</v>
      </c>
      <c r="E852" s="3" t="s">
        <v>382</v>
      </c>
      <c r="F852" s="3">
        <v>1</v>
      </c>
      <c r="G852" s="3">
        <v>0</v>
      </c>
      <c r="H852" s="1">
        <f>VLOOKUP(D852,products!A:D,4,FALSE)</f>
        <v>18000</v>
      </c>
      <c r="I852" s="1" t="str">
        <f>VLOOKUP(C852,branches!A:B,2,FALSE)</f>
        <v>Naija Mart GRA</v>
      </c>
      <c r="J852" s="1">
        <f t="shared" si="26"/>
        <v>18000</v>
      </c>
      <c r="K852" s="1" t="str">
        <f>VLOOKUP(D852,products!A:D,2,FALSE)</f>
        <v>Small Gadgets</v>
      </c>
      <c r="L852" s="1" t="str">
        <f t="shared" si="27"/>
        <v>Jul-2025</v>
      </c>
    </row>
    <row r="853" spans="1:12" x14ac:dyDescent="0.25">
      <c r="A853" s="3" t="s">
        <v>1099</v>
      </c>
      <c r="B853" s="6">
        <v>46019</v>
      </c>
      <c r="C853" s="3" t="s">
        <v>12</v>
      </c>
      <c r="D853" s="3" t="s">
        <v>49</v>
      </c>
      <c r="E853" s="3" t="s">
        <v>659</v>
      </c>
      <c r="F853" s="3">
        <v>1</v>
      </c>
      <c r="G853" s="3">
        <v>5</v>
      </c>
      <c r="H853" s="1">
        <f>VLOOKUP(D853,products!A:D,4,FALSE)</f>
        <v>28000</v>
      </c>
      <c r="I853" s="1" t="str">
        <f>VLOOKUP(C853,branches!A:B,2,FALSE)</f>
        <v>Naija Mart Wuse</v>
      </c>
      <c r="J853" s="1">
        <f t="shared" si="26"/>
        <v>26600</v>
      </c>
      <c r="K853" s="1" t="str">
        <f>VLOOKUP(D853,products!A:D,2,FALSE)</f>
        <v>Home Appliances</v>
      </c>
      <c r="L853" s="1" t="str">
        <f t="shared" si="27"/>
        <v>Dec-2025</v>
      </c>
    </row>
    <row r="854" spans="1:12" x14ac:dyDescent="0.25">
      <c r="A854" s="3" t="s">
        <v>1100</v>
      </c>
      <c r="B854" s="6">
        <v>45965</v>
      </c>
      <c r="C854" s="3" t="s">
        <v>12</v>
      </c>
      <c r="D854" s="3" t="s">
        <v>20</v>
      </c>
      <c r="E854" s="3" t="s">
        <v>102</v>
      </c>
      <c r="F854" s="3">
        <v>1</v>
      </c>
      <c r="G854" s="3">
        <v>0</v>
      </c>
      <c r="H854" s="1">
        <f>VLOOKUP(D854,products!A:D,4,FALSE)</f>
        <v>38000</v>
      </c>
      <c r="I854" s="1" t="str">
        <f>VLOOKUP(C854,branches!A:B,2,FALSE)</f>
        <v>Naija Mart Wuse</v>
      </c>
      <c r="J854" s="1">
        <f t="shared" si="26"/>
        <v>38000</v>
      </c>
      <c r="K854" s="1" t="str">
        <f>VLOOKUP(D854,products!A:D,2,FALSE)</f>
        <v>Electronics</v>
      </c>
      <c r="L854" s="1" t="str">
        <f t="shared" si="27"/>
        <v>Nov-2025</v>
      </c>
    </row>
    <row r="855" spans="1:12" x14ac:dyDescent="0.25">
      <c r="A855" s="3" t="s">
        <v>1101</v>
      </c>
      <c r="B855" s="6">
        <v>45985</v>
      </c>
      <c r="C855" s="3" t="s">
        <v>8</v>
      </c>
      <c r="D855" s="3" t="s">
        <v>258</v>
      </c>
      <c r="E855" s="3" t="s">
        <v>343</v>
      </c>
      <c r="F855" s="3">
        <v>2</v>
      </c>
      <c r="G855" s="3">
        <v>10</v>
      </c>
      <c r="H855" s="1">
        <f>VLOOKUP(D855,products!A:D,4,FALSE)</f>
        <v>95000</v>
      </c>
      <c r="I855" s="1" t="str">
        <f>VLOOKUP(C855,branches!A:B,2,FALSE)</f>
        <v>Naija Mart GRA</v>
      </c>
      <c r="J855" s="1">
        <f t="shared" si="26"/>
        <v>171000</v>
      </c>
      <c r="K855" s="1" t="str">
        <f>VLOOKUP(D855,products!A:D,2,FALSE)</f>
        <v>Electronics</v>
      </c>
      <c r="L855" s="1" t="str">
        <f t="shared" si="27"/>
        <v>Nov-2025</v>
      </c>
    </row>
    <row r="856" spans="1:12" x14ac:dyDescent="0.25">
      <c r="A856" s="3" t="s">
        <v>1102</v>
      </c>
      <c r="B856" s="6">
        <v>45997</v>
      </c>
      <c r="C856" s="3" t="s">
        <v>12</v>
      </c>
      <c r="D856" s="3" t="s">
        <v>91</v>
      </c>
      <c r="E856" s="3" t="s">
        <v>673</v>
      </c>
      <c r="F856" s="3">
        <v>2</v>
      </c>
      <c r="G856" s="3">
        <v>0</v>
      </c>
      <c r="H856" s="1">
        <f>VLOOKUP(D856,products!A:D,4,FALSE)</f>
        <v>5200</v>
      </c>
      <c r="I856" s="1" t="str">
        <f>VLOOKUP(C856,branches!A:B,2,FALSE)</f>
        <v>Naija Mart Wuse</v>
      </c>
      <c r="J856" s="1">
        <f t="shared" si="26"/>
        <v>10400</v>
      </c>
      <c r="K856" s="1" t="str">
        <f>VLOOKUP(D856,products!A:D,2,FALSE)</f>
        <v>Small Gadgets</v>
      </c>
      <c r="L856" s="1" t="str">
        <f t="shared" si="27"/>
        <v>Dec-2025</v>
      </c>
    </row>
    <row r="857" spans="1:12" x14ac:dyDescent="0.25">
      <c r="A857" s="3" t="s">
        <v>1103</v>
      </c>
      <c r="B857" s="6">
        <v>45999</v>
      </c>
      <c r="C857" s="3" t="s">
        <v>12</v>
      </c>
      <c r="D857" s="3" t="s">
        <v>20</v>
      </c>
      <c r="E857" s="3" t="s">
        <v>106</v>
      </c>
      <c r="F857" s="3">
        <v>1</v>
      </c>
      <c r="G857" s="3">
        <v>0</v>
      </c>
      <c r="H857" s="1">
        <f>VLOOKUP(D857,products!A:D,4,FALSE)</f>
        <v>38000</v>
      </c>
      <c r="I857" s="1" t="str">
        <f>VLOOKUP(C857,branches!A:B,2,FALSE)</f>
        <v>Naija Mart Wuse</v>
      </c>
      <c r="J857" s="1">
        <f t="shared" si="26"/>
        <v>38000</v>
      </c>
      <c r="K857" s="1" t="str">
        <f>VLOOKUP(D857,products!A:D,2,FALSE)</f>
        <v>Electronics</v>
      </c>
      <c r="L857" s="1" t="str">
        <f t="shared" si="27"/>
        <v>Dec-2025</v>
      </c>
    </row>
    <row r="858" spans="1:12" x14ac:dyDescent="0.25">
      <c r="A858" s="3" t="s">
        <v>1104</v>
      </c>
      <c r="B858" s="6">
        <v>45863</v>
      </c>
      <c r="C858" s="3" t="s">
        <v>12</v>
      </c>
      <c r="D858" s="3" t="s">
        <v>46</v>
      </c>
      <c r="E858" s="3" t="s">
        <v>234</v>
      </c>
      <c r="F858" s="3">
        <v>1</v>
      </c>
      <c r="G858" s="3">
        <v>0</v>
      </c>
      <c r="H858" s="1">
        <f>VLOOKUP(D858,products!A:D,4,FALSE)</f>
        <v>62000</v>
      </c>
      <c r="I858" s="1" t="str">
        <f>VLOOKUP(C858,branches!A:B,2,FALSE)</f>
        <v>Naija Mart Wuse</v>
      </c>
      <c r="J858" s="1">
        <f t="shared" si="26"/>
        <v>62000</v>
      </c>
      <c r="K858" s="1" t="str">
        <f>VLOOKUP(D858,products!A:D,2,FALSE)</f>
        <v>Home Appliances</v>
      </c>
      <c r="L858" s="1" t="str">
        <f t="shared" si="27"/>
        <v>Jul-2025</v>
      </c>
    </row>
    <row r="859" spans="1:12" x14ac:dyDescent="0.25">
      <c r="A859" s="3" t="s">
        <v>1105</v>
      </c>
      <c r="B859" s="6">
        <v>45698</v>
      </c>
      <c r="C859" s="3" t="s">
        <v>12</v>
      </c>
      <c r="D859" s="3" t="s">
        <v>51</v>
      </c>
      <c r="E859" s="3" t="s">
        <v>224</v>
      </c>
      <c r="F859" s="3">
        <v>2</v>
      </c>
      <c r="G859" s="3">
        <v>5</v>
      </c>
      <c r="H859" s="1">
        <f>VLOOKUP(D859,products!A:D,4,FALSE)</f>
        <v>18000</v>
      </c>
      <c r="I859" s="1" t="str">
        <f>VLOOKUP(C859,branches!A:B,2,FALSE)</f>
        <v>Naija Mart Wuse</v>
      </c>
      <c r="J859" s="1">
        <f t="shared" si="26"/>
        <v>34200</v>
      </c>
      <c r="K859" s="1" t="str">
        <f>VLOOKUP(D859,products!A:D,2,FALSE)</f>
        <v>Small Gadgets</v>
      </c>
      <c r="L859" s="1" t="str">
        <f t="shared" si="27"/>
        <v>Feb-2025</v>
      </c>
    </row>
    <row r="860" spans="1:12" x14ac:dyDescent="0.25">
      <c r="A860" s="3" t="s">
        <v>1106</v>
      </c>
      <c r="B860" s="6">
        <v>45947</v>
      </c>
      <c r="C860" s="3" t="s">
        <v>8</v>
      </c>
      <c r="D860" s="3" t="s">
        <v>80</v>
      </c>
      <c r="E860" s="3" t="s">
        <v>842</v>
      </c>
      <c r="F860" s="3">
        <v>5</v>
      </c>
      <c r="G860" s="3">
        <v>5</v>
      </c>
      <c r="H860" s="1">
        <f>VLOOKUP(D860,products!A:D,4,FALSE)</f>
        <v>265000</v>
      </c>
      <c r="I860" s="1" t="str">
        <f>VLOOKUP(C860,branches!A:B,2,FALSE)</f>
        <v>Naija Mart GRA</v>
      </c>
      <c r="J860" s="1">
        <f t="shared" si="26"/>
        <v>1258750</v>
      </c>
      <c r="K860" s="1" t="str">
        <f>VLOOKUP(D860,products!A:D,2,FALSE)</f>
        <v>Home Appliances</v>
      </c>
      <c r="L860" s="1" t="str">
        <f t="shared" si="27"/>
        <v>Oct-2025</v>
      </c>
    </row>
    <row r="861" spans="1:12" x14ac:dyDescent="0.25">
      <c r="A861" s="3" t="s">
        <v>1107</v>
      </c>
      <c r="B861" s="6">
        <v>45921</v>
      </c>
      <c r="C861" s="3" t="s">
        <v>8</v>
      </c>
      <c r="D861" s="3" t="s">
        <v>69</v>
      </c>
      <c r="E861" s="3" t="s">
        <v>326</v>
      </c>
      <c r="F861" s="3">
        <v>1</v>
      </c>
      <c r="G861" s="3">
        <v>0</v>
      </c>
      <c r="H861" s="1">
        <f>VLOOKUP(D861,products!A:D,4,FALSE)</f>
        <v>45000</v>
      </c>
      <c r="I861" s="1" t="str">
        <f>VLOOKUP(C861,branches!A:B,2,FALSE)</f>
        <v>Naija Mart GRA</v>
      </c>
      <c r="J861" s="1">
        <f t="shared" si="26"/>
        <v>45000</v>
      </c>
      <c r="K861" s="1" t="str">
        <f>VLOOKUP(D861,products!A:D,2,FALSE)</f>
        <v>Electronics</v>
      </c>
      <c r="L861" s="1" t="str">
        <f t="shared" si="27"/>
        <v>Sep-2025</v>
      </c>
    </row>
    <row r="862" spans="1:12" x14ac:dyDescent="0.25">
      <c r="A862" s="3" t="s">
        <v>1108</v>
      </c>
      <c r="B862" s="6">
        <v>45700</v>
      </c>
      <c r="C862" s="3" t="s">
        <v>16</v>
      </c>
      <c r="D862" s="3" t="s">
        <v>23</v>
      </c>
      <c r="E862" s="3" t="s">
        <v>353</v>
      </c>
      <c r="F862" s="3">
        <v>1</v>
      </c>
      <c r="G862" s="3">
        <v>5</v>
      </c>
      <c r="H862" s="1">
        <f>VLOOKUP(D862,products!A:D,4,FALSE)</f>
        <v>19500</v>
      </c>
      <c r="I862" s="1" t="str">
        <f>VLOOKUP(C862,branches!A:B,2,FALSE)</f>
        <v>Naija Mart Ikeja</v>
      </c>
      <c r="J862" s="1">
        <f t="shared" si="26"/>
        <v>18525</v>
      </c>
      <c r="K862" s="1" t="str">
        <f>VLOOKUP(D862,products!A:D,2,FALSE)</f>
        <v>Home Appliances</v>
      </c>
      <c r="L862" s="1" t="str">
        <f t="shared" si="27"/>
        <v>Feb-2025</v>
      </c>
    </row>
    <row r="863" spans="1:12" x14ac:dyDescent="0.25">
      <c r="A863" s="3" t="s">
        <v>1109</v>
      </c>
      <c r="B863" s="6">
        <v>45906</v>
      </c>
      <c r="C863" s="3" t="s">
        <v>36</v>
      </c>
      <c r="D863" s="3" t="s">
        <v>17</v>
      </c>
      <c r="E863" s="3" t="s">
        <v>351</v>
      </c>
      <c r="F863" s="3">
        <v>1</v>
      </c>
      <c r="G863" s="3">
        <v>15</v>
      </c>
      <c r="H863" s="1">
        <f>VLOOKUP(D863,products!A:D,4,FALSE)</f>
        <v>22000</v>
      </c>
      <c r="I863" s="1" t="str">
        <f>VLOOKUP(C863,branches!A:B,2,FALSE)</f>
        <v>Naija Mart Sabon Gari</v>
      </c>
      <c r="J863" s="1">
        <f t="shared" si="26"/>
        <v>18700</v>
      </c>
      <c r="K863" s="1" t="str">
        <f>VLOOKUP(D863,products!A:D,2,FALSE)</f>
        <v>Home Appliances</v>
      </c>
      <c r="L863" s="1" t="str">
        <f t="shared" si="27"/>
        <v>Sep-2025</v>
      </c>
    </row>
    <row r="864" spans="1:12" x14ac:dyDescent="0.25">
      <c r="A864" s="3" t="s">
        <v>1110</v>
      </c>
      <c r="B864" s="6">
        <v>45849</v>
      </c>
      <c r="C864" s="3" t="s">
        <v>8</v>
      </c>
      <c r="D864" s="3" t="s">
        <v>49</v>
      </c>
      <c r="E864" s="3" t="s">
        <v>778</v>
      </c>
      <c r="F864" s="3">
        <v>1</v>
      </c>
      <c r="G864" s="3">
        <v>5</v>
      </c>
      <c r="H864" s="1">
        <f>VLOOKUP(D864,products!A:D,4,FALSE)</f>
        <v>28000</v>
      </c>
      <c r="I864" s="1" t="str">
        <f>VLOOKUP(C864,branches!A:B,2,FALSE)</f>
        <v>Naija Mart GRA</v>
      </c>
      <c r="J864" s="1">
        <f t="shared" si="26"/>
        <v>26600</v>
      </c>
      <c r="K864" s="1" t="str">
        <f>VLOOKUP(D864,products!A:D,2,FALSE)</f>
        <v>Home Appliances</v>
      </c>
      <c r="L864" s="1" t="str">
        <f t="shared" si="27"/>
        <v>Jul-2025</v>
      </c>
    </row>
    <row r="865" spans="1:12" x14ac:dyDescent="0.25">
      <c r="A865" s="3" t="s">
        <v>1111</v>
      </c>
      <c r="B865" s="6">
        <v>45906</v>
      </c>
      <c r="C865" s="3" t="s">
        <v>8</v>
      </c>
      <c r="D865" s="3" t="s">
        <v>80</v>
      </c>
      <c r="E865" s="3" t="s">
        <v>302</v>
      </c>
      <c r="F865" s="3">
        <v>1</v>
      </c>
      <c r="G865" s="3">
        <v>20</v>
      </c>
      <c r="H865" s="1">
        <f>VLOOKUP(D865,products!A:D,4,FALSE)</f>
        <v>265000</v>
      </c>
      <c r="I865" s="1" t="str">
        <f>VLOOKUP(C865,branches!A:B,2,FALSE)</f>
        <v>Naija Mart GRA</v>
      </c>
      <c r="J865" s="1">
        <f t="shared" si="26"/>
        <v>212000</v>
      </c>
      <c r="K865" s="1" t="str">
        <f>VLOOKUP(D865,products!A:D,2,FALSE)</f>
        <v>Home Appliances</v>
      </c>
      <c r="L865" s="1" t="str">
        <f t="shared" si="27"/>
        <v>Sep-2025</v>
      </c>
    </row>
    <row r="866" spans="1:12" x14ac:dyDescent="0.25">
      <c r="A866" s="3" t="s">
        <v>1112</v>
      </c>
      <c r="B866" s="6">
        <v>46009</v>
      </c>
      <c r="C866" s="3" t="s">
        <v>8</v>
      </c>
      <c r="D866" s="3" t="s">
        <v>56</v>
      </c>
      <c r="E866" s="3" t="s">
        <v>180</v>
      </c>
      <c r="F866" s="3">
        <v>1</v>
      </c>
      <c r="G866" s="3">
        <v>0</v>
      </c>
      <c r="H866" s="1">
        <f>VLOOKUP(D866,products!A:D,4,FALSE)</f>
        <v>285000</v>
      </c>
      <c r="I866" s="1" t="str">
        <f>VLOOKUP(C866,branches!A:B,2,FALSE)</f>
        <v>Naija Mart GRA</v>
      </c>
      <c r="J866" s="1">
        <f t="shared" si="26"/>
        <v>285000</v>
      </c>
      <c r="K866" s="1" t="str">
        <f>VLOOKUP(D866,products!A:D,2,FALSE)</f>
        <v>Home Appliances</v>
      </c>
      <c r="L866" s="1" t="str">
        <f t="shared" si="27"/>
        <v>Dec-2025</v>
      </c>
    </row>
    <row r="867" spans="1:12" x14ac:dyDescent="0.25">
      <c r="A867" s="3" t="s">
        <v>1113</v>
      </c>
      <c r="B867" s="6">
        <v>45695</v>
      </c>
      <c r="C867" s="3" t="s">
        <v>16</v>
      </c>
      <c r="D867" s="3" t="s">
        <v>49</v>
      </c>
      <c r="E867" s="3" t="s">
        <v>18</v>
      </c>
      <c r="F867" s="3">
        <v>1</v>
      </c>
      <c r="G867" s="3">
        <v>0</v>
      </c>
      <c r="H867" s="1">
        <f>VLOOKUP(D867,products!A:D,4,FALSE)</f>
        <v>28000</v>
      </c>
      <c r="I867" s="1" t="str">
        <f>VLOOKUP(C867,branches!A:B,2,FALSE)</f>
        <v>Naija Mart Ikeja</v>
      </c>
      <c r="J867" s="1">
        <f t="shared" si="26"/>
        <v>28000</v>
      </c>
      <c r="K867" s="1" t="str">
        <f>VLOOKUP(D867,products!A:D,2,FALSE)</f>
        <v>Home Appliances</v>
      </c>
      <c r="L867" s="1" t="str">
        <f t="shared" si="27"/>
        <v>Feb-2025</v>
      </c>
    </row>
    <row r="868" spans="1:12" x14ac:dyDescent="0.25">
      <c r="A868" s="3" t="s">
        <v>1114</v>
      </c>
      <c r="B868" s="6">
        <v>45884</v>
      </c>
      <c r="C868" s="3" t="s">
        <v>12</v>
      </c>
      <c r="D868" s="3" t="s">
        <v>46</v>
      </c>
      <c r="E868" s="3" t="s">
        <v>360</v>
      </c>
      <c r="F868" s="3">
        <v>1</v>
      </c>
      <c r="G868" s="3">
        <v>0</v>
      </c>
      <c r="H868" s="1">
        <f>VLOOKUP(D868,products!A:D,4,FALSE)</f>
        <v>62000</v>
      </c>
      <c r="I868" s="1" t="str">
        <f>VLOOKUP(C868,branches!A:B,2,FALSE)</f>
        <v>Naija Mart Wuse</v>
      </c>
      <c r="J868" s="1">
        <f t="shared" si="26"/>
        <v>62000</v>
      </c>
      <c r="K868" s="1" t="str">
        <f>VLOOKUP(D868,products!A:D,2,FALSE)</f>
        <v>Home Appliances</v>
      </c>
      <c r="L868" s="1" t="str">
        <f t="shared" si="27"/>
        <v>Aug-2025</v>
      </c>
    </row>
    <row r="869" spans="1:12" x14ac:dyDescent="0.25">
      <c r="A869" s="3" t="s">
        <v>1093</v>
      </c>
      <c r="B869" s="6">
        <v>45992</v>
      </c>
      <c r="C869" s="3" t="s">
        <v>8</v>
      </c>
      <c r="D869" s="3" t="s">
        <v>94</v>
      </c>
      <c r="E869" s="3" t="s">
        <v>83</v>
      </c>
      <c r="F869" s="3">
        <v>1</v>
      </c>
      <c r="G869" s="3">
        <v>0</v>
      </c>
      <c r="H869" s="1">
        <f>VLOOKUP(D869,products!A:D,4,FALSE)</f>
        <v>320000</v>
      </c>
      <c r="I869" s="1" t="str">
        <f>VLOOKUP(C869,branches!A:B,2,FALSE)</f>
        <v>Naija Mart GRA</v>
      </c>
      <c r="J869" s="1">
        <f t="shared" si="26"/>
        <v>320000</v>
      </c>
      <c r="K869" s="1" t="str">
        <f>VLOOKUP(D869,products!A:D,2,FALSE)</f>
        <v>Electronics</v>
      </c>
      <c r="L869" s="1" t="str">
        <f t="shared" si="27"/>
        <v>Dec-2025</v>
      </c>
    </row>
    <row r="870" spans="1:12" x14ac:dyDescent="0.25">
      <c r="A870" s="3" t="s">
        <v>1115</v>
      </c>
      <c r="B870" s="6">
        <v>45972</v>
      </c>
      <c r="C870" s="3" t="s">
        <v>16</v>
      </c>
      <c r="D870" s="3" t="s">
        <v>51</v>
      </c>
      <c r="E870" s="3" t="s">
        <v>87</v>
      </c>
      <c r="F870" s="3">
        <v>2</v>
      </c>
      <c r="G870" s="3">
        <v>25</v>
      </c>
      <c r="H870" s="1">
        <f>VLOOKUP(D870,products!A:D,4,FALSE)</f>
        <v>18000</v>
      </c>
      <c r="I870" s="1" t="str">
        <f>VLOOKUP(C870,branches!A:B,2,FALSE)</f>
        <v>Naija Mart Ikeja</v>
      </c>
      <c r="J870" s="1">
        <f t="shared" si="26"/>
        <v>27000</v>
      </c>
      <c r="K870" s="1" t="str">
        <f>VLOOKUP(D870,products!A:D,2,FALSE)</f>
        <v>Small Gadgets</v>
      </c>
      <c r="L870" s="1" t="str">
        <f t="shared" si="27"/>
        <v>Nov-2025</v>
      </c>
    </row>
    <row r="871" spans="1:12" x14ac:dyDescent="0.25">
      <c r="A871" s="3" t="s">
        <v>1116</v>
      </c>
      <c r="B871" s="6">
        <v>45718</v>
      </c>
      <c r="C871" s="3" t="s">
        <v>12</v>
      </c>
      <c r="D871" s="3" t="s">
        <v>51</v>
      </c>
      <c r="E871" s="3" t="s">
        <v>194</v>
      </c>
      <c r="F871" s="3">
        <v>2</v>
      </c>
      <c r="G871" s="3">
        <v>0</v>
      </c>
      <c r="H871" s="1">
        <f>VLOOKUP(D871,products!A:D,4,FALSE)</f>
        <v>18000</v>
      </c>
      <c r="I871" s="1" t="str">
        <f>VLOOKUP(C871,branches!A:B,2,FALSE)</f>
        <v>Naija Mart Wuse</v>
      </c>
      <c r="J871" s="1">
        <f t="shared" si="26"/>
        <v>36000</v>
      </c>
      <c r="K871" s="1" t="str">
        <f>VLOOKUP(D871,products!A:D,2,FALSE)</f>
        <v>Small Gadgets</v>
      </c>
      <c r="L871" s="1" t="str">
        <f t="shared" si="27"/>
        <v>Mar-2025</v>
      </c>
    </row>
    <row r="872" spans="1:12" x14ac:dyDescent="0.25">
      <c r="A872" s="3" t="s">
        <v>1117</v>
      </c>
      <c r="B872" s="6">
        <v>45804</v>
      </c>
      <c r="C872" s="3" t="s">
        <v>16</v>
      </c>
      <c r="D872" s="3" t="s">
        <v>13</v>
      </c>
      <c r="E872" s="3" t="s">
        <v>62</v>
      </c>
      <c r="F872" s="3">
        <v>2</v>
      </c>
      <c r="G872" s="3">
        <v>0</v>
      </c>
      <c r="H872" s="1">
        <f>VLOOKUP(D872,products!A:D,4,FALSE)</f>
        <v>24000</v>
      </c>
      <c r="I872" s="1" t="str">
        <f>VLOOKUP(C872,branches!A:B,2,FALSE)</f>
        <v>Naija Mart Ikeja</v>
      </c>
      <c r="J872" s="1">
        <f t="shared" si="26"/>
        <v>48000</v>
      </c>
      <c r="K872" s="1" t="str">
        <f>VLOOKUP(D872,products!A:D,2,FALSE)</f>
        <v>Home Appliances</v>
      </c>
      <c r="L872" s="1" t="str">
        <f t="shared" si="27"/>
        <v>May-2025</v>
      </c>
    </row>
    <row r="873" spans="1:12" x14ac:dyDescent="0.25">
      <c r="A873" s="3" t="s">
        <v>1118</v>
      </c>
      <c r="B873" s="6">
        <v>45705</v>
      </c>
      <c r="C873" s="3" t="s">
        <v>16</v>
      </c>
      <c r="D873" s="3" t="s">
        <v>59</v>
      </c>
      <c r="E873" s="3" t="s">
        <v>1119</v>
      </c>
      <c r="F873" s="3">
        <v>5</v>
      </c>
      <c r="G873" s="3">
        <v>0</v>
      </c>
      <c r="H873" s="1">
        <f>VLOOKUP(D873,products!A:D,4,FALSE)</f>
        <v>15000</v>
      </c>
      <c r="I873" s="1" t="str">
        <f>VLOOKUP(C873,branches!A:B,2,FALSE)</f>
        <v>Naija Mart Ikeja</v>
      </c>
      <c r="J873" s="1">
        <f t="shared" si="26"/>
        <v>75000</v>
      </c>
      <c r="K873" s="1" t="str">
        <f>VLOOKUP(D873,products!A:D,2,FALSE)</f>
        <v>Home Appliances</v>
      </c>
      <c r="L873" s="1" t="str">
        <f t="shared" si="27"/>
        <v>Feb-2025</v>
      </c>
    </row>
    <row r="874" spans="1:12" x14ac:dyDescent="0.25">
      <c r="A874" s="3" t="s">
        <v>1120</v>
      </c>
      <c r="B874" s="6">
        <v>45775</v>
      </c>
      <c r="C874" s="3" t="s">
        <v>16</v>
      </c>
      <c r="D874" s="3" t="s">
        <v>97</v>
      </c>
      <c r="E874" s="3" t="s">
        <v>191</v>
      </c>
      <c r="F874" s="3">
        <v>2</v>
      </c>
      <c r="G874" s="3">
        <v>0</v>
      </c>
      <c r="H874" s="1">
        <f>VLOOKUP(D874,products!A:D,4,FALSE)</f>
        <v>21000</v>
      </c>
      <c r="I874" s="1" t="str">
        <f>VLOOKUP(C874,branches!A:B,2,FALSE)</f>
        <v>Naija Mart Ikeja</v>
      </c>
      <c r="J874" s="1">
        <f t="shared" si="26"/>
        <v>42000</v>
      </c>
      <c r="K874" s="1" t="str">
        <f>VLOOKUP(D874,products!A:D,2,FALSE)</f>
        <v>Small Gadgets</v>
      </c>
      <c r="L874" s="1" t="str">
        <f t="shared" si="27"/>
        <v>Apr-2025</v>
      </c>
    </row>
    <row r="875" spans="1:12" x14ac:dyDescent="0.25">
      <c r="A875" s="3" t="s">
        <v>1121</v>
      </c>
      <c r="B875" s="6">
        <v>45979</v>
      </c>
      <c r="C875" s="3" t="s">
        <v>16</v>
      </c>
      <c r="D875" s="3" t="s">
        <v>43</v>
      </c>
      <c r="E875" s="3" t="s">
        <v>403</v>
      </c>
      <c r="F875" s="3">
        <v>1</v>
      </c>
      <c r="G875" s="3">
        <v>10</v>
      </c>
      <c r="H875" s="1">
        <f>VLOOKUP(D875,products!A:D,4,FALSE)</f>
        <v>74000</v>
      </c>
      <c r="I875" s="1" t="str">
        <f>VLOOKUP(C875,branches!A:B,2,FALSE)</f>
        <v>Naija Mart Ikeja</v>
      </c>
      <c r="J875" s="1">
        <f t="shared" si="26"/>
        <v>66600</v>
      </c>
      <c r="K875" s="1" t="str">
        <f>VLOOKUP(D875,products!A:D,2,FALSE)</f>
        <v>Home Appliances</v>
      </c>
      <c r="L875" s="1" t="str">
        <f t="shared" si="27"/>
        <v>Nov-2025</v>
      </c>
    </row>
    <row r="876" spans="1:12" x14ac:dyDescent="0.25">
      <c r="A876" s="3" t="s">
        <v>1122</v>
      </c>
      <c r="B876" s="6">
        <v>45753</v>
      </c>
      <c r="C876" s="3" t="s">
        <v>12</v>
      </c>
      <c r="D876" s="3" t="s">
        <v>59</v>
      </c>
      <c r="E876" s="3" t="s">
        <v>637</v>
      </c>
      <c r="F876" s="3">
        <v>1</v>
      </c>
      <c r="G876" s="3">
        <v>5</v>
      </c>
      <c r="H876" s="1">
        <f>VLOOKUP(D876,products!A:D,4,FALSE)</f>
        <v>15000</v>
      </c>
      <c r="I876" s="1" t="str">
        <f>VLOOKUP(C876,branches!A:B,2,FALSE)</f>
        <v>Naija Mart Wuse</v>
      </c>
      <c r="J876" s="1">
        <f t="shared" si="26"/>
        <v>14250</v>
      </c>
      <c r="K876" s="1" t="str">
        <f>VLOOKUP(D876,products!A:D,2,FALSE)</f>
        <v>Home Appliances</v>
      </c>
      <c r="L876" s="1" t="str">
        <f t="shared" si="27"/>
        <v>Apr-2025</v>
      </c>
    </row>
    <row r="877" spans="1:12" x14ac:dyDescent="0.25">
      <c r="A877" s="3" t="s">
        <v>1123</v>
      </c>
      <c r="B877" s="6">
        <v>46013</v>
      </c>
      <c r="C877" s="3" t="s">
        <v>16</v>
      </c>
      <c r="D877" s="3" t="s">
        <v>80</v>
      </c>
      <c r="E877" s="3" t="s">
        <v>217</v>
      </c>
      <c r="F877" s="3">
        <v>1</v>
      </c>
      <c r="G877" s="3">
        <v>5</v>
      </c>
      <c r="H877" s="1">
        <f>VLOOKUP(D877,products!A:D,4,FALSE)</f>
        <v>265000</v>
      </c>
      <c r="I877" s="1" t="str">
        <f>VLOOKUP(C877,branches!A:B,2,FALSE)</f>
        <v>Naija Mart Ikeja</v>
      </c>
      <c r="J877" s="1">
        <f t="shared" si="26"/>
        <v>251750</v>
      </c>
      <c r="K877" s="1" t="str">
        <f>VLOOKUP(D877,products!A:D,2,FALSE)</f>
        <v>Home Appliances</v>
      </c>
      <c r="L877" s="1" t="str">
        <f t="shared" si="27"/>
        <v>Dec-2025</v>
      </c>
    </row>
    <row r="878" spans="1:12" x14ac:dyDescent="0.25">
      <c r="A878" s="3" t="s">
        <v>1124</v>
      </c>
      <c r="B878" s="6">
        <v>45840</v>
      </c>
      <c r="C878" s="3" t="s">
        <v>12</v>
      </c>
      <c r="D878" s="3" t="s">
        <v>91</v>
      </c>
      <c r="E878" s="3" t="s">
        <v>74</v>
      </c>
      <c r="F878" s="3">
        <v>1</v>
      </c>
      <c r="G878" s="3">
        <v>10</v>
      </c>
      <c r="H878" s="1">
        <f>VLOOKUP(D878,products!A:D,4,FALSE)</f>
        <v>5200</v>
      </c>
      <c r="I878" s="1" t="str">
        <f>VLOOKUP(C878,branches!A:B,2,FALSE)</f>
        <v>Naija Mart Wuse</v>
      </c>
      <c r="J878" s="1">
        <f t="shared" si="26"/>
        <v>4680</v>
      </c>
      <c r="K878" s="1" t="str">
        <f>VLOOKUP(D878,products!A:D,2,FALSE)</f>
        <v>Small Gadgets</v>
      </c>
      <c r="L878" s="1" t="str">
        <f t="shared" si="27"/>
        <v>Jul-2025</v>
      </c>
    </row>
    <row r="879" spans="1:12" x14ac:dyDescent="0.25">
      <c r="A879" s="3" t="s">
        <v>1125</v>
      </c>
      <c r="B879" s="6">
        <v>45979</v>
      </c>
      <c r="C879" s="3" t="s">
        <v>8</v>
      </c>
      <c r="D879" s="3" t="s">
        <v>37</v>
      </c>
      <c r="E879" s="3" t="s">
        <v>304</v>
      </c>
      <c r="F879" s="3">
        <v>1</v>
      </c>
      <c r="G879" s="3">
        <v>5</v>
      </c>
      <c r="H879" s="1">
        <f>VLOOKUP(D879,products!A:D,4,FALSE)</f>
        <v>8500</v>
      </c>
      <c r="I879" s="1" t="str">
        <f>VLOOKUP(C879,branches!A:B,2,FALSE)</f>
        <v>Naija Mart GRA</v>
      </c>
      <c r="J879" s="1">
        <f t="shared" si="26"/>
        <v>8075</v>
      </c>
      <c r="K879" s="1" t="str">
        <f>VLOOKUP(D879,products!A:D,2,FALSE)</f>
        <v>Small Gadgets</v>
      </c>
      <c r="L879" s="1" t="str">
        <f t="shared" si="27"/>
        <v>Nov-2025</v>
      </c>
    </row>
    <row r="880" spans="1:12" x14ac:dyDescent="0.25">
      <c r="A880" s="3" t="s">
        <v>1126</v>
      </c>
      <c r="B880" s="6">
        <v>45729</v>
      </c>
      <c r="C880" s="3" t="s">
        <v>8</v>
      </c>
      <c r="D880" s="3" t="s">
        <v>59</v>
      </c>
      <c r="E880" s="3" t="s">
        <v>145</v>
      </c>
      <c r="F880" s="3">
        <v>5</v>
      </c>
      <c r="G880" s="3">
        <v>15</v>
      </c>
      <c r="H880" s="1">
        <f>VLOOKUP(D880,products!A:D,4,FALSE)</f>
        <v>15000</v>
      </c>
      <c r="I880" s="1" t="str">
        <f>VLOOKUP(C880,branches!A:B,2,FALSE)</f>
        <v>Naija Mart GRA</v>
      </c>
      <c r="J880" s="1">
        <f t="shared" si="26"/>
        <v>63750</v>
      </c>
      <c r="K880" s="1" t="str">
        <f>VLOOKUP(D880,products!A:D,2,FALSE)</f>
        <v>Home Appliances</v>
      </c>
      <c r="L880" s="1" t="str">
        <f t="shared" si="27"/>
        <v>Mar-2025</v>
      </c>
    </row>
    <row r="881" spans="1:12" x14ac:dyDescent="0.25">
      <c r="A881" s="3" t="s">
        <v>1127</v>
      </c>
      <c r="B881" s="6">
        <v>45780</v>
      </c>
      <c r="C881" s="3" t="s">
        <v>36</v>
      </c>
      <c r="D881" s="3" t="s">
        <v>126</v>
      </c>
      <c r="E881" s="3" t="s">
        <v>250</v>
      </c>
      <c r="F881" s="3">
        <v>1</v>
      </c>
      <c r="G881" s="3">
        <v>5</v>
      </c>
      <c r="H881" s="1">
        <f>VLOOKUP(D881,products!A:D,4,FALSE)</f>
        <v>185000</v>
      </c>
      <c r="I881" s="1" t="str">
        <f>VLOOKUP(C881,branches!A:B,2,FALSE)</f>
        <v>Naija Mart Sabon Gari</v>
      </c>
      <c r="J881" s="1">
        <f t="shared" si="26"/>
        <v>175750</v>
      </c>
      <c r="K881" s="1" t="str">
        <f>VLOOKUP(D881,products!A:D,2,FALSE)</f>
        <v>Electronics</v>
      </c>
      <c r="L881" s="1" t="str">
        <f t="shared" si="27"/>
        <v>May-2025</v>
      </c>
    </row>
    <row r="882" spans="1:12" x14ac:dyDescent="0.25">
      <c r="A882" s="3" t="s">
        <v>1128</v>
      </c>
      <c r="B882" s="6">
        <v>45982</v>
      </c>
      <c r="C882" s="3" t="s">
        <v>36</v>
      </c>
      <c r="D882" s="3" t="s">
        <v>49</v>
      </c>
      <c r="E882" s="3" t="s">
        <v>969</v>
      </c>
      <c r="F882" s="3">
        <v>1</v>
      </c>
      <c r="G882" s="3">
        <v>10</v>
      </c>
      <c r="H882" s="1">
        <f>VLOOKUP(D882,products!A:D,4,FALSE)</f>
        <v>28000</v>
      </c>
      <c r="I882" s="1" t="str">
        <f>VLOOKUP(C882,branches!A:B,2,FALSE)</f>
        <v>Naija Mart Sabon Gari</v>
      </c>
      <c r="J882" s="1">
        <f t="shared" si="26"/>
        <v>25200</v>
      </c>
      <c r="K882" s="1" t="str">
        <f>VLOOKUP(D882,products!A:D,2,FALSE)</f>
        <v>Home Appliances</v>
      </c>
      <c r="L882" s="1" t="str">
        <f t="shared" si="27"/>
        <v>Nov-2025</v>
      </c>
    </row>
    <row r="883" spans="1:12" x14ac:dyDescent="0.25">
      <c r="A883" s="3" t="s">
        <v>1129</v>
      </c>
      <c r="B883" s="6">
        <v>45660</v>
      </c>
      <c r="C883" s="3" t="s">
        <v>16</v>
      </c>
      <c r="D883" s="3" t="s">
        <v>97</v>
      </c>
      <c r="E883" s="3" t="s">
        <v>778</v>
      </c>
      <c r="F883" s="3">
        <v>1</v>
      </c>
      <c r="G883" s="3">
        <v>10</v>
      </c>
      <c r="H883" s="1">
        <f>VLOOKUP(D883,products!A:D,4,FALSE)</f>
        <v>21000</v>
      </c>
      <c r="I883" s="1" t="str">
        <f>VLOOKUP(C883,branches!A:B,2,FALSE)</f>
        <v>Naija Mart Ikeja</v>
      </c>
      <c r="J883" s="1">
        <f t="shared" si="26"/>
        <v>18900</v>
      </c>
      <c r="K883" s="1" t="str">
        <f>VLOOKUP(D883,products!A:D,2,FALSE)</f>
        <v>Small Gadgets</v>
      </c>
      <c r="L883" s="1" t="str">
        <f t="shared" si="27"/>
        <v>Jan-2025</v>
      </c>
    </row>
    <row r="884" spans="1:12" x14ac:dyDescent="0.25">
      <c r="A884" s="3" t="s">
        <v>1130</v>
      </c>
      <c r="B884" s="6">
        <v>45760</v>
      </c>
      <c r="C884" s="3" t="s">
        <v>8</v>
      </c>
      <c r="D884" s="3" t="s">
        <v>94</v>
      </c>
      <c r="E884" s="3" t="s">
        <v>663</v>
      </c>
      <c r="F884" s="3">
        <v>1</v>
      </c>
      <c r="G884" s="3">
        <v>20</v>
      </c>
      <c r="H884" s="1">
        <f>VLOOKUP(D884,products!A:D,4,FALSE)</f>
        <v>320000</v>
      </c>
      <c r="I884" s="1" t="str">
        <f>VLOOKUP(C884,branches!A:B,2,FALSE)</f>
        <v>Naija Mart GRA</v>
      </c>
      <c r="J884" s="1">
        <f t="shared" si="26"/>
        <v>256000</v>
      </c>
      <c r="K884" s="1" t="str">
        <f>VLOOKUP(D884,products!A:D,2,FALSE)</f>
        <v>Electronics</v>
      </c>
      <c r="L884" s="1" t="str">
        <f t="shared" si="27"/>
        <v>Apr-2025</v>
      </c>
    </row>
    <row r="885" spans="1:12" x14ac:dyDescent="0.25">
      <c r="A885" s="3" t="s">
        <v>1131</v>
      </c>
      <c r="B885" s="6">
        <v>45909</v>
      </c>
      <c r="C885" s="3" t="s">
        <v>12</v>
      </c>
      <c r="D885" s="3" t="s">
        <v>80</v>
      </c>
      <c r="E885" s="3" t="s">
        <v>648</v>
      </c>
      <c r="F885" s="3">
        <v>1</v>
      </c>
      <c r="G885" s="3">
        <v>0</v>
      </c>
      <c r="H885" s="1">
        <f>VLOOKUP(D885,products!A:D,4,FALSE)</f>
        <v>265000</v>
      </c>
      <c r="I885" s="1" t="str">
        <f>VLOOKUP(C885,branches!A:B,2,FALSE)</f>
        <v>Naija Mart Wuse</v>
      </c>
      <c r="J885" s="1">
        <f t="shared" si="26"/>
        <v>265000</v>
      </c>
      <c r="K885" s="1" t="str">
        <f>VLOOKUP(D885,products!A:D,2,FALSE)</f>
        <v>Home Appliances</v>
      </c>
      <c r="L885" s="1" t="str">
        <f t="shared" si="27"/>
        <v>Sep-2025</v>
      </c>
    </row>
    <row r="886" spans="1:12" x14ac:dyDescent="0.25">
      <c r="A886" s="3" t="s">
        <v>1132</v>
      </c>
      <c r="B886" s="6">
        <v>46015</v>
      </c>
      <c r="C886" s="3" t="s">
        <v>16</v>
      </c>
      <c r="D886" s="3" t="s">
        <v>59</v>
      </c>
      <c r="E886" s="3" t="s">
        <v>908</v>
      </c>
      <c r="F886" s="3">
        <v>2</v>
      </c>
      <c r="G886" s="3">
        <v>15</v>
      </c>
      <c r="H886" s="1">
        <f>VLOOKUP(D886,products!A:D,4,FALSE)</f>
        <v>15000</v>
      </c>
      <c r="I886" s="1" t="str">
        <f>VLOOKUP(C886,branches!A:B,2,FALSE)</f>
        <v>Naija Mart Ikeja</v>
      </c>
      <c r="J886" s="1">
        <f t="shared" si="26"/>
        <v>25500</v>
      </c>
      <c r="K886" s="1" t="str">
        <f>VLOOKUP(D886,products!A:D,2,FALSE)</f>
        <v>Home Appliances</v>
      </c>
      <c r="L886" s="1" t="str">
        <f t="shared" si="27"/>
        <v>Dec-2025</v>
      </c>
    </row>
    <row r="887" spans="1:12" x14ac:dyDescent="0.25">
      <c r="A887" s="3" t="s">
        <v>1133</v>
      </c>
      <c r="B887" s="6">
        <v>45742</v>
      </c>
      <c r="C887" s="3" t="s">
        <v>12</v>
      </c>
      <c r="D887" s="3" t="s">
        <v>51</v>
      </c>
      <c r="E887" s="3" t="s">
        <v>95</v>
      </c>
      <c r="F887" s="3">
        <v>1</v>
      </c>
      <c r="G887" s="3">
        <v>0</v>
      </c>
      <c r="H887" s="1">
        <f>VLOOKUP(D887,products!A:D,4,FALSE)</f>
        <v>18000</v>
      </c>
      <c r="I887" s="1" t="str">
        <f>VLOOKUP(C887,branches!A:B,2,FALSE)</f>
        <v>Naija Mart Wuse</v>
      </c>
      <c r="J887" s="1">
        <f t="shared" si="26"/>
        <v>18000</v>
      </c>
      <c r="K887" s="1" t="str">
        <f>VLOOKUP(D887,products!A:D,2,FALSE)</f>
        <v>Small Gadgets</v>
      </c>
      <c r="L887" s="1" t="str">
        <f t="shared" si="27"/>
        <v>Mar-2025</v>
      </c>
    </row>
    <row r="888" spans="1:12" x14ac:dyDescent="0.25">
      <c r="A888" s="3" t="s">
        <v>1134</v>
      </c>
      <c r="B888" s="6">
        <v>45669</v>
      </c>
      <c r="C888" s="3" t="s">
        <v>16</v>
      </c>
      <c r="D888" s="3" t="s">
        <v>51</v>
      </c>
      <c r="E888" s="3" t="s">
        <v>400</v>
      </c>
      <c r="F888" s="3">
        <v>2</v>
      </c>
      <c r="G888" s="3">
        <v>5</v>
      </c>
      <c r="H888" s="1">
        <f>VLOOKUP(D888,products!A:D,4,FALSE)</f>
        <v>18000</v>
      </c>
      <c r="I888" s="1" t="str">
        <f>VLOOKUP(C888,branches!A:B,2,FALSE)</f>
        <v>Naija Mart Ikeja</v>
      </c>
      <c r="J888" s="1">
        <f t="shared" si="26"/>
        <v>34200</v>
      </c>
      <c r="K888" s="1" t="str">
        <f>VLOOKUP(D888,products!A:D,2,FALSE)</f>
        <v>Small Gadgets</v>
      </c>
      <c r="L888" s="1" t="str">
        <f t="shared" si="27"/>
        <v>Jan-2025</v>
      </c>
    </row>
    <row r="889" spans="1:12" x14ac:dyDescent="0.25">
      <c r="A889" s="3" t="s">
        <v>1135</v>
      </c>
      <c r="B889" s="6">
        <v>45659</v>
      </c>
      <c r="C889" s="3" t="s">
        <v>16</v>
      </c>
      <c r="D889" s="3" t="s">
        <v>91</v>
      </c>
      <c r="E889" s="3" t="s">
        <v>176</v>
      </c>
      <c r="F889" s="3">
        <v>1</v>
      </c>
      <c r="G889" s="3">
        <v>0</v>
      </c>
      <c r="H889" s="1">
        <f>VLOOKUP(D889,products!A:D,4,FALSE)</f>
        <v>5200</v>
      </c>
      <c r="I889" s="1" t="str">
        <f>VLOOKUP(C889,branches!A:B,2,FALSE)</f>
        <v>Naija Mart Ikeja</v>
      </c>
      <c r="J889" s="1">
        <f t="shared" si="26"/>
        <v>5200</v>
      </c>
      <c r="K889" s="1" t="str">
        <f>VLOOKUP(D889,products!A:D,2,FALSE)</f>
        <v>Small Gadgets</v>
      </c>
      <c r="L889" s="1" t="str">
        <f t="shared" si="27"/>
        <v>Jan-2025</v>
      </c>
    </row>
    <row r="890" spans="1:12" x14ac:dyDescent="0.25">
      <c r="A890" s="3" t="s">
        <v>1136</v>
      </c>
      <c r="B890" s="6">
        <v>45996</v>
      </c>
      <c r="C890" s="3" t="s">
        <v>16</v>
      </c>
      <c r="D890" s="3" t="s">
        <v>258</v>
      </c>
      <c r="E890" s="3" t="s">
        <v>373</v>
      </c>
      <c r="F890" s="3">
        <v>1</v>
      </c>
      <c r="G890" s="3">
        <v>0</v>
      </c>
      <c r="H890" s="1">
        <f>VLOOKUP(D890,products!A:D,4,FALSE)</f>
        <v>95000</v>
      </c>
      <c r="I890" s="1" t="str">
        <f>VLOOKUP(C890,branches!A:B,2,FALSE)</f>
        <v>Naija Mart Ikeja</v>
      </c>
      <c r="J890" s="1">
        <f t="shared" si="26"/>
        <v>95000</v>
      </c>
      <c r="K890" s="1" t="str">
        <f>VLOOKUP(D890,products!A:D,2,FALSE)</f>
        <v>Electronics</v>
      </c>
      <c r="L890" s="1" t="str">
        <f t="shared" si="27"/>
        <v>Dec-2025</v>
      </c>
    </row>
    <row r="891" spans="1:12" x14ac:dyDescent="0.25">
      <c r="A891" s="3" t="s">
        <v>1137</v>
      </c>
      <c r="B891" s="6">
        <v>46011</v>
      </c>
      <c r="C891" s="3" t="s">
        <v>8</v>
      </c>
      <c r="D891" s="3" t="s">
        <v>258</v>
      </c>
      <c r="E891" s="3" t="s">
        <v>122</v>
      </c>
      <c r="F891" s="3">
        <v>1</v>
      </c>
      <c r="G891" s="3">
        <v>10</v>
      </c>
      <c r="H891" s="1">
        <f>VLOOKUP(D891,products!A:D,4,FALSE)</f>
        <v>95000</v>
      </c>
      <c r="I891" s="1" t="str">
        <f>VLOOKUP(C891,branches!A:B,2,FALSE)</f>
        <v>Naija Mart GRA</v>
      </c>
      <c r="J891" s="1">
        <f t="shared" si="26"/>
        <v>85500</v>
      </c>
      <c r="K891" s="1" t="str">
        <f>VLOOKUP(D891,products!A:D,2,FALSE)</f>
        <v>Electronics</v>
      </c>
      <c r="L891" s="1" t="str">
        <f t="shared" si="27"/>
        <v>Dec-2025</v>
      </c>
    </row>
    <row r="892" spans="1:12" x14ac:dyDescent="0.25">
      <c r="A892" s="3" t="s">
        <v>1138</v>
      </c>
      <c r="B892" s="6">
        <v>45741</v>
      </c>
      <c r="C892" s="3" t="s">
        <v>12</v>
      </c>
      <c r="D892" s="3" t="s">
        <v>91</v>
      </c>
      <c r="E892" s="3" t="s">
        <v>108</v>
      </c>
      <c r="F892" s="3">
        <v>1</v>
      </c>
      <c r="G892" s="3">
        <v>0</v>
      </c>
      <c r="H892" s="1">
        <f>VLOOKUP(D892,products!A:D,4,FALSE)</f>
        <v>5200</v>
      </c>
      <c r="I892" s="1" t="str">
        <f>VLOOKUP(C892,branches!A:B,2,FALSE)</f>
        <v>Naija Mart Wuse</v>
      </c>
      <c r="J892" s="1">
        <f t="shared" si="26"/>
        <v>5200</v>
      </c>
      <c r="K892" s="1" t="str">
        <f>VLOOKUP(D892,products!A:D,2,FALSE)</f>
        <v>Small Gadgets</v>
      </c>
      <c r="L892" s="1" t="str">
        <f t="shared" si="27"/>
        <v>Mar-2025</v>
      </c>
    </row>
    <row r="893" spans="1:12" x14ac:dyDescent="0.25">
      <c r="A893" s="3" t="s">
        <v>1139</v>
      </c>
      <c r="B893" s="6">
        <v>45724</v>
      </c>
      <c r="C893" s="3" t="s">
        <v>16</v>
      </c>
      <c r="D893" s="3" t="s">
        <v>51</v>
      </c>
      <c r="E893" s="3" t="s">
        <v>868</v>
      </c>
      <c r="F893" s="3">
        <v>1</v>
      </c>
      <c r="G893" s="3">
        <v>0</v>
      </c>
      <c r="H893" s="1">
        <f>VLOOKUP(D893,products!A:D,4,FALSE)</f>
        <v>18000</v>
      </c>
      <c r="I893" s="1" t="str">
        <f>VLOOKUP(C893,branches!A:B,2,FALSE)</f>
        <v>Naija Mart Ikeja</v>
      </c>
      <c r="J893" s="1">
        <f t="shared" si="26"/>
        <v>18000</v>
      </c>
      <c r="K893" s="1" t="str">
        <f>VLOOKUP(D893,products!A:D,2,FALSE)</f>
        <v>Small Gadgets</v>
      </c>
      <c r="L893" s="1" t="str">
        <f t="shared" si="27"/>
        <v>Mar-2025</v>
      </c>
    </row>
    <row r="894" spans="1:12" x14ac:dyDescent="0.25">
      <c r="A894" s="3" t="s">
        <v>1140</v>
      </c>
      <c r="B894" s="6">
        <v>45907</v>
      </c>
      <c r="C894" s="3" t="s">
        <v>8</v>
      </c>
      <c r="D894" s="3" t="s">
        <v>258</v>
      </c>
      <c r="E894" s="3" t="s">
        <v>127</v>
      </c>
      <c r="F894" s="3">
        <v>2</v>
      </c>
      <c r="G894" s="3">
        <v>20</v>
      </c>
      <c r="H894" s="1">
        <f>VLOOKUP(D894,products!A:D,4,FALSE)</f>
        <v>95000</v>
      </c>
      <c r="I894" s="1" t="str">
        <f>VLOOKUP(C894,branches!A:B,2,FALSE)</f>
        <v>Naija Mart GRA</v>
      </c>
      <c r="J894" s="1">
        <f t="shared" si="26"/>
        <v>152000</v>
      </c>
      <c r="K894" s="1" t="str">
        <f>VLOOKUP(D894,products!A:D,2,FALSE)</f>
        <v>Electronics</v>
      </c>
      <c r="L894" s="1" t="str">
        <f t="shared" si="27"/>
        <v>Sep-2025</v>
      </c>
    </row>
    <row r="895" spans="1:12" x14ac:dyDescent="0.25">
      <c r="A895" s="3" t="s">
        <v>1141</v>
      </c>
      <c r="B895" s="6">
        <v>45938</v>
      </c>
      <c r="C895" s="3" t="s">
        <v>12</v>
      </c>
      <c r="D895" s="3" t="s">
        <v>91</v>
      </c>
      <c r="E895" s="3" t="s">
        <v>52</v>
      </c>
      <c r="F895" s="3">
        <v>2</v>
      </c>
      <c r="G895" s="3">
        <v>0</v>
      </c>
      <c r="H895" s="1">
        <f>VLOOKUP(D895,products!A:D,4,FALSE)</f>
        <v>5200</v>
      </c>
      <c r="I895" s="1" t="str">
        <f>VLOOKUP(C895,branches!A:B,2,FALSE)</f>
        <v>Naija Mart Wuse</v>
      </c>
      <c r="J895" s="1">
        <f t="shared" si="26"/>
        <v>10400</v>
      </c>
      <c r="K895" s="1" t="str">
        <f>VLOOKUP(D895,products!A:D,2,FALSE)</f>
        <v>Small Gadgets</v>
      </c>
      <c r="L895" s="1" t="str">
        <f t="shared" si="27"/>
        <v>Oct-2025</v>
      </c>
    </row>
    <row r="896" spans="1:12" x14ac:dyDescent="0.25">
      <c r="A896" s="3" t="s">
        <v>1142</v>
      </c>
      <c r="B896" s="6">
        <v>45983</v>
      </c>
      <c r="C896" s="3" t="s">
        <v>16</v>
      </c>
      <c r="D896" s="3" t="s">
        <v>37</v>
      </c>
      <c r="E896" s="3" t="s">
        <v>74</v>
      </c>
      <c r="F896" s="3">
        <v>2</v>
      </c>
      <c r="G896" s="3">
        <v>5</v>
      </c>
      <c r="H896" s="1">
        <f>VLOOKUP(D896,products!A:D,4,FALSE)</f>
        <v>8500</v>
      </c>
      <c r="I896" s="1" t="str">
        <f>VLOOKUP(C896,branches!A:B,2,FALSE)</f>
        <v>Naija Mart Ikeja</v>
      </c>
      <c r="J896" s="1">
        <f t="shared" si="26"/>
        <v>16150</v>
      </c>
      <c r="K896" s="1" t="str">
        <f>VLOOKUP(D896,products!A:D,2,FALSE)</f>
        <v>Small Gadgets</v>
      </c>
      <c r="L896" s="1" t="str">
        <f t="shared" si="27"/>
        <v>Nov-2025</v>
      </c>
    </row>
    <row r="897" spans="1:12" x14ac:dyDescent="0.25">
      <c r="A897" s="3" t="s">
        <v>1143</v>
      </c>
      <c r="B897" s="6">
        <v>46014</v>
      </c>
      <c r="C897" s="3" t="s">
        <v>36</v>
      </c>
      <c r="D897" s="3" t="s">
        <v>23</v>
      </c>
      <c r="E897" s="3" t="s">
        <v>733</v>
      </c>
      <c r="F897" s="3">
        <v>1</v>
      </c>
      <c r="G897" s="3">
        <v>10</v>
      </c>
      <c r="H897" s="1">
        <f>VLOOKUP(D897,products!A:D,4,FALSE)</f>
        <v>19500</v>
      </c>
      <c r="I897" s="1" t="str">
        <f>VLOOKUP(C897,branches!A:B,2,FALSE)</f>
        <v>Naija Mart Sabon Gari</v>
      </c>
      <c r="J897" s="1">
        <f t="shared" si="26"/>
        <v>17550</v>
      </c>
      <c r="K897" s="1" t="str">
        <f>VLOOKUP(D897,products!A:D,2,FALSE)</f>
        <v>Home Appliances</v>
      </c>
      <c r="L897" s="1" t="str">
        <f t="shared" si="27"/>
        <v>Dec-2025</v>
      </c>
    </row>
    <row r="898" spans="1:12" x14ac:dyDescent="0.25">
      <c r="A898" s="3" t="s">
        <v>1144</v>
      </c>
      <c r="B898" s="6">
        <v>45736</v>
      </c>
      <c r="C898" s="3" t="s">
        <v>12</v>
      </c>
      <c r="D898" s="3" t="s">
        <v>64</v>
      </c>
      <c r="E898" s="3" t="s">
        <v>733</v>
      </c>
      <c r="F898" s="3">
        <v>1</v>
      </c>
      <c r="G898" s="3">
        <v>0</v>
      </c>
      <c r="H898" s="1">
        <f>VLOOKUP(D898,products!A:D,4,FALSE)</f>
        <v>175000</v>
      </c>
      <c r="I898" s="1" t="str">
        <f>VLOOKUP(C898,branches!A:B,2,FALSE)</f>
        <v>Naija Mart Wuse</v>
      </c>
      <c r="J898" s="1">
        <f t="shared" si="26"/>
        <v>175000</v>
      </c>
      <c r="K898" s="1" t="str">
        <f>VLOOKUP(D898,products!A:D,2,FALSE)</f>
        <v>Generators &amp; Power</v>
      </c>
      <c r="L898" s="1" t="str">
        <f t="shared" si="27"/>
        <v>Mar-2025</v>
      </c>
    </row>
    <row r="899" spans="1:12" x14ac:dyDescent="0.25">
      <c r="A899" s="3" t="s">
        <v>1145</v>
      </c>
      <c r="B899" s="6">
        <v>45889</v>
      </c>
      <c r="C899" s="3" t="s">
        <v>12</v>
      </c>
      <c r="D899" s="3" t="s">
        <v>126</v>
      </c>
      <c r="E899" s="3" t="s">
        <v>245</v>
      </c>
      <c r="F899" s="3">
        <v>3</v>
      </c>
      <c r="G899" s="3">
        <v>0</v>
      </c>
      <c r="H899" s="1">
        <f>VLOOKUP(D899,products!A:D,4,FALSE)</f>
        <v>185000</v>
      </c>
      <c r="I899" s="1" t="str">
        <f>VLOOKUP(C899,branches!A:B,2,FALSE)</f>
        <v>Naija Mart Wuse</v>
      </c>
      <c r="J899" s="1">
        <f t="shared" ref="J899:J962" si="28">F899*H899*(1-G899/100)</f>
        <v>555000</v>
      </c>
      <c r="K899" s="1" t="str">
        <f>VLOOKUP(D899,products!A:D,2,FALSE)</f>
        <v>Electronics</v>
      </c>
      <c r="L899" s="1" t="str">
        <f t="shared" ref="L899:L962" si="29">TEXT(B899,"mmm-yyyy")</f>
        <v>Aug-2025</v>
      </c>
    </row>
    <row r="900" spans="1:12" x14ac:dyDescent="0.25">
      <c r="A900" s="3" t="s">
        <v>1146</v>
      </c>
      <c r="B900" s="6">
        <v>45823</v>
      </c>
      <c r="C900" s="3" t="s">
        <v>12</v>
      </c>
      <c r="D900" s="3" t="s">
        <v>126</v>
      </c>
      <c r="E900" s="3" t="s">
        <v>618</v>
      </c>
      <c r="F900" s="3">
        <v>1</v>
      </c>
      <c r="G900" s="3">
        <v>10</v>
      </c>
      <c r="H900" s="1">
        <f>VLOOKUP(D900,products!A:D,4,FALSE)</f>
        <v>185000</v>
      </c>
      <c r="I900" s="1" t="str">
        <f>VLOOKUP(C900,branches!A:B,2,FALSE)</f>
        <v>Naija Mart Wuse</v>
      </c>
      <c r="J900" s="1">
        <f t="shared" si="28"/>
        <v>166500</v>
      </c>
      <c r="K900" s="1" t="str">
        <f>VLOOKUP(D900,products!A:D,2,FALSE)</f>
        <v>Electronics</v>
      </c>
      <c r="L900" s="1" t="str">
        <f t="shared" si="29"/>
        <v>Jun-2025</v>
      </c>
    </row>
    <row r="901" spans="1:12" x14ac:dyDescent="0.25">
      <c r="A901" s="3" t="s">
        <v>1147</v>
      </c>
      <c r="B901" s="6">
        <v>45749</v>
      </c>
      <c r="C901" s="3" t="s">
        <v>12</v>
      </c>
      <c r="D901" s="3" t="s">
        <v>69</v>
      </c>
      <c r="E901" s="3" t="s">
        <v>519</v>
      </c>
      <c r="F901" s="3">
        <v>2</v>
      </c>
      <c r="G901" s="3">
        <v>15</v>
      </c>
      <c r="H901" s="1">
        <f>VLOOKUP(D901,products!A:D,4,FALSE)</f>
        <v>45000</v>
      </c>
      <c r="I901" s="1" t="str">
        <f>VLOOKUP(C901,branches!A:B,2,FALSE)</f>
        <v>Naija Mart Wuse</v>
      </c>
      <c r="J901" s="1">
        <f t="shared" si="28"/>
        <v>76500</v>
      </c>
      <c r="K901" s="1" t="str">
        <f>VLOOKUP(D901,products!A:D,2,FALSE)</f>
        <v>Electronics</v>
      </c>
      <c r="L901" s="1" t="str">
        <f t="shared" si="29"/>
        <v>Apr-2025</v>
      </c>
    </row>
    <row r="902" spans="1:12" x14ac:dyDescent="0.25">
      <c r="A902" s="3" t="s">
        <v>1148</v>
      </c>
      <c r="B902" s="6">
        <v>45875</v>
      </c>
      <c r="C902" s="3" t="s">
        <v>16</v>
      </c>
      <c r="D902" s="3" t="s">
        <v>59</v>
      </c>
      <c r="E902" s="3" t="s">
        <v>14</v>
      </c>
      <c r="F902" s="3">
        <v>2</v>
      </c>
      <c r="G902" s="3">
        <v>10</v>
      </c>
      <c r="H902" s="1">
        <f>VLOOKUP(D902,products!A:D,4,FALSE)</f>
        <v>15000</v>
      </c>
      <c r="I902" s="1" t="str">
        <f>VLOOKUP(C902,branches!A:B,2,FALSE)</f>
        <v>Naija Mart Ikeja</v>
      </c>
      <c r="J902" s="1">
        <f t="shared" si="28"/>
        <v>27000</v>
      </c>
      <c r="K902" s="1" t="str">
        <f>VLOOKUP(D902,products!A:D,2,FALSE)</f>
        <v>Home Appliances</v>
      </c>
      <c r="L902" s="1" t="str">
        <f t="shared" si="29"/>
        <v>Aug-2025</v>
      </c>
    </row>
    <row r="903" spans="1:12" x14ac:dyDescent="0.25">
      <c r="A903" s="3" t="s">
        <v>1149</v>
      </c>
      <c r="B903" s="6">
        <v>45728</v>
      </c>
      <c r="C903" s="3" t="s">
        <v>16</v>
      </c>
      <c r="D903" s="3" t="s">
        <v>26</v>
      </c>
      <c r="E903" s="3" t="s">
        <v>143</v>
      </c>
      <c r="F903" s="3">
        <v>1</v>
      </c>
      <c r="G903" s="3">
        <v>15</v>
      </c>
      <c r="H903" s="1">
        <f>VLOOKUP(D903,products!A:D,4,FALSE)</f>
        <v>145000</v>
      </c>
      <c r="I903" s="1" t="str">
        <f>VLOOKUP(C903,branches!A:B,2,FALSE)</f>
        <v>Naija Mart Ikeja</v>
      </c>
      <c r="J903" s="1">
        <f t="shared" si="28"/>
        <v>123250</v>
      </c>
      <c r="K903" s="1" t="str">
        <f>VLOOKUP(D903,products!A:D,2,FALSE)</f>
        <v>Electronics</v>
      </c>
      <c r="L903" s="1" t="str">
        <f t="shared" si="29"/>
        <v>Mar-2025</v>
      </c>
    </row>
    <row r="904" spans="1:12" x14ac:dyDescent="0.25">
      <c r="A904" s="3" t="s">
        <v>1150</v>
      </c>
      <c r="B904" s="6">
        <v>45766</v>
      </c>
      <c r="C904" s="3" t="s">
        <v>8</v>
      </c>
      <c r="D904" s="3" t="s">
        <v>9</v>
      </c>
      <c r="E904" s="3" t="s">
        <v>480</v>
      </c>
      <c r="F904" s="3">
        <v>1</v>
      </c>
      <c r="G904" s="3">
        <v>20</v>
      </c>
      <c r="H904" s="1">
        <f>VLOOKUP(D904,products!A:D,4,FALSE)</f>
        <v>410000</v>
      </c>
      <c r="I904" s="1" t="str">
        <f>VLOOKUP(C904,branches!A:B,2,FALSE)</f>
        <v>Naija Mart GRA</v>
      </c>
      <c r="J904" s="1">
        <f t="shared" si="28"/>
        <v>328000</v>
      </c>
      <c r="K904" s="1" t="str">
        <f>VLOOKUP(D904,products!A:D,2,FALSE)</f>
        <v>Home Appliances</v>
      </c>
      <c r="L904" s="1" t="str">
        <f t="shared" si="29"/>
        <v>Apr-2025</v>
      </c>
    </row>
    <row r="905" spans="1:12" x14ac:dyDescent="0.25">
      <c r="A905" s="3" t="s">
        <v>1151</v>
      </c>
      <c r="B905" s="6">
        <v>45850</v>
      </c>
      <c r="C905" s="3" t="s">
        <v>16</v>
      </c>
      <c r="D905" s="3" t="s">
        <v>97</v>
      </c>
      <c r="E905" s="3" t="s">
        <v>114</v>
      </c>
      <c r="F905" s="3">
        <v>1</v>
      </c>
      <c r="G905" s="3">
        <v>15</v>
      </c>
      <c r="H905" s="1">
        <f>VLOOKUP(D905,products!A:D,4,FALSE)</f>
        <v>21000</v>
      </c>
      <c r="I905" s="1" t="str">
        <f>VLOOKUP(C905,branches!A:B,2,FALSE)</f>
        <v>Naija Mart Ikeja</v>
      </c>
      <c r="J905" s="1">
        <f t="shared" si="28"/>
        <v>17850</v>
      </c>
      <c r="K905" s="1" t="str">
        <f>VLOOKUP(D905,products!A:D,2,FALSE)</f>
        <v>Small Gadgets</v>
      </c>
      <c r="L905" s="1" t="str">
        <f t="shared" si="29"/>
        <v>Jul-2025</v>
      </c>
    </row>
    <row r="906" spans="1:12" x14ac:dyDescent="0.25">
      <c r="A906" s="3" t="s">
        <v>1152</v>
      </c>
      <c r="B906" s="6">
        <v>45710</v>
      </c>
      <c r="C906" s="3" t="s">
        <v>8</v>
      </c>
      <c r="D906" s="3" t="s">
        <v>20</v>
      </c>
      <c r="E906" s="3" t="s">
        <v>14</v>
      </c>
      <c r="F906" s="3">
        <v>2</v>
      </c>
      <c r="G906" s="3">
        <v>0</v>
      </c>
      <c r="H906" s="1">
        <f>VLOOKUP(D906,products!A:D,4,FALSE)</f>
        <v>38000</v>
      </c>
      <c r="I906" s="1" t="str">
        <f>VLOOKUP(C906,branches!A:B,2,FALSE)</f>
        <v>Naija Mart GRA</v>
      </c>
      <c r="J906" s="1">
        <f t="shared" si="28"/>
        <v>76000</v>
      </c>
      <c r="K906" s="1" t="str">
        <f>VLOOKUP(D906,products!A:D,2,FALSE)</f>
        <v>Electronics</v>
      </c>
      <c r="L906" s="1" t="str">
        <f t="shared" si="29"/>
        <v>Feb-2025</v>
      </c>
    </row>
    <row r="907" spans="1:12" x14ac:dyDescent="0.25">
      <c r="A907" s="3" t="s">
        <v>1153</v>
      </c>
      <c r="B907" s="6">
        <v>45678</v>
      </c>
      <c r="C907" s="3" t="s">
        <v>36</v>
      </c>
      <c r="D907" s="3" t="s">
        <v>20</v>
      </c>
      <c r="E907" s="3" t="s">
        <v>683</v>
      </c>
      <c r="F907" s="3">
        <v>1</v>
      </c>
      <c r="G907" s="3">
        <v>20</v>
      </c>
      <c r="H907" s="1">
        <f>VLOOKUP(D907,products!A:D,4,FALSE)</f>
        <v>38000</v>
      </c>
      <c r="I907" s="1" t="str">
        <f>VLOOKUP(C907,branches!A:B,2,FALSE)</f>
        <v>Naija Mart Sabon Gari</v>
      </c>
      <c r="J907" s="1">
        <f t="shared" si="28"/>
        <v>30400</v>
      </c>
      <c r="K907" s="1" t="str">
        <f>VLOOKUP(D907,products!A:D,2,FALSE)</f>
        <v>Electronics</v>
      </c>
      <c r="L907" s="1" t="str">
        <f t="shared" si="29"/>
        <v>Jan-2025</v>
      </c>
    </row>
    <row r="908" spans="1:12" x14ac:dyDescent="0.25">
      <c r="A908" s="3" t="s">
        <v>1154</v>
      </c>
      <c r="B908" s="6">
        <v>46011</v>
      </c>
      <c r="C908" s="3" t="s">
        <v>16</v>
      </c>
      <c r="D908" s="3" t="s">
        <v>51</v>
      </c>
      <c r="E908" s="3" t="s">
        <v>169</v>
      </c>
      <c r="F908" s="3">
        <v>1</v>
      </c>
      <c r="G908" s="3">
        <v>20</v>
      </c>
      <c r="H908" s="1">
        <f>VLOOKUP(D908,products!A:D,4,FALSE)</f>
        <v>18000</v>
      </c>
      <c r="I908" s="1" t="str">
        <f>VLOOKUP(C908,branches!A:B,2,FALSE)</f>
        <v>Naija Mart Ikeja</v>
      </c>
      <c r="J908" s="1">
        <f t="shared" si="28"/>
        <v>14400</v>
      </c>
      <c r="K908" s="1" t="str">
        <f>VLOOKUP(D908,products!A:D,2,FALSE)</f>
        <v>Small Gadgets</v>
      </c>
      <c r="L908" s="1" t="str">
        <f t="shared" si="29"/>
        <v>Dec-2025</v>
      </c>
    </row>
    <row r="909" spans="1:12" x14ac:dyDescent="0.25">
      <c r="A909" s="3" t="s">
        <v>1155</v>
      </c>
      <c r="B909" s="6">
        <v>45748</v>
      </c>
      <c r="C909" s="3" t="s">
        <v>36</v>
      </c>
      <c r="D909" s="3" t="s">
        <v>91</v>
      </c>
      <c r="E909" s="3" t="s">
        <v>178</v>
      </c>
      <c r="F909" s="3">
        <v>1</v>
      </c>
      <c r="G909" s="3">
        <v>5</v>
      </c>
      <c r="H909" s="1">
        <f>VLOOKUP(D909,products!A:D,4,FALSE)</f>
        <v>5200</v>
      </c>
      <c r="I909" s="1" t="str">
        <f>VLOOKUP(C909,branches!A:B,2,FALSE)</f>
        <v>Naija Mart Sabon Gari</v>
      </c>
      <c r="J909" s="1">
        <f t="shared" si="28"/>
        <v>4940</v>
      </c>
      <c r="K909" s="1" t="str">
        <f>VLOOKUP(D909,products!A:D,2,FALSE)</f>
        <v>Small Gadgets</v>
      </c>
      <c r="L909" s="1" t="str">
        <f t="shared" si="29"/>
        <v>Apr-2025</v>
      </c>
    </row>
    <row r="910" spans="1:12" x14ac:dyDescent="0.25">
      <c r="A910" s="3" t="s">
        <v>1156</v>
      </c>
      <c r="B910" s="6">
        <v>45697</v>
      </c>
      <c r="C910" s="3" t="s">
        <v>12</v>
      </c>
      <c r="D910" s="3" t="s">
        <v>149</v>
      </c>
      <c r="E910" s="3" t="s">
        <v>108</v>
      </c>
      <c r="F910" s="3">
        <v>1</v>
      </c>
      <c r="G910" s="3">
        <v>20</v>
      </c>
      <c r="H910" s="1">
        <f>VLOOKUP(D910,products!A:D,4,FALSE)</f>
        <v>6500</v>
      </c>
      <c r="I910" s="1" t="str">
        <f>VLOOKUP(C910,branches!A:B,2,FALSE)</f>
        <v>Naija Mart Wuse</v>
      </c>
      <c r="J910" s="1">
        <f t="shared" si="28"/>
        <v>5200</v>
      </c>
      <c r="K910" s="1" t="str">
        <f>VLOOKUP(D910,products!A:D,2,FALSE)</f>
        <v>Small Gadgets</v>
      </c>
      <c r="L910" s="1" t="str">
        <f t="shared" si="29"/>
        <v>Feb-2025</v>
      </c>
    </row>
    <row r="911" spans="1:12" x14ac:dyDescent="0.25">
      <c r="A911" s="3" t="s">
        <v>1157</v>
      </c>
      <c r="B911" s="6">
        <v>45964</v>
      </c>
      <c r="C911" s="3" t="s">
        <v>16</v>
      </c>
      <c r="D911" s="3" t="s">
        <v>23</v>
      </c>
      <c r="E911" s="3" t="s">
        <v>373</v>
      </c>
      <c r="F911" s="3">
        <v>1</v>
      </c>
      <c r="G911" s="3">
        <v>0</v>
      </c>
      <c r="H911" s="1">
        <f>VLOOKUP(D911,products!A:D,4,FALSE)</f>
        <v>19500</v>
      </c>
      <c r="I911" s="1" t="str">
        <f>VLOOKUP(C911,branches!A:B,2,FALSE)</f>
        <v>Naija Mart Ikeja</v>
      </c>
      <c r="J911" s="1">
        <f t="shared" si="28"/>
        <v>19500</v>
      </c>
      <c r="K911" s="1" t="str">
        <f>VLOOKUP(D911,products!A:D,2,FALSE)</f>
        <v>Home Appliances</v>
      </c>
      <c r="L911" s="1" t="str">
        <f t="shared" si="29"/>
        <v>Nov-2025</v>
      </c>
    </row>
    <row r="912" spans="1:12" x14ac:dyDescent="0.25">
      <c r="A912" s="3" t="s">
        <v>1158</v>
      </c>
      <c r="B912" s="6">
        <v>46014</v>
      </c>
      <c r="C912" s="3" t="s">
        <v>16</v>
      </c>
      <c r="D912" s="3" t="s">
        <v>20</v>
      </c>
      <c r="E912" s="3" t="s">
        <v>288</v>
      </c>
      <c r="F912" s="3">
        <v>1</v>
      </c>
      <c r="G912" s="3">
        <v>20</v>
      </c>
      <c r="H912" s="1">
        <f>VLOOKUP(D912,products!A:D,4,FALSE)</f>
        <v>38000</v>
      </c>
      <c r="I912" s="1" t="str">
        <f>VLOOKUP(C912,branches!A:B,2,FALSE)</f>
        <v>Naija Mart Ikeja</v>
      </c>
      <c r="J912" s="1">
        <f t="shared" si="28"/>
        <v>30400</v>
      </c>
      <c r="K912" s="1" t="str">
        <f>VLOOKUP(D912,products!A:D,2,FALSE)</f>
        <v>Electronics</v>
      </c>
      <c r="L912" s="1" t="str">
        <f t="shared" si="29"/>
        <v>Dec-2025</v>
      </c>
    </row>
    <row r="913" spans="1:12" x14ac:dyDescent="0.25">
      <c r="A913" s="3" t="s">
        <v>1159</v>
      </c>
      <c r="B913" s="6">
        <v>45752</v>
      </c>
      <c r="C913" s="3" t="s">
        <v>12</v>
      </c>
      <c r="D913" s="3" t="s">
        <v>23</v>
      </c>
      <c r="E913" s="3" t="s">
        <v>355</v>
      </c>
      <c r="F913" s="3">
        <v>1</v>
      </c>
      <c r="G913" s="3">
        <v>0</v>
      </c>
      <c r="H913" s="1">
        <f>VLOOKUP(D913,products!A:D,4,FALSE)</f>
        <v>19500</v>
      </c>
      <c r="I913" s="1" t="str">
        <f>VLOOKUP(C913,branches!A:B,2,FALSE)</f>
        <v>Naija Mart Wuse</v>
      </c>
      <c r="J913" s="1">
        <f t="shared" si="28"/>
        <v>19500</v>
      </c>
      <c r="K913" s="1" t="str">
        <f>VLOOKUP(D913,products!A:D,2,FALSE)</f>
        <v>Home Appliances</v>
      </c>
      <c r="L913" s="1" t="str">
        <f t="shared" si="29"/>
        <v>Apr-2025</v>
      </c>
    </row>
    <row r="914" spans="1:12" x14ac:dyDescent="0.25">
      <c r="A914" s="3" t="s">
        <v>1160</v>
      </c>
      <c r="B914" s="6">
        <v>46015</v>
      </c>
      <c r="C914" s="3" t="s">
        <v>16</v>
      </c>
      <c r="D914" s="3" t="s">
        <v>46</v>
      </c>
      <c r="E914" s="3" t="s">
        <v>34</v>
      </c>
      <c r="F914" s="3">
        <v>1</v>
      </c>
      <c r="G914" s="3">
        <v>5</v>
      </c>
      <c r="H914" s="1">
        <f>VLOOKUP(D914,products!A:D,4,FALSE)</f>
        <v>62000</v>
      </c>
      <c r="I914" s="1" t="str">
        <f>VLOOKUP(C914,branches!A:B,2,FALSE)</f>
        <v>Naija Mart Ikeja</v>
      </c>
      <c r="J914" s="1">
        <f t="shared" si="28"/>
        <v>58900</v>
      </c>
      <c r="K914" s="1" t="str">
        <f>VLOOKUP(D914,products!A:D,2,FALSE)</f>
        <v>Home Appliances</v>
      </c>
      <c r="L914" s="1" t="str">
        <f t="shared" si="29"/>
        <v>Dec-2025</v>
      </c>
    </row>
    <row r="915" spans="1:12" x14ac:dyDescent="0.25">
      <c r="A915" s="3" t="s">
        <v>1161</v>
      </c>
      <c r="B915" s="6">
        <v>46007</v>
      </c>
      <c r="C915" s="3" t="s">
        <v>8</v>
      </c>
      <c r="D915" s="3" t="s">
        <v>43</v>
      </c>
      <c r="E915" s="3" t="s">
        <v>209</v>
      </c>
      <c r="F915" s="3">
        <v>1</v>
      </c>
      <c r="G915" s="3">
        <v>10</v>
      </c>
      <c r="H915" s="1">
        <f>VLOOKUP(D915,products!A:D,4,FALSE)</f>
        <v>74000</v>
      </c>
      <c r="I915" s="1" t="str">
        <f>VLOOKUP(C915,branches!A:B,2,FALSE)</f>
        <v>Naija Mart GRA</v>
      </c>
      <c r="J915" s="1">
        <f t="shared" si="28"/>
        <v>66600</v>
      </c>
      <c r="K915" s="1" t="str">
        <f>VLOOKUP(D915,products!A:D,2,FALSE)</f>
        <v>Home Appliances</v>
      </c>
      <c r="L915" s="1" t="str">
        <f t="shared" si="29"/>
        <v>Dec-2025</v>
      </c>
    </row>
    <row r="916" spans="1:12" x14ac:dyDescent="0.25">
      <c r="A916" s="3" t="s">
        <v>1162</v>
      </c>
      <c r="B916" s="6">
        <v>45884</v>
      </c>
      <c r="C916" s="3" t="s">
        <v>12</v>
      </c>
      <c r="D916" s="3" t="s">
        <v>59</v>
      </c>
      <c r="E916" s="3" t="s">
        <v>263</v>
      </c>
      <c r="F916" s="3">
        <v>2</v>
      </c>
      <c r="G916" s="3">
        <v>0</v>
      </c>
      <c r="H916" s="1">
        <f>VLOOKUP(D916,products!A:D,4,FALSE)</f>
        <v>15000</v>
      </c>
      <c r="I916" s="1" t="str">
        <f>VLOOKUP(C916,branches!A:B,2,FALSE)</f>
        <v>Naija Mart Wuse</v>
      </c>
      <c r="J916" s="1">
        <f t="shared" si="28"/>
        <v>30000</v>
      </c>
      <c r="K916" s="1" t="str">
        <f>VLOOKUP(D916,products!A:D,2,FALSE)</f>
        <v>Home Appliances</v>
      </c>
      <c r="L916" s="1" t="str">
        <f t="shared" si="29"/>
        <v>Aug-2025</v>
      </c>
    </row>
    <row r="917" spans="1:12" x14ac:dyDescent="0.25">
      <c r="A917" s="3" t="s">
        <v>1163</v>
      </c>
      <c r="B917" s="6">
        <v>45985</v>
      </c>
      <c r="C917" s="3" t="s">
        <v>16</v>
      </c>
      <c r="D917" s="3" t="s">
        <v>56</v>
      </c>
      <c r="E917" s="3" t="s">
        <v>842</v>
      </c>
      <c r="F917" s="3">
        <v>1</v>
      </c>
      <c r="G917" s="3">
        <v>0</v>
      </c>
      <c r="H917" s="1">
        <f>VLOOKUP(D917,products!A:D,4,FALSE)</f>
        <v>285000</v>
      </c>
      <c r="I917" s="1" t="str">
        <f>VLOOKUP(C917,branches!A:B,2,FALSE)</f>
        <v>Naija Mart Ikeja</v>
      </c>
      <c r="J917" s="1">
        <f t="shared" si="28"/>
        <v>285000</v>
      </c>
      <c r="K917" s="1" t="str">
        <f>VLOOKUP(D917,products!A:D,2,FALSE)</f>
        <v>Home Appliances</v>
      </c>
      <c r="L917" s="1" t="str">
        <f t="shared" si="29"/>
        <v>Nov-2025</v>
      </c>
    </row>
    <row r="918" spans="1:12" x14ac:dyDescent="0.25">
      <c r="A918" s="3" t="s">
        <v>1164</v>
      </c>
      <c r="B918" s="6">
        <v>45885</v>
      </c>
      <c r="C918" s="3" t="s">
        <v>16</v>
      </c>
      <c r="D918" s="3" t="s">
        <v>40</v>
      </c>
      <c r="E918" s="3" t="s">
        <v>240</v>
      </c>
      <c r="F918" s="3">
        <v>1</v>
      </c>
      <c r="G918" s="3">
        <v>5</v>
      </c>
      <c r="H918" s="1">
        <f>VLOOKUP(D918,products!A:D,4,FALSE)</f>
        <v>195000</v>
      </c>
      <c r="I918" s="1" t="str">
        <f>VLOOKUP(C918,branches!A:B,2,FALSE)</f>
        <v>Naija Mart Ikeja</v>
      </c>
      <c r="J918" s="1">
        <f t="shared" si="28"/>
        <v>185250</v>
      </c>
      <c r="K918" s="1" t="str">
        <f>VLOOKUP(D918,products!A:D,2,FALSE)</f>
        <v>Generators &amp; Power</v>
      </c>
      <c r="L918" s="1" t="str">
        <f t="shared" si="29"/>
        <v>Aug-2025</v>
      </c>
    </row>
    <row r="919" spans="1:12" x14ac:dyDescent="0.25">
      <c r="A919" s="3" t="s">
        <v>1165</v>
      </c>
      <c r="B919" s="6">
        <v>45710</v>
      </c>
      <c r="C919" s="3" t="s">
        <v>16</v>
      </c>
      <c r="D919" s="3" t="s">
        <v>59</v>
      </c>
      <c r="E919" s="3" t="s">
        <v>480</v>
      </c>
      <c r="F919" s="3">
        <v>1</v>
      </c>
      <c r="G919" s="3">
        <v>15</v>
      </c>
      <c r="H919" s="1">
        <f>VLOOKUP(D919,products!A:D,4,FALSE)</f>
        <v>15000</v>
      </c>
      <c r="I919" s="1" t="str">
        <f>VLOOKUP(C919,branches!A:B,2,FALSE)</f>
        <v>Naija Mart Ikeja</v>
      </c>
      <c r="J919" s="1">
        <f t="shared" si="28"/>
        <v>12750</v>
      </c>
      <c r="K919" s="1" t="str">
        <f>VLOOKUP(D919,products!A:D,2,FALSE)</f>
        <v>Home Appliances</v>
      </c>
      <c r="L919" s="1" t="str">
        <f t="shared" si="29"/>
        <v>Feb-2025</v>
      </c>
    </row>
    <row r="920" spans="1:12" x14ac:dyDescent="0.25">
      <c r="A920" s="3" t="s">
        <v>1166</v>
      </c>
      <c r="B920" s="6">
        <v>45699</v>
      </c>
      <c r="C920" s="3" t="s">
        <v>12</v>
      </c>
      <c r="D920" s="3" t="s">
        <v>56</v>
      </c>
      <c r="E920" s="3" t="s">
        <v>65</v>
      </c>
      <c r="F920" s="3">
        <v>1</v>
      </c>
      <c r="G920" s="3">
        <v>10</v>
      </c>
      <c r="H920" s="1">
        <f>VLOOKUP(D920,products!A:D,4,FALSE)</f>
        <v>285000</v>
      </c>
      <c r="I920" s="1" t="str">
        <f>VLOOKUP(C920,branches!A:B,2,FALSE)</f>
        <v>Naija Mart Wuse</v>
      </c>
      <c r="J920" s="1">
        <f t="shared" si="28"/>
        <v>256500</v>
      </c>
      <c r="K920" s="1" t="str">
        <f>VLOOKUP(D920,products!A:D,2,FALSE)</f>
        <v>Home Appliances</v>
      </c>
      <c r="L920" s="1" t="str">
        <f t="shared" si="29"/>
        <v>Feb-2025</v>
      </c>
    </row>
    <row r="921" spans="1:12" x14ac:dyDescent="0.25">
      <c r="A921" s="3" t="s">
        <v>1167</v>
      </c>
      <c r="B921" s="6">
        <v>45857</v>
      </c>
      <c r="C921" s="3" t="s">
        <v>12</v>
      </c>
      <c r="D921" s="3" t="s">
        <v>91</v>
      </c>
      <c r="E921" s="3" t="s">
        <v>842</v>
      </c>
      <c r="F921" s="3">
        <v>1</v>
      </c>
      <c r="G921" s="3">
        <v>15</v>
      </c>
      <c r="H921" s="1">
        <f>VLOOKUP(D921,products!A:D,4,FALSE)</f>
        <v>5200</v>
      </c>
      <c r="I921" s="1" t="str">
        <f>VLOOKUP(C921,branches!A:B,2,FALSE)</f>
        <v>Naija Mart Wuse</v>
      </c>
      <c r="J921" s="1">
        <f t="shared" si="28"/>
        <v>4420</v>
      </c>
      <c r="K921" s="1" t="str">
        <f>VLOOKUP(D921,products!A:D,2,FALSE)</f>
        <v>Small Gadgets</v>
      </c>
      <c r="L921" s="1" t="str">
        <f t="shared" si="29"/>
        <v>Jul-2025</v>
      </c>
    </row>
    <row r="922" spans="1:12" x14ac:dyDescent="0.25">
      <c r="A922" s="3" t="s">
        <v>1168</v>
      </c>
      <c r="B922" s="6">
        <v>46004</v>
      </c>
      <c r="C922" s="3" t="s">
        <v>12</v>
      </c>
      <c r="D922" s="3" t="s">
        <v>26</v>
      </c>
      <c r="E922" s="3" t="s">
        <v>116</v>
      </c>
      <c r="F922" s="3">
        <v>2</v>
      </c>
      <c r="G922" s="3">
        <v>5</v>
      </c>
      <c r="H922" s="1">
        <f>VLOOKUP(D922,products!A:D,4,FALSE)</f>
        <v>145000</v>
      </c>
      <c r="I922" s="1" t="str">
        <f>VLOOKUP(C922,branches!A:B,2,FALSE)</f>
        <v>Naija Mart Wuse</v>
      </c>
      <c r="J922" s="1">
        <f t="shared" si="28"/>
        <v>275500</v>
      </c>
      <c r="K922" s="1" t="str">
        <f>VLOOKUP(D922,products!A:D,2,FALSE)</f>
        <v>Electronics</v>
      </c>
      <c r="L922" s="1" t="str">
        <f t="shared" si="29"/>
        <v>Dec-2025</v>
      </c>
    </row>
    <row r="923" spans="1:12" x14ac:dyDescent="0.25">
      <c r="A923" s="3" t="s">
        <v>1169</v>
      </c>
      <c r="B923" s="6">
        <v>46011</v>
      </c>
      <c r="C923" s="3" t="s">
        <v>8</v>
      </c>
      <c r="D923" s="3" t="s">
        <v>197</v>
      </c>
      <c r="E923" s="3" t="s">
        <v>787</v>
      </c>
      <c r="F923" s="3">
        <v>1</v>
      </c>
      <c r="G923" s="3">
        <v>30</v>
      </c>
      <c r="H923" s="1">
        <f>VLOOKUP(D923,products!A:D,4,FALSE)</f>
        <v>78000</v>
      </c>
      <c r="I923" s="1" t="str">
        <f>VLOOKUP(C923,branches!A:B,2,FALSE)</f>
        <v>Naija Mart GRA</v>
      </c>
      <c r="J923" s="1">
        <f t="shared" si="28"/>
        <v>54600</v>
      </c>
      <c r="K923" s="1" t="str">
        <f>VLOOKUP(D923,products!A:D,2,FALSE)</f>
        <v>Electronics</v>
      </c>
      <c r="L923" s="1" t="str">
        <f t="shared" si="29"/>
        <v>Dec-2025</v>
      </c>
    </row>
    <row r="924" spans="1:12" x14ac:dyDescent="0.25">
      <c r="A924" s="3" t="s">
        <v>1170</v>
      </c>
      <c r="B924" s="6">
        <v>45831</v>
      </c>
      <c r="C924" s="3" t="s">
        <v>36</v>
      </c>
      <c r="D924" s="3" t="s">
        <v>40</v>
      </c>
      <c r="E924" s="3" t="s">
        <v>217</v>
      </c>
      <c r="F924" s="3">
        <v>1</v>
      </c>
      <c r="G924" s="3">
        <v>0</v>
      </c>
      <c r="H924" s="1">
        <f>VLOOKUP(D924,products!A:D,4,FALSE)</f>
        <v>195000</v>
      </c>
      <c r="I924" s="1" t="str">
        <f>VLOOKUP(C924,branches!A:B,2,FALSE)</f>
        <v>Naija Mart Sabon Gari</v>
      </c>
      <c r="J924" s="1">
        <f t="shared" si="28"/>
        <v>195000</v>
      </c>
      <c r="K924" s="1" t="str">
        <f>VLOOKUP(D924,products!A:D,2,FALSE)</f>
        <v>Generators &amp; Power</v>
      </c>
      <c r="L924" s="1" t="str">
        <f t="shared" si="29"/>
        <v>Jun-2025</v>
      </c>
    </row>
    <row r="925" spans="1:12" x14ac:dyDescent="0.25">
      <c r="A925" s="3" t="s">
        <v>1171</v>
      </c>
      <c r="B925" s="6">
        <v>45676</v>
      </c>
      <c r="C925" s="3" t="s">
        <v>8</v>
      </c>
      <c r="D925" s="3" t="s">
        <v>126</v>
      </c>
      <c r="E925" s="3" t="s">
        <v>969</v>
      </c>
      <c r="F925" s="3">
        <v>5</v>
      </c>
      <c r="G925" s="3">
        <v>5</v>
      </c>
      <c r="H925" s="1">
        <f>VLOOKUP(D925,products!A:D,4,FALSE)</f>
        <v>185000</v>
      </c>
      <c r="I925" s="1" t="str">
        <f>VLOOKUP(C925,branches!A:B,2,FALSE)</f>
        <v>Naija Mart GRA</v>
      </c>
      <c r="J925" s="1">
        <f t="shared" si="28"/>
        <v>878750</v>
      </c>
      <c r="K925" s="1" t="str">
        <f>VLOOKUP(D925,products!A:D,2,FALSE)</f>
        <v>Electronics</v>
      </c>
      <c r="L925" s="1" t="str">
        <f t="shared" si="29"/>
        <v>Jan-2025</v>
      </c>
    </row>
    <row r="926" spans="1:12" x14ac:dyDescent="0.25">
      <c r="A926" s="3" t="s">
        <v>1172</v>
      </c>
      <c r="B926" s="6">
        <v>45728</v>
      </c>
      <c r="C926" s="3" t="s">
        <v>16</v>
      </c>
      <c r="D926" s="3" t="s">
        <v>43</v>
      </c>
      <c r="E926" s="3" t="s">
        <v>557</v>
      </c>
      <c r="F926" s="3">
        <v>1</v>
      </c>
      <c r="G926" s="3">
        <v>5</v>
      </c>
      <c r="H926" s="1">
        <f>VLOOKUP(D926,products!A:D,4,FALSE)</f>
        <v>74000</v>
      </c>
      <c r="I926" s="1" t="str">
        <f>VLOOKUP(C926,branches!A:B,2,FALSE)</f>
        <v>Naija Mart Ikeja</v>
      </c>
      <c r="J926" s="1">
        <f t="shared" si="28"/>
        <v>70300</v>
      </c>
      <c r="K926" s="1" t="str">
        <f>VLOOKUP(D926,products!A:D,2,FALSE)</f>
        <v>Home Appliances</v>
      </c>
      <c r="L926" s="1" t="str">
        <f t="shared" si="29"/>
        <v>Mar-2025</v>
      </c>
    </row>
    <row r="927" spans="1:12" x14ac:dyDescent="0.25">
      <c r="A927" s="3" t="s">
        <v>1173</v>
      </c>
      <c r="B927" s="6">
        <v>45784</v>
      </c>
      <c r="C927" s="3" t="s">
        <v>12</v>
      </c>
      <c r="D927" s="3" t="s">
        <v>258</v>
      </c>
      <c r="E927" s="3" t="s">
        <v>551</v>
      </c>
      <c r="F927" s="3">
        <v>1</v>
      </c>
      <c r="G927" s="3">
        <v>0</v>
      </c>
      <c r="H927" s="1">
        <f>VLOOKUP(D927,products!A:D,4,FALSE)</f>
        <v>95000</v>
      </c>
      <c r="I927" s="1" t="str">
        <f>VLOOKUP(C927,branches!A:B,2,FALSE)</f>
        <v>Naija Mart Wuse</v>
      </c>
      <c r="J927" s="1">
        <f t="shared" si="28"/>
        <v>95000</v>
      </c>
      <c r="K927" s="1" t="str">
        <f>VLOOKUP(D927,products!A:D,2,FALSE)</f>
        <v>Electronics</v>
      </c>
      <c r="L927" s="1" t="str">
        <f t="shared" si="29"/>
        <v>May-2025</v>
      </c>
    </row>
    <row r="928" spans="1:12" x14ac:dyDescent="0.25">
      <c r="A928" s="3" t="s">
        <v>1174</v>
      </c>
      <c r="B928" s="6">
        <v>45942</v>
      </c>
      <c r="C928" s="3" t="s">
        <v>16</v>
      </c>
      <c r="D928" s="3" t="s">
        <v>46</v>
      </c>
      <c r="E928" s="3" t="s">
        <v>47</v>
      </c>
      <c r="F928" s="3">
        <v>2</v>
      </c>
      <c r="G928" s="3">
        <v>15</v>
      </c>
      <c r="H928" s="1">
        <f>VLOOKUP(D928,products!A:D,4,FALSE)</f>
        <v>62000</v>
      </c>
      <c r="I928" s="1" t="str">
        <f>VLOOKUP(C928,branches!A:B,2,FALSE)</f>
        <v>Naija Mart Ikeja</v>
      </c>
      <c r="J928" s="1">
        <f t="shared" si="28"/>
        <v>105400</v>
      </c>
      <c r="K928" s="1" t="str">
        <f>VLOOKUP(D928,products!A:D,2,FALSE)</f>
        <v>Home Appliances</v>
      </c>
      <c r="L928" s="1" t="str">
        <f t="shared" si="29"/>
        <v>Oct-2025</v>
      </c>
    </row>
    <row r="929" spans="1:12" x14ac:dyDescent="0.25">
      <c r="A929" s="3" t="s">
        <v>1175</v>
      </c>
      <c r="B929" s="6">
        <v>46008</v>
      </c>
      <c r="C929" s="3" t="s">
        <v>16</v>
      </c>
      <c r="D929" s="3" t="s">
        <v>80</v>
      </c>
      <c r="E929" s="3" t="s">
        <v>261</v>
      </c>
      <c r="F929" s="3">
        <v>2</v>
      </c>
      <c r="G929" s="3">
        <v>15</v>
      </c>
      <c r="H929" s="1">
        <f>VLOOKUP(D929,products!A:D,4,FALSE)</f>
        <v>265000</v>
      </c>
      <c r="I929" s="1" t="str">
        <f>VLOOKUP(C929,branches!A:B,2,FALSE)</f>
        <v>Naija Mart Ikeja</v>
      </c>
      <c r="J929" s="1">
        <f t="shared" si="28"/>
        <v>450500</v>
      </c>
      <c r="K929" s="1" t="str">
        <f>VLOOKUP(D929,products!A:D,2,FALSE)</f>
        <v>Home Appliances</v>
      </c>
      <c r="L929" s="1" t="str">
        <f t="shared" si="29"/>
        <v>Dec-2025</v>
      </c>
    </row>
    <row r="930" spans="1:12" x14ac:dyDescent="0.25">
      <c r="A930" s="3" t="s">
        <v>1176</v>
      </c>
      <c r="B930" s="6">
        <v>45916</v>
      </c>
      <c r="C930" s="3" t="s">
        <v>16</v>
      </c>
      <c r="D930" s="3" t="s">
        <v>37</v>
      </c>
      <c r="E930" s="3" t="s">
        <v>230</v>
      </c>
      <c r="F930" s="3">
        <v>1</v>
      </c>
      <c r="G930" s="3">
        <v>0</v>
      </c>
      <c r="H930" s="1">
        <f>VLOOKUP(D930,products!A:D,4,FALSE)</f>
        <v>8500</v>
      </c>
      <c r="I930" s="1" t="str">
        <f>VLOOKUP(C930,branches!A:B,2,FALSE)</f>
        <v>Naija Mart Ikeja</v>
      </c>
      <c r="J930" s="1">
        <f t="shared" si="28"/>
        <v>8500</v>
      </c>
      <c r="K930" s="1" t="str">
        <f>VLOOKUP(D930,products!A:D,2,FALSE)</f>
        <v>Small Gadgets</v>
      </c>
      <c r="L930" s="1" t="str">
        <f t="shared" si="29"/>
        <v>Sep-2025</v>
      </c>
    </row>
    <row r="931" spans="1:12" x14ac:dyDescent="0.25">
      <c r="A931" s="3" t="s">
        <v>1177</v>
      </c>
      <c r="B931" s="6">
        <v>45953</v>
      </c>
      <c r="C931" s="3" t="s">
        <v>16</v>
      </c>
      <c r="D931" s="3" t="s">
        <v>43</v>
      </c>
      <c r="E931" s="3" t="s">
        <v>174</v>
      </c>
      <c r="F931" s="3">
        <v>2</v>
      </c>
      <c r="G931" s="3">
        <v>0</v>
      </c>
      <c r="H931" s="1">
        <f>VLOOKUP(D931,products!A:D,4,FALSE)</f>
        <v>74000</v>
      </c>
      <c r="I931" s="1" t="str">
        <f>VLOOKUP(C931,branches!A:B,2,FALSE)</f>
        <v>Naija Mart Ikeja</v>
      </c>
      <c r="J931" s="1">
        <f t="shared" si="28"/>
        <v>148000</v>
      </c>
      <c r="K931" s="1" t="str">
        <f>VLOOKUP(D931,products!A:D,2,FALSE)</f>
        <v>Home Appliances</v>
      </c>
      <c r="L931" s="1" t="str">
        <f t="shared" si="29"/>
        <v>Oct-2025</v>
      </c>
    </row>
    <row r="932" spans="1:12" x14ac:dyDescent="0.25">
      <c r="A932" s="3" t="s">
        <v>1178</v>
      </c>
      <c r="B932" s="6">
        <v>45952</v>
      </c>
      <c r="C932" s="3" t="s">
        <v>8</v>
      </c>
      <c r="D932" s="3" t="s">
        <v>258</v>
      </c>
      <c r="E932" s="3" t="s">
        <v>341</v>
      </c>
      <c r="F932" s="3">
        <v>1</v>
      </c>
      <c r="G932" s="3">
        <v>5</v>
      </c>
      <c r="H932" s="1">
        <f>VLOOKUP(D932,products!A:D,4,FALSE)</f>
        <v>95000</v>
      </c>
      <c r="I932" s="1" t="str">
        <f>VLOOKUP(C932,branches!A:B,2,FALSE)</f>
        <v>Naija Mart GRA</v>
      </c>
      <c r="J932" s="1">
        <f t="shared" si="28"/>
        <v>90250</v>
      </c>
      <c r="K932" s="1" t="str">
        <f>VLOOKUP(D932,products!A:D,2,FALSE)</f>
        <v>Electronics</v>
      </c>
      <c r="L932" s="1" t="str">
        <f t="shared" si="29"/>
        <v>Oct-2025</v>
      </c>
    </row>
    <row r="933" spans="1:12" x14ac:dyDescent="0.25">
      <c r="A933" s="3" t="s">
        <v>1179</v>
      </c>
      <c r="B933" s="6">
        <v>45817</v>
      </c>
      <c r="C933" s="3" t="s">
        <v>12</v>
      </c>
      <c r="D933" s="3" t="s">
        <v>149</v>
      </c>
      <c r="E933" s="3" t="s">
        <v>969</v>
      </c>
      <c r="F933" s="3">
        <v>2</v>
      </c>
      <c r="G933" s="3">
        <v>10</v>
      </c>
      <c r="H933" s="1">
        <f>VLOOKUP(D933,products!A:D,4,FALSE)</f>
        <v>6500</v>
      </c>
      <c r="I933" s="1" t="str">
        <f>VLOOKUP(C933,branches!A:B,2,FALSE)</f>
        <v>Naija Mart Wuse</v>
      </c>
      <c r="J933" s="1">
        <f t="shared" si="28"/>
        <v>11700</v>
      </c>
      <c r="K933" s="1" t="str">
        <f>VLOOKUP(D933,products!A:D,2,FALSE)</f>
        <v>Small Gadgets</v>
      </c>
      <c r="L933" s="1" t="str">
        <f t="shared" si="29"/>
        <v>Jun-2025</v>
      </c>
    </row>
    <row r="934" spans="1:12" x14ac:dyDescent="0.25">
      <c r="A934" s="3" t="s">
        <v>1180</v>
      </c>
      <c r="B934" s="6">
        <v>45696</v>
      </c>
      <c r="C934" s="3" t="s">
        <v>8</v>
      </c>
      <c r="D934" s="3" t="s">
        <v>43</v>
      </c>
      <c r="E934" s="3" t="s">
        <v>174</v>
      </c>
      <c r="F934" s="3">
        <v>1</v>
      </c>
      <c r="G934" s="3">
        <v>5</v>
      </c>
      <c r="H934" s="1">
        <f>VLOOKUP(D934,products!A:D,4,FALSE)</f>
        <v>74000</v>
      </c>
      <c r="I934" s="1" t="str">
        <f>VLOOKUP(C934,branches!A:B,2,FALSE)</f>
        <v>Naija Mart GRA</v>
      </c>
      <c r="J934" s="1">
        <f t="shared" si="28"/>
        <v>70300</v>
      </c>
      <c r="K934" s="1" t="str">
        <f>VLOOKUP(D934,products!A:D,2,FALSE)</f>
        <v>Home Appliances</v>
      </c>
      <c r="L934" s="1" t="str">
        <f t="shared" si="29"/>
        <v>Feb-2025</v>
      </c>
    </row>
    <row r="935" spans="1:12" x14ac:dyDescent="0.25">
      <c r="A935" s="3" t="s">
        <v>1181</v>
      </c>
      <c r="B935" s="6">
        <v>45738</v>
      </c>
      <c r="C935" s="3" t="s">
        <v>36</v>
      </c>
      <c r="D935" s="3" t="s">
        <v>40</v>
      </c>
      <c r="E935" s="3" t="s">
        <v>134</v>
      </c>
      <c r="F935" s="3">
        <v>1</v>
      </c>
      <c r="G935" s="3">
        <v>10</v>
      </c>
      <c r="H935" s="1">
        <f>VLOOKUP(D935,products!A:D,4,FALSE)</f>
        <v>195000</v>
      </c>
      <c r="I935" s="1" t="str">
        <f>VLOOKUP(C935,branches!A:B,2,FALSE)</f>
        <v>Naija Mart Sabon Gari</v>
      </c>
      <c r="J935" s="1">
        <f t="shared" si="28"/>
        <v>175500</v>
      </c>
      <c r="K935" s="1" t="str">
        <f>VLOOKUP(D935,products!A:D,2,FALSE)</f>
        <v>Generators &amp; Power</v>
      </c>
      <c r="L935" s="1" t="str">
        <f t="shared" si="29"/>
        <v>Mar-2025</v>
      </c>
    </row>
    <row r="936" spans="1:12" x14ac:dyDescent="0.25">
      <c r="A936" s="3" t="s">
        <v>1182</v>
      </c>
      <c r="B936" s="6">
        <v>45826</v>
      </c>
      <c r="C936" s="3" t="s">
        <v>36</v>
      </c>
      <c r="D936" s="3" t="s">
        <v>258</v>
      </c>
      <c r="E936" s="3" t="s">
        <v>1090</v>
      </c>
      <c r="F936" s="3">
        <v>1</v>
      </c>
      <c r="G936" s="3">
        <v>0</v>
      </c>
      <c r="H936" s="1">
        <f>VLOOKUP(D936,products!A:D,4,FALSE)</f>
        <v>95000</v>
      </c>
      <c r="I936" s="1" t="str">
        <f>VLOOKUP(C936,branches!A:B,2,FALSE)</f>
        <v>Naija Mart Sabon Gari</v>
      </c>
      <c r="J936" s="1">
        <f t="shared" si="28"/>
        <v>95000</v>
      </c>
      <c r="K936" s="1" t="str">
        <f>VLOOKUP(D936,products!A:D,2,FALSE)</f>
        <v>Electronics</v>
      </c>
      <c r="L936" s="1" t="str">
        <f t="shared" si="29"/>
        <v>Jun-2025</v>
      </c>
    </row>
    <row r="937" spans="1:12" x14ac:dyDescent="0.25">
      <c r="A937" s="3" t="s">
        <v>1183</v>
      </c>
      <c r="B937" s="6">
        <v>45798</v>
      </c>
      <c r="C937" s="3" t="s">
        <v>16</v>
      </c>
      <c r="D937" s="3" t="s">
        <v>51</v>
      </c>
      <c r="E937" s="3" t="s">
        <v>180</v>
      </c>
      <c r="F937" s="3">
        <v>1</v>
      </c>
      <c r="G937" s="3">
        <v>0</v>
      </c>
      <c r="H937" s="1">
        <f>VLOOKUP(D937,products!A:D,4,FALSE)</f>
        <v>18000</v>
      </c>
      <c r="I937" s="1" t="str">
        <f>VLOOKUP(C937,branches!A:B,2,FALSE)</f>
        <v>Naija Mart Ikeja</v>
      </c>
      <c r="J937" s="1">
        <f t="shared" si="28"/>
        <v>18000</v>
      </c>
      <c r="K937" s="1" t="str">
        <f>VLOOKUP(D937,products!A:D,2,FALSE)</f>
        <v>Small Gadgets</v>
      </c>
      <c r="L937" s="1" t="str">
        <f t="shared" si="29"/>
        <v>May-2025</v>
      </c>
    </row>
    <row r="938" spans="1:12" x14ac:dyDescent="0.25">
      <c r="A938" s="3" t="s">
        <v>1184</v>
      </c>
      <c r="B938" s="6">
        <v>45980</v>
      </c>
      <c r="C938" s="3" t="s">
        <v>16</v>
      </c>
      <c r="D938" s="3" t="s">
        <v>149</v>
      </c>
      <c r="E938" s="3" t="s">
        <v>1185</v>
      </c>
      <c r="F938" s="3">
        <v>1</v>
      </c>
      <c r="G938" s="3">
        <v>10</v>
      </c>
      <c r="H938" s="1">
        <f>VLOOKUP(D938,products!A:D,4,FALSE)</f>
        <v>6500</v>
      </c>
      <c r="I938" s="1" t="str">
        <f>VLOOKUP(C938,branches!A:B,2,FALSE)</f>
        <v>Naija Mart Ikeja</v>
      </c>
      <c r="J938" s="1">
        <f t="shared" si="28"/>
        <v>5850</v>
      </c>
      <c r="K938" s="1" t="str">
        <f>VLOOKUP(D938,products!A:D,2,FALSE)</f>
        <v>Small Gadgets</v>
      </c>
      <c r="L938" s="1" t="str">
        <f t="shared" si="29"/>
        <v>Nov-2025</v>
      </c>
    </row>
    <row r="939" spans="1:12" x14ac:dyDescent="0.25">
      <c r="A939" s="3" t="s">
        <v>1186</v>
      </c>
      <c r="B939" s="6">
        <v>45708</v>
      </c>
      <c r="C939" s="3" t="s">
        <v>12</v>
      </c>
      <c r="D939" s="3" t="s">
        <v>33</v>
      </c>
      <c r="E939" s="3" t="s">
        <v>245</v>
      </c>
      <c r="F939" s="3">
        <v>1</v>
      </c>
      <c r="G939" s="3">
        <v>5</v>
      </c>
      <c r="H939" s="1">
        <f>VLOOKUP(D939,products!A:D,4,FALSE)</f>
        <v>245000</v>
      </c>
      <c r="I939" s="1" t="str">
        <f>VLOOKUP(C939,branches!A:B,2,FALSE)</f>
        <v>Naija Mart Wuse</v>
      </c>
      <c r="J939" s="1">
        <f t="shared" si="28"/>
        <v>232750</v>
      </c>
      <c r="K939" s="1" t="str">
        <f>VLOOKUP(D939,products!A:D,2,FALSE)</f>
        <v>Generators &amp; Power</v>
      </c>
      <c r="L939" s="1" t="str">
        <f t="shared" si="29"/>
        <v>Feb-2025</v>
      </c>
    </row>
    <row r="940" spans="1:12" x14ac:dyDescent="0.25">
      <c r="A940" s="3" t="s">
        <v>1187</v>
      </c>
      <c r="B940" s="6">
        <v>45976</v>
      </c>
      <c r="C940" s="3" t="s">
        <v>12</v>
      </c>
      <c r="D940" s="3" t="s">
        <v>20</v>
      </c>
      <c r="E940" s="3" t="s">
        <v>150</v>
      </c>
      <c r="F940" s="3">
        <v>1</v>
      </c>
      <c r="G940" s="3">
        <v>10</v>
      </c>
      <c r="H940" s="1">
        <f>VLOOKUP(D940,products!A:D,4,FALSE)</f>
        <v>38000</v>
      </c>
      <c r="I940" s="1" t="str">
        <f>VLOOKUP(C940,branches!A:B,2,FALSE)</f>
        <v>Naija Mart Wuse</v>
      </c>
      <c r="J940" s="1">
        <f t="shared" si="28"/>
        <v>34200</v>
      </c>
      <c r="K940" s="1" t="str">
        <f>VLOOKUP(D940,products!A:D,2,FALSE)</f>
        <v>Electronics</v>
      </c>
      <c r="L940" s="1" t="str">
        <f t="shared" si="29"/>
        <v>Nov-2025</v>
      </c>
    </row>
    <row r="941" spans="1:12" x14ac:dyDescent="0.25">
      <c r="A941" s="3" t="s">
        <v>1188</v>
      </c>
      <c r="B941" s="6">
        <v>45707</v>
      </c>
      <c r="C941" s="3" t="s">
        <v>12</v>
      </c>
      <c r="D941" s="3" t="s">
        <v>69</v>
      </c>
      <c r="E941" s="3" t="s">
        <v>136</v>
      </c>
      <c r="F941" s="3">
        <v>1</v>
      </c>
      <c r="G941" s="3">
        <v>10</v>
      </c>
      <c r="H941" s="1">
        <f>VLOOKUP(D941,products!A:D,4,FALSE)</f>
        <v>45000</v>
      </c>
      <c r="I941" s="1" t="str">
        <f>VLOOKUP(C941,branches!A:B,2,FALSE)</f>
        <v>Naija Mart Wuse</v>
      </c>
      <c r="J941" s="1">
        <f t="shared" si="28"/>
        <v>40500</v>
      </c>
      <c r="K941" s="1" t="str">
        <f>VLOOKUP(D941,products!A:D,2,FALSE)</f>
        <v>Electronics</v>
      </c>
      <c r="L941" s="1" t="str">
        <f t="shared" si="29"/>
        <v>Feb-2025</v>
      </c>
    </row>
    <row r="942" spans="1:12" x14ac:dyDescent="0.25">
      <c r="A942" s="3" t="s">
        <v>1189</v>
      </c>
      <c r="B942" s="6">
        <v>45795</v>
      </c>
      <c r="C942" s="3" t="s">
        <v>16</v>
      </c>
      <c r="D942" s="3" t="s">
        <v>49</v>
      </c>
      <c r="E942" s="3" t="s">
        <v>189</v>
      </c>
      <c r="F942" s="3">
        <v>1</v>
      </c>
      <c r="G942" s="3">
        <v>0</v>
      </c>
      <c r="H942" s="1">
        <f>VLOOKUP(D942,products!A:D,4,FALSE)</f>
        <v>28000</v>
      </c>
      <c r="I942" s="1" t="str">
        <f>VLOOKUP(C942,branches!A:B,2,FALSE)</f>
        <v>Naija Mart Ikeja</v>
      </c>
      <c r="J942" s="1">
        <f t="shared" si="28"/>
        <v>28000</v>
      </c>
      <c r="K942" s="1" t="str">
        <f>VLOOKUP(D942,products!A:D,2,FALSE)</f>
        <v>Home Appliances</v>
      </c>
      <c r="L942" s="1" t="str">
        <f t="shared" si="29"/>
        <v>May-2025</v>
      </c>
    </row>
    <row r="943" spans="1:12" x14ac:dyDescent="0.25">
      <c r="A943" s="3" t="s">
        <v>1190</v>
      </c>
      <c r="B943" s="6">
        <v>45815</v>
      </c>
      <c r="C943" s="3" t="s">
        <v>12</v>
      </c>
      <c r="D943" s="3" t="s">
        <v>9</v>
      </c>
      <c r="E943" s="3" t="s">
        <v>547</v>
      </c>
      <c r="F943" s="3">
        <v>1</v>
      </c>
      <c r="G943" s="3">
        <v>0</v>
      </c>
      <c r="H943" s="1">
        <f>VLOOKUP(D943,products!A:D,4,FALSE)</f>
        <v>410000</v>
      </c>
      <c r="I943" s="1" t="str">
        <f>VLOOKUP(C943,branches!A:B,2,FALSE)</f>
        <v>Naija Mart Wuse</v>
      </c>
      <c r="J943" s="1">
        <f t="shared" si="28"/>
        <v>410000</v>
      </c>
      <c r="K943" s="1" t="str">
        <f>VLOOKUP(D943,products!A:D,2,FALSE)</f>
        <v>Home Appliances</v>
      </c>
      <c r="L943" s="1" t="str">
        <f t="shared" si="29"/>
        <v>Jun-2025</v>
      </c>
    </row>
    <row r="944" spans="1:12" x14ac:dyDescent="0.25">
      <c r="A944" s="3" t="s">
        <v>1191</v>
      </c>
      <c r="B944" s="6">
        <v>45665</v>
      </c>
      <c r="C944" s="3" t="s">
        <v>12</v>
      </c>
      <c r="D944" s="3" t="s">
        <v>258</v>
      </c>
      <c r="E944" s="3" t="s">
        <v>67</v>
      </c>
      <c r="F944" s="3">
        <v>1</v>
      </c>
      <c r="G944" s="3">
        <v>0</v>
      </c>
      <c r="H944" s="1">
        <f>VLOOKUP(D944,products!A:D,4,FALSE)</f>
        <v>95000</v>
      </c>
      <c r="I944" s="1" t="str">
        <f>VLOOKUP(C944,branches!A:B,2,FALSE)</f>
        <v>Naija Mart Wuse</v>
      </c>
      <c r="J944" s="1">
        <f t="shared" si="28"/>
        <v>95000</v>
      </c>
      <c r="K944" s="1" t="str">
        <f>VLOOKUP(D944,products!A:D,2,FALSE)</f>
        <v>Electronics</v>
      </c>
      <c r="L944" s="1" t="str">
        <f t="shared" si="29"/>
        <v>Jan-2025</v>
      </c>
    </row>
    <row r="945" spans="1:12" x14ac:dyDescent="0.25">
      <c r="A945" s="3" t="s">
        <v>1192</v>
      </c>
      <c r="B945" s="6">
        <v>45903</v>
      </c>
      <c r="C945" s="3" t="s">
        <v>16</v>
      </c>
      <c r="D945" s="3" t="s">
        <v>258</v>
      </c>
      <c r="E945" s="3" t="s">
        <v>76</v>
      </c>
      <c r="F945" s="3">
        <v>1</v>
      </c>
      <c r="G945" s="3">
        <v>15</v>
      </c>
      <c r="H945" s="1">
        <f>VLOOKUP(D945,products!A:D,4,FALSE)</f>
        <v>95000</v>
      </c>
      <c r="I945" s="1" t="str">
        <f>VLOOKUP(C945,branches!A:B,2,FALSE)</f>
        <v>Naija Mart Ikeja</v>
      </c>
      <c r="J945" s="1">
        <f t="shared" si="28"/>
        <v>80750</v>
      </c>
      <c r="K945" s="1" t="str">
        <f>VLOOKUP(D945,products!A:D,2,FALSE)</f>
        <v>Electronics</v>
      </c>
      <c r="L945" s="1" t="str">
        <f t="shared" si="29"/>
        <v>Sep-2025</v>
      </c>
    </row>
    <row r="946" spans="1:12" x14ac:dyDescent="0.25">
      <c r="A946" s="3" t="s">
        <v>1193</v>
      </c>
      <c r="B946" s="6">
        <v>45973</v>
      </c>
      <c r="C946" s="3" t="s">
        <v>16</v>
      </c>
      <c r="D946" s="3" t="s">
        <v>51</v>
      </c>
      <c r="E946" s="3" t="s">
        <v>387</v>
      </c>
      <c r="F946" s="3">
        <v>1</v>
      </c>
      <c r="G946" s="3">
        <v>25</v>
      </c>
      <c r="H946" s="1">
        <f>VLOOKUP(D946,products!A:D,4,FALSE)</f>
        <v>18000</v>
      </c>
      <c r="I946" s="1" t="str">
        <f>VLOOKUP(C946,branches!A:B,2,FALSE)</f>
        <v>Naija Mart Ikeja</v>
      </c>
      <c r="J946" s="1">
        <f t="shared" si="28"/>
        <v>13500</v>
      </c>
      <c r="K946" s="1" t="str">
        <f>VLOOKUP(D946,products!A:D,2,FALSE)</f>
        <v>Small Gadgets</v>
      </c>
      <c r="L946" s="1" t="str">
        <f t="shared" si="29"/>
        <v>Nov-2025</v>
      </c>
    </row>
    <row r="947" spans="1:12" x14ac:dyDescent="0.25">
      <c r="A947" s="3" t="s">
        <v>1194</v>
      </c>
      <c r="B947" s="6">
        <v>45696</v>
      </c>
      <c r="C947" s="3" t="s">
        <v>8</v>
      </c>
      <c r="D947" s="3" t="s">
        <v>23</v>
      </c>
      <c r="E947" s="3" t="s">
        <v>376</v>
      </c>
      <c r="F947" s="3">
        <v>3</v>
      </c>
      <c r="G947" s="3">
        <v>0</v>
      </c>
      <c r="H947" s="1">
        <f>VLOOKUP(D947,products!A:D,4,FALSE)</f>
        <v>19500</v>
      </c>
      <c r="I947" s="1" t="str">
        <f>VLOOKUP(C947,branches!A:B,2,FALSE)</f>
        <v>Naija Mart GRA</v>
      </c>
      <c r="J947" s="1">
        <f t="shared" si="28"/>
        <v>58500</v>
      </c>
      <c r="K947" s="1" t="str">
        <f>VLOOKUP(D947,products!A:D,2,FALSE)</f>
        <v>Home Appliances</v>
      </c>
      <c r="L947" s="1" t="str">
        <f t="shared" si="29"/>
        <v>Feb-2025</v>
      </c>
    </row>
    <row r="948" spans="1:12" x14ac:dyDescent="0.25">
      <c r="A948" s="3" t="s">
        <v>1195</v>
      </c>
      <c r="B948" s="6">
        <v>45788</v>
      </c>
      <c r="C948" s="3" t="s">
        <v>12</v>
      </c>
      <c r="D948" s="3" t="s">
        <v>149</v>
      </c>
      <c r="E948" s="3" t="s">
        <v>81</v>
      </c>
      <c r="F948" s="3">
        <v>1</v>
      </c>
      <c r="G948" s="3">
        <v>20</v>
      </c>
      <c r="H948" s="1">
        <f>VLOOKUP(D948,products!A:D,4,FALSE)</f>
        <v>6500</v>
      </c>
      <c r="I948" s="1" t="str">
        <f>VLOOKUP(C948,branches!A:B,2,FALSE)</f>
        <v>Naija Mart Wuse</v>
      </c>
      <c r="J948" s="1">
        <f t="shared" si="28"/>
        <v>5200</v>
      </c>
      <c r="K948" s="1" t="str">
        <f>VLOOKUP(D948,products!A:D,2,FALSE)</f>
        <v>Small Gadgets</v>
      </c>
      <c r="L948" s="1" t="str">
        <f t="shared" si="29"/>
        <v>May-2025</v>
      </c>
    </row>
    <row r="949" spans="1:12" x14ac:dyDescent="0.25">
      <c r="A949" s="3" t="s">
        <v>1196</v>
      </c>
      <c r="B949" s="6">
        <v>45673</v>
      </c>
      <c r="C949" s="3" t="s">
        <v>16</v>
      </c>
      <c r="D949" s="3" t="s">
        <v>94</v>
      </c>
      <c r="E949" s="3" t="s">
        <v>504</v>
      </c>
      <c r="F949" s="3">
        <v>1</v>
      </c>
      <c r="G949" s="3">
        <v>0</v>
      </c>
      <c r="H949" s="1">
        <f>VLOOKUP(D949,products!A:D,4,FALSE)</f>
        <v>320000</v>
      </c>
      <c r="I949" s="1" t="str">
        <f>VLOOKUP(C949,branches!A:B,2,FALSE)</f>
        <v>Naija Mart Ikeja</v>
      </c>
      <c r="J949" s="1">
        <f t="shared" si="28"/>
        <v>320000</v>
      </c>
      <c r="K949" s="1" t="str">
        <f>VLOOKUP(D949,products!A:D,2,FALSE)</f>
        <v>Electronics</v>
      </c>
      <c r="L949" s="1" t="str">
        <f t="shared" si="29"/>
        <v>Jan-2025</v>
      </c>
    </row>
    <row r="950" spans="1:12" x14ac:dyDescent="0.25">
      <c r="A950" s="3" t="s">
        <v>1197</v>
      </c>
      <c r="B950" s="6">
        <v>45989</v>
      </c>
      <c r="C950" s="3" t="s">
        <v>12</v>
      </c>
      <c r="D950" s="3" t="s">
        <v>20</v>
      </c>
      <c r="E950" s="3" t="s">
        <v>364</v>
      </c>
      <c r="F950" s="3">
        <v>1</v>
      </c>
      <c r="G950" s="3">
        <v>10</v>
      </c>
      <c r="H950" s="1">
        <f>VLOOKUP(D950,products!A:D,4,FALSE)</f>
        <v>38000</v>
      </c>
      <c r="I950" s="1" t="str">
        <f>VLOOKUP(C950,branches!A:B,2,FALSE)</f>
        <v>Naija Mart Wuse</v>
      </c>
      <c r="J950" s="1">
        <f t="shared" si="28"/>
        <v>34200</v>
      </c>
      <c r="K950" s="1" t="str">
        <f>VLOOKUP(D950,products!A:D,2,FALSE)</f>
        <v>Electronics</v>
      </c>
      <c r="L950" s="1" t="str">
        <f t="shared" si="29"/>
        <v>Nov-2025</v>
      </c>
    </row>
    <row r="951" spans="1:12" x14ac:dyDescent="0.25">
      <c r="A951" s="3" t="s">
        <v>1198</v>
      </c>
      <c r="B951" s="6">
        <v>45698</v>
      </c>
      <c r="C951" s="3" t="s">
        <v>8</v>
      </c>
      <c r="D951" s="3" t="s">
        <v>258</v>
      </c>
      <c r="E951" s="3" t="s">
        <v>524</v>
      </c>
      <c r="F951" s="3">
        <v>1</v>
      </c>
      <c r="G951" s="3">
        <v>0</v>
      </c>
      <c r="H951" s="1">
        <f>VLOOKUP(D951,products!A:D,4,FALSE)</f>
        <v>95000</v>
      </c>
      <c r="I951" s="1" t="str">
        <f>VLOOKUP(C951,branches!A:B,2,FALSE)</f>
        <v>Naija Mart GRA</v>
      </c>
      <c r="J951" s="1">
        <f t="shared" si="28"/>
        <v>95000</v>
      </c>
      <c r="K951" s="1" t="str">
        <f>VLOOKUP(D951,products!A:D,2,FALSE)</f>
        <v>Electronics</v>
      </c>
      <c r="L951" s="1" t="str">
        <f t="shared" si="29"/>
        <v>Feb-2025</v>
      </c>
    </row>
    <row r="952" spans="1:12" x14ac:dyDescent="0.25">
      <c r="A952" s="3" t="s">
        <v>1199</v>
      </c>
      <c r="B952" s="6">
        <v>45823</v>
      </c>
      <c r="C952" s="3" t="s">
        <v>16</v>
      </c>
      <c r="D952" s="3" t="s">
        <v>149</v>
      </c>
      <c r="E952" s="3" t="s">
        <v>209</v>
      </c>
      <c r="F952" s="3">
        <v>1</v>
      </c>
      <c r="G952" s="3">
        <v>20</v>
      </c>
      <c r="H952" s="1">
        <f>VLOOKUP(D952,products!A:D,4,FALSE)</f>
        <v>6500</v>
      </c>
      <c r="I952" s="1" t="str">
        <f>VLOOKUP(C952,branches!A:B,2,FALSE)</f>
        <v>Naija Mart Ikeja</v>
      </c>
      <c r="J952" s="1">
        <f t="shared" si="28"/>
        <v>5200</v>
      </c>
      <c r="K952" s="1" t="str">
        <f>VLOOKUP(D952,products!A:D,2,FALSE)</f>
        <v>Small Gadgets</v>
      </c>
      <c r="L952" s="1" t="str">
        <f t="shared" si="29"/>
        <v>Jun-2025</v>
      </c>
    </row>
    <row r="953" spans="1:12" x14ac:dyDescent="0.25">
      <c r="A953" s="3" t="s">
        <v>1200</v>
      </c>
      <c r="B953" s="6">
        <v>45889</v>
      </c>
      <c r="C953" s="3" t="s">
        <v>8</v>
      </c>
      <c r="D953" s="3" t="s">
        <v>13</v>
      </c>
      <c r="E953" s="3" t="s">
        <v>72</v>
      </c>
      <c r="F953" s="3">
        <v>2</v>
      </c>
      <c r="G953" s="3">
        <v>10</v>
      </c>
      <c r="H953" s="1">
        <f>VLOOKUP(D953,products!A:D,4,FALSE)</f>
        <v>24000</v>
      </c>
      <c r="I953" s="1" t="str">
        <f>VLOOKUP(C953,branches!A:B,2,FALSE)</f>
        <v>Naija Mart GRA</v>
      </c>
      <c r="J953" s="1">
        <f t="shared" si="28"/>
        <v>43200</v>
      </c>
      <c r="K953" s="1" t="str">
        <f>VLOOKUP(D953,products!A:D,2,FALSE)</f>
        <v>Home Appliances</v>
      </c>
      <c r="L953" s="1" t="str">
        <f t="shared" si="29"/>
        <v>Aug-2025</v>
      </c>
    </row>
    <row r="954" spans="1:12" x14ac:dyDescent="0.25">
      <c r="A954" s="3" t="s">
        <v>1201</v>
      </c>
      <c r="B954" s="6">
        <v>45679</v>
      </c>
      <c r="C954" s="3" t="s">
        <v>12</v>
      </c>
      <c r="D954" s="3" t="s">
        <v>43</v>
      </c>
      <c r="E954" s="3" t="s">
        <v>568</v>
      </c>
      <c r="F954" s="3">
        <v>2</v>
      </c>
      <c r="G954" s="3">
        <v>0</v>
      </c>
      <c r="H954" s="1">
        <f>VLOOKUP(D954,products!A:D,4,FALSE)</f>
        <v>74000</v>
      </c>
      <c r="I954" s="1" t="str">
        <f>VLOOKUP(C954,branches!A:B,2,FALSE)</f>
        <v>Naija Mart Wuse</v>
      </c>
      <c r="J954" s="1">
        <f t="shared" si="28"/>
        <v>148000</v>
      </c>
      <c r="K954" s="1" t="str">
        <f>VLOOKUP(D954,products!A:D,2,FALSE)</f>
        <v>Home Appliances</v>
      </c>
      <c r="L954" s="1" t="str">
        <f t="shared" si="29"/>
        <v>Jan-2025</v>
      </c>
    </row>
    <row r="955" spans="1:12" x14ac:dyDescent="0.25">
      <c r="A955" s="3" t="s">
        <v>1202</v>
      </c>
      <c r="B955" s="6">
        <v>45995</v>
      </c>
      <c r="C955" s="3" t="s">
        <v>16</v>
      </c>
      <c r="D955" s="3" t="s">
        <v>149</v>
      </c>
      <c r="E955" s="3" t="s">
        <v>205</v>
      </c>
      <c r="F955" s="3">
        <v>1</v>
      </c>
      <c r="G955" s="3">
        <v>0</v>
      </c>
      <c r="H955" s="1">
        <f>VLOOKUP(D955,products!A:D,4,FALSE)</f>
        <v>6500</v>
      </c>
      <c r="I955" s="1" t="str">
        <f>VLOOKUP(C955,branches!A:B,2,FALSE)</f>
        <v>Naija Mart Ikeja</v>
      </c>
      <c r="J955" s="1">
        <f t="shared" si="28"/>
        <v>6500</v>
      </c>
      <c r="K955" s="1" t="str">
        <f>VLOOKUP(D955,products!A:D,2,FALSE)</f>
        <v>Small Gadgets</v>
      </c>
      <c r="L955" s="1" t="str">
        <f t="shared" si="29"/>
        <v>Dec-2025</v>
      </c>
    </row>
    <row r="956" spans="1:12" x14ac:dyDescent="0.25">
      <c r="A956" s="3" t="s">
        <v>1203</v>
      </c>
      <c r="B956" s="6">
        <v>45851</v>
      </c>
      <c r="C956" s="3" t="s">
        <v>12</v>
      </c>
      <c r="D956" s="3" t="s">
        <v>26</v>
      </c>
      <c r="E956" s="3" t="s">
        <v>178</v>
      </c>
      <c r="F956" s="3">
        <v>1</v>
      </c>
      <c r="G956" s="3">
        <v>0</v>
      </c>
      <c r="H956" s="1">
        <f>VLOOKUP(D956,products!A:D,4,FALSE)</f>
        <v>145000</v>
      </c>
      <c r="I956" s="1" t="str">
        <f>VLOOKUP(C956,branches!A:B,2,FALSE)</f>
        <v>Naija Mart Wuse</v>
      </c>
      <c r="J956" s="1">
        <f t="shared" si="28"/>
        <v>145000</v>
      </c>
      <c r="K956" s="1" t="str">
        <f>VLOOKUP(D956,products!A:D,2,FALSE)</f>
        <v>Electronics</v>
      </c>
      <c r="L956" s="1" t="str">
        <f t="shared" si="29"/>
        <v>Jul-2025</v>
      </c>
    </row>
    <row r="957" spans="1:12" x14ac:dyDescent="0.25">
      <c r="A957" s="3" t="s">
        <v>1204</v>
      </c>
      <c r="B957" s="6">
        <v>45992</v>
      </c>
      <c r="C957" s="3" t="s">
        <v>16</v>
      </c>
      <c r="D957" s="3" t="s">
        <v>126</v>
      </c>
      <c r="E957" s="3" t="s">
        <v>603</v>
      </c>
      <c r="F957" s="3">
        <v>1</v>
      </c>
      <c r="G957" s="3">
        <v>10</v>
      </c>
      <c r="H957" s="1">
        <f>VLOOKUP(D957,products!A:D,4,FALSE)</f>
        <v>185000</v>
      </c>
      <c r="I957" s="1" t="str">
        <f>VLOOKUP(C957,branches!A:B,2,FALSE)</f>
        <v>Naija Mart Ikeja</v>
      </c>
      <c r="J957" s="1">
        <f t="shared" si="28"/>
        <v>166500</v>
      </c>
      <c r="K957" s="1" t="str">
        <f>VLOOKUP(D957,products!A:D,2,FALSE)</f>
        <v>Electronics</v>
      </c>
      <c r="L957" s="1" t="str">
        <f t="shared" si="29"/>
        <v>Dec-2025</v>
      </c>
    </row>
    <row r="958" spans="1:12" x14ac:dyDescent="0.25">
      <c r="A958" s="3" t="s">
        <v>1205</v>
      </c>
      <c r="B958" s="6">
        <v>45795</v>
      </c>
      <c r="C958" s="3" t="s">
        <v>12</v>
      </c>
      <c r="D958" s="3" t="s">
        <v>97</v>
      </c>
      <c r="E958" s="3" t="s">
        <v>1206</v>
      </c>
      <c r="F958" s="3">
        <v>1</v>
      </c>
      <c r="G958" s="3">
        <v>0</v>
      </c>
      <c r="H958" s="1">
        <f>VLOOKUP(D958,products!A:D,4,FALSE)</f>
        <v>21000</v>
      </c>
      <c r="I958" s="1" t="str">
        <f>VLOOKUP(C958,branches!A:B,2,FALSE)</f>
        <v>Naija Mart Wuse</v>
      </c>
      <c r="J958" s="1">
        <f t="shared" si="28"/>
        <v>21000</v>
      </c>
      <c r="K958" s="1" t="str">
        <f>VLOOKUP(D958,products!A:D,2,FALSE)</f>
        <v>Small Gadgets</v>
      </c>
      <c r="L958" s="1" t="str">
        <f t="shared" si="29"/>
        <v>May-2025</v>
      </c>
    </row>
    <row r="959" spans="1:12" x14ac:dyDescent="0.25">
      <c r="A959" s="3" t="s">
        <v>1207</v>
      </c>
      <c r="B959" s="6">
        <v>45856</v>
      </c>
      <c r="C959" s="3" t="s">
        <v>16</v>
      </c>
      <c r="D959" s="3" t="s">
        <v>56</v>
      </c>
      <c r="E959" s="3" t="s">
        <v>18</v>
      </c>
      <c r="F959" s="3">
        <v>2</v>
      </c>
      <c r="G959" s="3">
        <v>5</v>
      </c>
      <c r="H959" s="1">
        <f>VLOOKUP(D959,products!A:D,4,FALSE)</f>
        <v>285000</v>
      </c>
      <c r="I959" s="1" t="str">
        <f>VLOOKUP(C959,branches!A:B,2,FALSE)</f>
        <v>Naija Mart Ikeja</v>
      </c>
      <c r="J959" s="1">
        <f t="shared" si="28"/>
        <v>541500</v>
      </c>
      <c r="K959" s="1" t="str">
        <f>VLOOKUP(D959,products!A:D,2,FALSE)</f>
        <v>Home Appliances</v>
      </c>
      <c r="L959" s="1" t="str">
        <f t="shared" si="29"/>
        <v>Jul-2025</v>
      </c>
    </row>
    <row r="960" spans="1:12" x14ac:dyDescent="0.25">
      <c r="A960" s="3" t="s">
        <v>1208</v>
      </c>
      <c r="B960" s="6">
        <v>45717</v>
      </c>
      <c r="C960" s="3" t="s">
        <v>16</v>
      </c>
      <c r="D960" s="3" t="s">
        <v>69</v>
      </c>
      <c r="E960" s="3" t="s">
        <v>116</v>
      </c>
      <c r="F960" s="3">
        <v>1</v>
      </c>
      <c r="G960" s="3">
        <v>5</v>
      </c>
      <c r="H960" s="1">
        <f>VLOOKUP(D960,products!A:D,4,FALSE)</f>
        <v>45000</v>
      </c>
      <c r="I960" s="1" t="str">
        <f>VLOOKUP(C960,branches!A:B,2,FALSE)</f>
        <v>Naija Mart Ikeja</v>
      </c>
      <c r="J960" s="1">
        <f t="shared" si="28"/>
        <v>42750</v>
      </c>
      <c r="K960" s="1" t="str">
        <f>VLOOKUP(D960,products!A:D,2,FALSE)</f>
        <v>Electronics</v>
      </c>
      <c r="L960" s="1" t="str">
        <f t="shared" si="29"/>
        <v>Mar-2025</v>
      </c>
    </row>
    <row r="961" spans="1:12" x14ac:dyDescent="0.25">
      <c r="A961" s="3" t="s">
        <v>1209</v>
      </c>
      <c r="B961" s="6">
        <v>45698</v>
      </c>
      <c r="C961" s="3" t="s">
        <v>12</v>
      </c>
      <c r="D961" s="3" t="s">
        <v>97</v>
      </c>
      <c r="E961" s="3" t="s">
        <v>85</v>
      </c>
      <c r="F961" s="3">
        <v>1</v>
      </c>
      <c r="G961" s="3">
        <v>5</v>
      </c>
      <c r="H961" s="1">
        <f>VLOOKUP(D961,products!A:D,4,FALSE)</f>
        <v>21000</v>
      </c>
      <c r="I961" s="1" t="str">
        <f>VLOOKUP(C961,branches!A:B,2,FALSE)</f>
        <v>Naija Mart Wuse</v>
      </c>
      <c r="J961" s="1">
        <f t="shared" si="28"/>
        <v>19950</v>
      </c>
      <c r="K961" s="1" t="str">
        <f>VLOOKUP(D961,products!A:D,2,FALSE)</f>
        <v>Small Gadgets</v>
      </c>
      <c r="L961" s="1" t="str">
        <f t="shared" si="29"/>
        <v>Feb-2025</v>
      </c>
    </row>
    <row r="962" spans="1:12" x14ac:dyDescent="0.25">
      <c r="A962" s="3" t="s">
        <v>1210</v>
      </c>
      <c r="B962" s="6">
        <v>45873</v>
      </c>
      <c r="C962" s="3" t="s">
        <v>8</v>
      </c>
      <c r="D962" s="3" t="s">
        <v>26</v>
      </c>
      <c r="E962" s="3" t="s">
        <v>528</v>
      </c>
      <c r="F962" s="3">
        <v>1</v>
      </c>
      <c r="G962" s="3">
        <v>15</v>
      </c>
      <c r="H962" s="1">
        <f>VLOOKUP(D962,products!A:D,4,FALSE)</f>
        <v>145000</v>
      </c>
      <c r="I962" s="1" t="str">
        <f>VLOOKUP(C962,branches!A:B,2,FALSE)</f>
        <v>Naija Mart GRA</v>
      </c>
      <c r="J962" s="1">
        <f t="shared" si="28"/>
        <v>123250</v>
      </c>
      <c r="K962" s="1" t="str">
        <f>VLOOKUP(D962,products!A:D,2,FALSE)</f>
        <v>Electronics</v>
      </c>
      <c r="L962" s="1" t="str">
        <f t="shared" si="29"/>
        <v>Aug-2025</v>
      </c>
    </row>
    <row r="963" spans="1:12" x14ac:dyDescent="0.25">
      <c r="A963" s="3" t="s">
        <v>1211</v>
      </c>
      <c r="B963" s="6">
        <v>45680</v>
      </c>
      <c r="C963" s="3" t="s">
        <v>8</v>
      </c>
      <c r="D963" s="3" t="s">
        <v>258</v>
      </c>
      <c r="E963" s="3" t="s">
        <v>138</v>
      </c>
      <c r="F963" s="3">
        <v>1</v>
      </c>
      <c r="G963" s="3">
        <v>0</v>
      </c>
      <c r="H963" s="1">
        <f>VLOOKUP(D963,products!A:D,4,FALSE)</f>
        <v>95000</v>
      </c>
      <c r="I963" s="1" t="str">
        <f>VLOOKUP(C963,branches!A:B,2,FALSE)</f>
        <v>Naija Mart GRA</v>
      </c>
      <c r="J963" s="1">
        <f t="shared" ref="J963:J1026" si="30">F963*H963*(1-G963/100)</f>
        <v>95000</v>
      </c>
      <c r="K963" s="1" t="str">
        <f>VLOOKUP(D963,products!A:D,2,FALSE)</f>
        <v>Electronics</v>
      </c>
      <c r="L963" s="1" t="str">
        <f t="shared" ref="L963:L1026" si="31">TEXT(B963,"mmm-yyyy")</f>
        <v>Jan-2025</v>
      </c>
    </row>
    <row r="964" spans="1:12" x14ac:dyDescent="0.25">
      <c r="A964" s="3" t="s">
        <v>1212</v>
      </c>
      <c r="B964" s="6">
        <v>45962</v>
      </c>
      <c r="C964" s="3" t="s">
        <v>8</v>
      </c>
      <c r="D964" s="3" t="s">
        <v>40</v>
      </c>
      <c r="E964" s="3" t="s">
        <v>256</v>
      </c>
      <c r="F964" s="3">
        <v>1</v>
      </c>
      <c r="G964" s="3">
        <v>0</v>
      </c>
      <c r="H964" s="1">
        <f>VLOOKUP(D964,products!A:D,4,FALSE)</f>
        <v>195000</v>
      </c>
      <c r="I964" s="1" t="str">
        <f>VLOOKUP(C964,branches!A:B,2,FALSE)</f>
        <v>Naija Mart GRA</v>
      </c>
      <c r="J964" s="1">
        <f t="shared" si="30"/>
        <v>195000</v>
      </c>
      <c r="K964" s="1" t="str">
        <f>VLOOKUP(D964,products!A:D,2,FALSE)</f>
        <v>Generators &amp; Power</v>
      </c>
      <c r="L964" s="1" t="str">
        <f t="shared" si="31"/>
        <v>Nov-2025</v>
      </c>
    </row>
    <row r="965" spans="1:12" x14ac:dyDescent="0.25">
      <c r="A965" s="3" t="s">
        <v>1213</v>
      </c>
      <c r="B965" s="6">
        <v>45714</v>
      </c>
      <c r="C965" s="3" t="s">
        <v>12</v>
      </c>
      <c r="D965" s="3" t="s">
        <v>17</v>
      </c>
      <c r="E965" s="3" t="s">
        <v>819</v>
      </c>
      <c r="F965" s="3">
        <v>1</v>
      </c>
      <c r="G965" s="3">
        <v>15</v>
      </c>
      <c r="H965" s="1">
        <f>VLOOKUP(D965,products!A:D,4,FALSE)</f>
        <v>22000</v>
      </c>
      <c r="I965" s="1" t="str">
        <f>VLOOKUP(C965,branches!A:B,2,FALSE)</f>
        <v>Naija Mart Wuse</v>
      </c>
      <c r="J965" s="1">
        <f t="shared" si="30"/>
        <v>18700</v>
      </c>
      <c r="K965" s="1" t="str">
        <f>VLOOKUP(D965,products!A:D,2,FALSE)</f>
        <v>Home Appliances</v>
      </c>
      <c r="L965" s="1" t="str">
        <f t="shared" si="31"/>
        <v>Feb-2025</v>
      </c>
    </row>
    <row r="966" spans="1:12" x14ac:dyDescent="0.25">
      <c r="A966" s="3" t="s">
        <v>1214</v>
      </c>
      <c r="B966" s="6">
        <v>45904</v>
      </c>
      <c r="C966" s="3" t="s">
        <v>16</v>
      </c>
      <c r="D966" s="3" t="s">
        <v>37</v>
      </c>
      <c r="E966" s="3" t="s">
        <v>333</v>
      </c>
      <c r="F966" s="3">
        <v>2</v>
      </c>
      <c r="G966" s="3">
        <v>0</v>
      </c>
      <c r="H966" s="1">
        <f>VLOOKUP(D966,products!A:D,4,FALSE)</f>
        <v>8500</v>
      </c>
      <c r="I966" s="1" t="str">
        <f>VLOOKUP(C966,branches!A:B,2,FALSE)</f>
        <v>Naija Mart Ikeja</v>
      </c>
      <c r="J966" s="1">
        <f t="shared" si="30"/>
        <v>17000</v>
      </c>
      <c r="K966" s="1" t="str">
        <f>VLOOKUP(D966,products!A:D,2,FALSE)</f>
        <v>Small Gadgets</v>
      </c>
      <c r="L966" s="1" t="str">
        <f t="shared" si="31"/>
        <v>Sep-2025</v>
      </c>
    </row>
    <row r="967" spans="1:12" x14ac:dyDescent="0.25">
      <c r="A967" s="3" t="s">
        <v>1215</v>
      </c>
      <c r="B967" s="6">
        <v>45863</v>
      </c>
      <c r="C967" s="3" t="s">
        <v>36</v>
      </c>
      <c r="D967" s="3" t="s">
        <v>46</v>
      </c>
      <c r="E967" s="3" t="s">
        <v>57</v>
      </c>
      <c r="F967" s="3">
        <v>1</v>
      </c>
      <c r="G967" s="3">
        <v>5</v>
      </c>
      <c r="H967" s="1">
        <f>VLOOKUP(D967,products!A:D,4,FALSE)</f>
        <v>62000</v>
      </c>
      <c r="I967" s="1" t="str">
        <f>VLOOKUP(C967,branches!A:B,2,FALSE)</f>
        <v>Naija Mart Sabon Gari</v>
      </c>
      <c r="J967" s="1">
        <f t="shared" si="30"/>
        <v>58900</v>
      </c>
      <c r="K967" s="1" t="str">
        <f>VLOOKUP(D967,products!A:D,2,FALSE)</f>
        <v>Home Appliances</v>
      </c>
      <c r="L967" s="1" t="str">
        <f t="shared" si="31"/>
        <v>Jul-2025</v>
      </c>
    </row>
    <row r="968" spans="1:12" x14ac:dyDescent="0.25">
      <c r="A968" s="3" t="s">
        <v>1216</v>
      </c>
      <c r="B968" s="6">
        <v>46012</v>
      </c>
      <c r="C968" s="3" t="s">
        <v>16</v>
      </c>
      <c r="D968" s="3" t="s">
        <v>56</v>
      </c>
      <c r="E968" s="3" t="s">
        <v>719</v>
      </c>
      <c r="F968" s="3">
        <v>1</v>
      </c>
      <c r="G968" s="3">
        <v>0</v>
      </c>
      <c r="H968" s="1">
        <f>VLOOKUP(D968,products!A:D,4,FALSE)</f>
        <v>285000</v>
      </c>
      <c r="I968" s="1" t="str">
        <f>VLOOKUP(C968,branches!A:B,2,FALSE)</f>
        <v>Naija Mart Ikeja</v>
      </c>
      <c r="J968" s="1">
        <f t="shared" si="30"/>
        <v>285000</v>
      </c>
      <c r="K968" s="1" t="str">
        <f>VLOOKUP(D968,products!A:D,2,FALSE)</f>
        <v>Home Appliances</v>
      </c>
      <c r="L968" s="1" t="str">
        <f t="shared" si="31"/>
        <v>Dec-2025</v>
      </c>
    </row>
    <row r="969" spans="1:12" x14ac:dyDescent="0.25">
      <c r="A969" s="3" t="s">
        <v>1217</v>
      </c>
      <c r="B969" s="6">
        <v>45975</v>
      </c>
      <c r="C969" s="3" t="s">
        <v>16</v>
      </c>
      <c r="D969" s="3" t="s">
        <v>26</v>
      </c>
      <c r="E969" s="3" t="s">
        <v>514</v>
      </c>
      <c r="F969" s="3">
        <v>1</v>
      </c>
      <c r="G969" s="3">
        <v>5</v>
      </c>
      <c r="H969" s="1">
        <f>VLOOKUP(D969,products!A:D,4,FALSE)</f>
        <v>145000</v>
      </c>
      <c r="I969" s="1" t="str">
        <f>VLOOKUP(C969,branches!A:B,2,FALSE)</f>
        <v>Naija Mart Ikeja</v>
      </c>
      <c r="J969" s="1">
        <f t="shared" si="30"/>
        <v>137750</v>
      </c>
      <c r="K969" s="1" t="str">
        <f>VLOOKUP(D969,products!A:D,2,FALSE)</f>
        <v>Electronics</v>
      </c>
      <c r="L969" s="1" t="str">
        <f t="shared" si="31"/>
        <v>Nov-2025</v>
      </c>
    </row>
    <row r="970" spans="1:12" x14ac:dyDescent="0.25">
      <c r="A970" s="3" t="s">
        <v>1218</v>
      </c>
      <c r="B970" s="6">
        <v>45996</v>
      </c>
      <c r="C970" s="3" t="s">
        <v>36</v>
      </c>
      <c r="D970" s="3" t="s">
        <v>43</v>
      </c>
      <c r="E970" s="3" t="s">
        <v>153</v>
      </c>
      <c r="F970" s="3">
        <v>1</v>
      </c>
      <c r="G970" s="3">
        <v>10</v>
      </c>
      <c r="H970" s="1">
        <f>VLOOKUP(D970,products!A:D,4,FALSE)</f>
        <v>74000</v>
      </c>
      <c r="I970" s="1" t="str">
        <f>VLOOKUP(C970,branches!A:B,2,FALSE)</f>
        <v>Naija Mart Sabon Gari</v>
      </c>
      <c r="J970" s="1">
        <f t="shared" si="30"/>
        <v>66600</v>
      </c>
      <c r="K970" s="1" t="str">
        <f>VLOOKUP(D970,products!A:D,2,FALSE)</f>
        <v>Home Appliances</v>
      </c>
      <c r="L970" s="1" t="str">
        <f t="shared" si="31"/>
        <v>Dec-2025</v>
      </c>
    </row>
    <row r="971" spans="1:12" x14ac:dyDescent="0.25">
      <c r="A971" s="3" t="s">
        <v>1219</v>
      </c>
      <c r="B971" s="6">
        <v>45997</v>
      </c>
      <c r="C971" s="3" t="s">
        <v>16</v>
      </c>
      <c r="D971" s="3" t="s">
        <v>37</v>
      </c>
      <c r="E971" s="3" t="s">
        <v>574</v>
      </c>
      <c r="F971" s="3">
        <v>2</v>
      </c>
      <c r="G971" s="3">
        <v>10</v>
      </c>
      <c r="H971" s="1">
        <f>VLOOKUP(D971,products!A:D,4,FALSE)</f>
        <v>8500</v>
      </c>
      <c r="I971" s="1" t="str">
        <f>VLOOKUP(C971,branches!A:B,2,FALSE)</f>
        <v>Naija Mart Ikeja</v>
      </c>
      <c r="J971" s="1">
        <f t="shared" si="30"/>
        <v>15300</v>
      </c>
      <c r="K971" s="1" t="str">
        <f>VLOOKUP(D971,products!A:D,2,FALSE)</f>
        <v>Small Gadgets</v>
      </c>
      <c r="L971" s="1" t="str">
        <f t="shared" si="31"/>
        <v>Dec-2025</v>
      </c>
    </row>
    <row r="972" spans="1:12" x14ac:dyDescent="0.25">
      <c r="A972" s="3" t="s">
        <v>1220</v>
      </c>
      <c r="B972" s="6">
        <v>45884</v>
      </c>
      <c r="C972" s="3" t="s">
        <v>16</v>
      </c>
      <c r="D972" s="3" t="s">
        <v>80</v>
      </c>
      <c r="E972" s="3" t="s">
        <v>120</v>
      </c>
      <c r="F972" s="3">
        <v>2</v>
      </c>
      <c r="G972" s="3">
        <v>0</v>
      </c>
      <c r="H972" s="1">
        <f>VLOOKUP(D972,products!A:D,4,FALSE)</f>
        <v>265000</v>
      </c>
      <c r="I972" s="1" t="str">
        <f>VLOOKUP(C972,branches!A:B,2,FALSE)</f>
        <v>Naija Mart Ikeja</v>
      </c>
      <c r="J972" s="1">
        <f t="shared" si="30"/>
        <v>530000</v>
      </c>
      <c r="K972" s="1" t="str">
        <f>VLOOKUP(D972,products!A:D,2,FALSE)</f>
        <v>Home Appliances</v>
      </c>
      <c r="L972" s="1" t="str">
        <f t="shared" si="31"/>
        <v>Aug-2025</v>
      </c>
    </row>
    <row r="973" spans="1:12" x14ac:dyDescent="0.25">
      <c r="A973" s="3" t="s">
        <v>1221</v>
      </c>
      <c r="B973" s="6">
        <v>45707</v>
      </c>
      <c r="C973" s="3" t="s">
        <v>16</v>
      </c>
      <c r="D973" s="3" t="s">
        <v>37</v>
      </c>
      <c r="E973" s="3" t="s">
        <v>253</v>
      </c>
      <c r="F973" s="3">
        <v>1</v>
      </c>
      <c r="G973" s="3">
        <v>15</v>
      </c>
      <c r="H973" s="1">
        <f>VLOOKUP(D973,products!A:D,4,FALSE)</f>
        <v>8500</v>
      </c>
      <c r="I973" s="1" t="str">
        <f>VLOOKUP(C973,branches!A:B,2,FALSE)</f>
        <v>Naija Mart Ikeja</v>
      </c>
      <c r="J973" s="1">
        <f t="shared" si="30"/>
        <v>7225</v>
      </c>
      <c r="K973" s="1" t="str">
        <f>VLOOKUP(D973,products!A:D,2,FALSE)</f>
        <v>Small Gadgets</v>
      </c>
      <c r="L973" s="1" t="str">
        <f t="shared" si="31"/>
        <v>Feb-2025</v>
      </c>
    </row>
    <row r="974" spans="1:12" x14ac:dyDescent="0.25">
      <c r="A974" s="3" t="s">
        <v>1222</v>
      </c>
      <c r="B974" s="6">
        <v>46003</v>
      </c>
      <c r="C974" s="3" t="s">
        <v>16</v>
      </c>
      <c r="D974" s="3" t="s">
        <v>9</v>
      </c>
      <c r="E974" s="3" t="s">
        <v>161</v>
      </c>
      <c r="F974" s="3">
        <v>1</v>
      </c>
      <c r="G974" s="3">
        <v>10</v>
      </c>
      <c r="H974" s="1">
        <f>VLOOKUP(D974,products!A:D,4,FALSE)</f>
        <v>410000</v>
      </c>
      <c r="I974" s="1" t="str">
        <f>VLOOKUP(C974,branches!A:B,2,FALSE)</f>
        <v>Naija Mart Ikeja</v>
      </c>
      <c r="J974" s="1">
        <f t="shared" si="30"/>
        <v>369000</v>
      </c>
      <c r="K974" s="1" t="str">
        <f>VLOOKUP(D974,products!A:D,2,FALSE)</f>
        <v>Home Appliances</v>
      </c>
      <c r="L974" s="1" t="str">
        <f t="shared" si="31"/>
        <v>Dec-2025</v>
      </c>
    </row>
    <row r="975" spans="1:12" x14ac:dyDescent="0.25">
      <c r="A975" s="3" t="s">
        <v>1223</v>
      </c>
      <c r="B975" s="6">
        <v>45778</v>
      </c>
      <c r="C975" s="3" t="s">
        <v>16</v>
      </c>
      <c r="D975" s="3" t="s">
        <v>46</v>
      </c>
      <c r="E975" s="3" t="s">
        <v>127</v>
      </c>
      <c r="F975" s="3">
        <v>1</v>
      </c>
      <c r="G975" s="3">
        <v>0</v>
      </c>
      <c r="H975" s="1">
        <f>VLOOKUP(D975,products!A:D,4,FALSE)</f>
        <v>62000</v>
      </c>
      <c r="I975" s="1" t="str">
        <f>VLOOKUP(C975,branches!A:B,2,FALSE)</f>
        <v>Naija Mart Ikeja</v>
      </c>
      <c r="J975" s="1">
        <f t="shared" si="30"/>
        <v>62000</v>
      </c>
      <c r="K975" s="1" t="str">
        <f>VLOOKUP(D975,products!A:D,2,FALSE)</f>
        <v>Home Appliances</v>
      </c>
      <c r="L975" s="1" t="str">
        <f t="shared" si="31"/>
        <v>May-2025</v>
      </c>
    </row>
    <row r="976" spans="1:12" x14ac:dyDescent="0.25">
      <c r="A976" s="3" t="s">
        <v>1224</v>
      </c>
      <c r="B976" s="6">
        <v>45940</v>
      </c>
      <c r="C976" s="3" t="s">
        <v>8</v>
      </c>
      <c r="D976" s="3" t="s">
        <v>40</v>
      </c>
      <c r="E976" s="3" t="s">
        <v>953</v>
      </c>
      <c r="F976" s="3">
        <v>1</v>
      </c>
      <c r="G976" s="3">
        <v>0</v>
      </c>
      <c r="H976" s="1">
        <f>VLOOKUP(D976,products!A:D,4,FALSE)</f>
        <v>195000</v>
      </c>
      <c r="I976" s="1" t="str">
        <f>VLOOKUP(C976,branches!A:B,2,FALSE)</f>
        <v>Naija Mart GRA</v>
      </c>
      <c r="J976" s="1">
        <f t="shared" si="30"/>
        <v>195000</v>
      </c>
      <c r="K976" s="1" t="str">
        <f>VLOOKUP(D976,products!A:D,2,FALSE)</f>
        <v>Generators &amp; Power</v>
      </c>
      <c r="L976" s="1" t="str">
        <f t="shared" si="31"/>
        <v>Oct-2025</v>
      </c>
    </row>
    <row r="977" spans="1:12" x14ac:dyDescent="0.25">
      <c r="A977" s="3" t="s">
        <v>1225</v>
      </c>
      <c r="B977" s="6">
        <v>45693</v>
      </c>
      <c r="C977" s="3" t="s">
        <v>16</v>
      </c>
      <c r="D977" s="3" t="s">
        <v>149</v>
      </c>
      <c r="E977" s="3" t="s">
        <v>382</v>
      </c>
      <c r="F977" s="3">
        <v>1</v>
      </c>
      <c r="G977" s="3">
        <v>0</v>
      </c>
      <c r="H977" s="1">
        <f>VLOOKUP(D977,products!A:D,4,FALSE)</f>
        <v>6500</v>
      </c>
      <c r="I977" s="1" t="str">
        <f>VLOOKUP(C977,branches!A:B,2,FALSE)</f>
        <v>Naija Mart Ikeja</v>
      </c>
      <c r="J977" s="1">
        <f t="shared" si="30"/>
        <v>6500</v>
      </c>
      <c r="K977" s="1" t="str">
        <f>VLOOKUP(D977,products!A:D,2,FALSE)</f>
        <v>Small Gadgets</v>
      </c>
      <c r="L977" s="1" t="str">
        <f t="shared" si="31"/>
        <v>Feb-2025</v>
      </c>
    </row>
    <row r="978" spans="1:12" x14ac:dyDescent="0.25">
      <c r="A978" s="3" t="s">
        <v>1226</v>
      </c>
      <c r="B978" s="6">
        <v>45942</v>
      </c>
      <c r="C978" s="3" t="s">
        <v>12</v>
      </c>
      <c r="D978" s="3" t="s">
        <v>20</v>
      </c>
      <c r="E978" s="3" t="s">
        <v>279</v>
      </c>
      <c r="F978" s="3">
        <v>1</v>
      </c>
      <c r="G978" s="3">
        <v>15</v>
      </c>
      <c r="H978" s="1">
        <f>VLOOKUP(D978,products!A:D,4,FALSE)</f>
        <v>38000</v>
      </c>
      <c r="I978" s="1" t="str">
        <f>VLOOKUP(C978,branches!A:B,2,FALSE)</f>
        <v>Naija Mart Wuse</v>
      </c>
      <c r="J978" s="1">
        <f t="shared" si="30"/>
        <v>32300</v>
      </c>
      <c r="K978" s="1" t="str">
        <f>VLOOKUP(D978,products!A:D,2,FALSE)</f>
        <v>Electronics</v>
      </c>
      <c r="L978" s="1" t="str">
        <f t="shared" si="31"/>
        <v>Oct-2025</v>
      </c>
    </row>
    <row r="979" spans="1:12" x14ac:dyDescent="0.25">
      <c r="A979" s="3" t="s">
        <v>1227</v>
      </c>
      <c r="B979" s="6">
        <v>45948</v>
      </c>
      <c r="C979" s="3" t="s">
        <v>12</v>
      </c>
      <c r="D979" s="3" t="s">
        <v>80</v>
      </c>
      <c r="E979" s="3" t="s">
        <v>743</v>
      </c>
      <c r="F979" s="3">
        <v>2</v>
      </c>
      <c r="G979" s="3">
        <v>0</v>
      </c>
      <c r="H979" s="1">
        <f>VLOOKUP(D979,products!A:D,4,FALSE)</f>
        <v>265000</v>
      </c>
      <c r="I979" s="1" t="str">
        <f>VLOOKUP(C979,branches!A:B,2,FALSE)</f>
        <v>Naija Mart Wuse</v>
      </c>
      <c r="J979" s="1">
        <f t="shared" si="30"/>
        <v>530000</v>
      </c>
      <c r="K979" s="1" t="str">
        <f>VLOOKUP(D979,products!A:D,2,FALSE)</f>
        <v>Home Appliances</v>
      </c>
      <c r="L979" s="1" t="str">
        <f t="shared" si="31"/>
        <v>Oct-2025</v>
      </c>
    </row>
    <row r="980" spans="1:12" x14ac:dyDescent="0.25">
      <c r="A980" s="3" t="s">
        <v>1228</v>
      </c>
      <c r="B980" s="6">
        <v>45919</v>
      </c>
      <c r="C980" s="3" t="s">
        <v>16</v>
      </c>
      <c r="D980" s="3" t="s">
        <v>69</v>
      </c>
      <c r="E980" s="3" t="s">
        <v>738</v>
      </c>
      <c r="F980" s="3">
        <v>2</v>
      </c>
      <c r="G980" s="3">
        <v>5</v>
      </c>
      <c r="H980" s="1">
        <f>VLOOKUP(D980,products!A:D,4,FALSE)</f>
        <v>45000</v>
      </c>
      <c r="I980" s="1" t="str">
        <f>VLOOKUP(C980,branches!A:B,2,FALSE)</f>
        <v>Naija Mart Ikeja</v>
      </c>
      <c r="J980" s="1">
        <f t="shared" si="30"/>
        <v>85500</v>
      </c>
      <c r="K980" s="1" t="str">
        <f>VLOOKUP(D980,products!A:D,2,FALSE)</f>
        <v>Electronics</v>
      </c>
      <c r="L980" s="1" t="str">
        <f t="shared" si="31"/>
        <v>Sep-2025</v>
      </c>
    </row>
    <row r="981" spans="1:12" x14ac:dyDescent="0.25">
      <c r="A981" s="3" t="s">
        <v>1229</v>
      </c>
      <c r="B981" s="6">
        <v>45967</v>
      </c>
      <c r="C981" s="3" t="s">
        <v>8</v>
      </c>
      <c r="D981" s="3" t="s">
        <v>97</v>
      </c>
      <c r="E981" s="3" t="s">
        <v>353</v>
      </c>
      <c r="F981" s="3">
        <v>1</v>
      </c>
      <c r="G981" s="3">
        <v>0</v>
      </c>
      <c r="H981" s="1">
        <f>VLOOKUP(D981,products!A:D,4,FALSE)</f>
        <v>21000</v>
      </c>
      <c r="I981" s="1" t="str">
        <f>VLOOKUP(C981,branches!A:B,2,FALSE)</f>
        <v>Naija Mart GRA</v>
      </c>
      <c r="J981" s="1">
        <f t="shared" si="30"/>
        <v>21000</v>
      </c>
      <c r="K981" s="1" t="str">
        <f>VLOOKUP(D981,products!A:D,2,FALSE)</f>
        <v>Small Gadgets</v>
      </c>
      <c r="L981" s="1" t="str">
        <f t="shared" si="31"/>
        <v>Nov-2025</v>
      </c>
    </row>
    <row r="982" spans="1:12" x14ac:dyDescent="0.25">
      <c r="A982" s="3" t="s">
        <v>1230</v>
      </c>
      <c r="B982" s="6">
        <v>45972</v>
      </c>
      <c r="C982" s="3" t="s">
        <v>36</v>
      </c>
      <c r="D982" s="3" t="s">
        <v>59</v>
      </c>
      <c r="E982" s="3" t="s">
        <v>349</v>
      </c>
      <c r="F982" s="3">
        <v>3</v>
      </c>
      <c r="G982" s="3">
        <v>0</v>
      </c>
      <c r="H982" s="1">
        <f>VLOOKUP(D982,products!A:D,4,FALSE)</f>
        <v>15000</v>
      </c>
      <c r="I982" s="1" t="str">
        <f>VLOOKUP(C982,branches!A:B,2,FALSE)</f>
        <v>Naija Mart Sabon Gari</v>
      </c>
      <c r="J982" s="1">
        <f t="shared" si="30"/>
        <v>45000</v>
      </c>
      <c r="K982" s="1" t="str">
        <f>VLOOKUP(D982,products!A:D,2,FALSE)</f>
        <v>Home Appliances</v>
      </c>
      <c r="L982" s="1" t="str">
        <f t="shared" si="31"/>
        <v>Nov-2025</v>
      </c>
    </row>
    <row r="983" spans="1:12" x14ac:dyDescent="0.25">
      <c r="A983" s="3" t="s">
        <v>1231</v>
      </c>
      <c r="B983" s="6">
        <v>45904</v>
      </c>
      <c r="C983" s="3" t="s">
        <v>36</v>
      </c>
      <c r="D983" s="3" t="s">
        <v>258</v>
      </c>
      <c r="E983" s="3" t="s">
        <v>893</v>
      </c>
      <c r="F983" s="3">
        <v>1</v>
      </c>
      <c r="G983" s="3">
        <v>5</v>
      </c>
      <c r="H983" s="1">
        <f>VLOOKUP(D983,products!A:D,4,FALSE)</f>
        <v>95000</v>
      </c>
      <c r="I983" s="1" t="str">
        <f>VLOOKUP(C983,branches!A:B,2,FALSE)</f>
        <v>Naija Mart Sabon Gari</v>
      </c>
      <c r="J983" s="1">
        <f t="shared" si="30"/>
        <v>90250</v>
      </c>
      <c r="K983" s="1" t="str">
        <f>VLOOKUP(D983,products!A:D,2,FALSE)</f>
        <v>Electronics</v>
      </c>
      <c r="L983" s="1" t="str">
        <f t="shared" si="31"/>
        <v>Sep-2025</v>
      </c>
    </row>
    <row r="984" spans="1:12" x14ac:dyDescent="0.25">
      <c r="A984" s="3" t="s">
        <v>1232</v>
      </c>
      <c r="B984" s="6">
        <v>45840</v>
      </c>
      <c r="C984" s="3" t="s">
        <v>16</v>
      </c>
      <c r="D984" s="3" t="s">
        <v>26</v>
      </c>
      <c r="E984" s="3" t="s">
        <v>423</v>
      </c>
      <c r="F984" s="3">
        <v>1</v>
      </c>
      <c r="G984" s="3">
        <v>0</v>
      </c>
      <c r="H984" s="1">
        <f>VLOOKUP(D984,products!A:D,4,FALSE)</f>
        <v>145000</v>
      </c>
      <c r="I984" s="1" t="str">
        <f>VLOOKUP(C984,branches!A:B,2,FALSE)</f>
        <v>Naija Mart Ikeja</v>
      </c>
      <c r="J984" s="1">
        <f t="shared" si="30"/>
        <v>145000</v>
      </c>
      <c r="K984" s="1" t="str">
        <f>VLOOKUP(D984,products!A:D,2,FALSE)</f>
        <v>Electronics</v>
      </c>
      <c r="L984" s="1" t="str">
        <f t="shared" si="31"/>
        <v>Jul-2025</v>
      </c>
    </row>
    <row r="985" spans="1:12" x14ac:dyDescent="0.25">
      <c r="A985" s="3" t="s">
        <v>1233</v>
      </c>
      <c r="B985" s="6">
        <v>45786</v>
      </c>
      <c r="C985" s="3" t="s">
        <v>36</v>
      </c>
      <c r="D985" s="3" t="s">
        <v>51</v>
      </c>
      <c r="E985" s="3" t="s">
        <v>719</v>
      </c>
      <c r="F985" s="3">
        <v>1</v>
      </c>
      <c r="G985" s="3">
        <v>10</v>
      </c>
      <c r="H985" s="1">
        <f>VLOOKUP(D985,products!A:D,4,FALSE)</f>
        <v>18000</v>
      </c>
      <c r="I985" s="1" t="str">
        <f>VLOOKUP(C985,branches!A:B,2,FALSE)</f>
        <v>Naija Mart Sabon Gari</v>
      </c>
      <c r="J985" s="1">
        <f t="shared" si="30"/>
        <v>16200</v>
      </c>
      <c r="K985" s="1" t="str">
        <f>VLOOKUP(D985,products!A:D,2,FALSE)</f>
        <v>Small Gadgets</v>
      </c>
      <c r="L985" s="1" t="str">
        <f t="shared" si="31"/>
        <v>May-2025</v>
      </c>
    </row>
    <row r="986" spans="1:12" x14ac:dyDescent="0.25">
      <c r="A986" s="3" t="s">
        <v>1234</v>
      </c>
      <c r="B986" s="6">
        <v>45967</v>
      </c>
      <c r="C986" s="3" t="s">
        <v>36</v>
      </c>
      <c r="D986" s="3" t="s">
        <v>49</v>
      </c>
      <c r="E986" s="3" t="s">
        <v>430</v>
      </c>
      <c r="F986" s="3">
        <v>1</v>
      </c>
      <c r="G986" s="3">
        <v>5</v>
      </c>
      <c r="H986" s="1">
        <f>VLOOKUP(D986,products!A:D,4,FALSE)</f>
        <v>28000</v>
      </c>
      <c r="I986" s="1" t="str">
        <f>VLOOKUP(C986,branches!A:B,2,FALSE)</f>
        <v>Naija Mart Sabon Gari</v>
      </c>
      <c r="J986" s="1">
        <f t="shared" si="30"/>
        <v>26600</v>
      </c>
      <c r="K986" s="1" t="str">
        <f>VLOOKUP(D986,products!A:D,2,FALSE)</f>
        <v>Home Appliances</v>
      </c>
      <c r="L986" s="1" t="str">
        <f t="shared" si="31"/>
        <v>Nov-2025</v>
      </c>
    </row>
    <row r="987" spans="1:12" x14ac:dyDescent="0.25">
      <c r="A987" s="3" t="s">
        <v>1235</v>
      </c>
      <c r="B987" s="6">
        <v>45881</v>
      </c>
      <c r="C987" s="3" t="s">
        <v>36</v>
      </c>
      <c r="D987" s="3" t="s">
        <v>80</v>
      </c>
      <c r="E987" s="3" t="s">
        <v>504</v>
      </c>
      <c r="F987" s="3">
        <v>1</v>
      </c>
      <c r="G987" s="3">
        <v>10</v>
      </c>
      <c r="H987" s="1">
        <f>VLOOKUP(D987,products!A:D,4,FALSE)</f>
        <v>265000</v>
      </c>
      <c r="I987" s="1" t="str">
        <f>VLOOKUP(C987,branches!A:B,2,FALSE)</f>
        <v>Naija Mart Sabon Gari</v>
      </c>
      <c r="J987" s="1">
        <f t="shared" si="30"/>
        <v>238500</v>
      </c>
      <c r="K987" s="1" t="str">
        <f>VLOOKUP(D987,products!A:D,2,FALSE)</f>
        <v>Home Appliances</v>
      </c>
      <c r="L987" s="1" t="str">
        <f t="shared" si="31"/>
        <v>Aug-2025</v>
      </c>
    </row>
    <row r="988" spans="1:12" x14ac:dyDescent="0.25">
      <c r="A988" s="3" t="s">
        <v>1236</v>
      </c>
      <c r="B988" s="6">
        <v>45770</v>
      </c>
      <c r="C988" s="3" t="s">
        <v>12</v>
      </c>
      <c r="D988" s="3" t="s">
        <v>69</v>
      </c>
      <c r="E988" s="3" t="s">
        <v>673</v>
      </c>
      <c r="F988" s="3">
        <v>2</v>
      </c>
      <c r="G988" s="3">
        <v>0</v>
      </c>
      <c r="H988" s="1">
        <f>VLOOKUP(D988,products!A:D,4,FALSE)</f>
        <v>45000</v>
      </c>
      <c r="I988" s="1" t="str">
        <f>VLOOKUP(C988,branches!A:B,2,FALSE)</f>
        <v>Naija Mart Wuse</v>
      </c>
      <c r="J988" s="1">
        <f t="shared" si="30"/>
        <v>90000</v>
      </c>
      <c r="K988" s="1" t="str">
        <f>VLOOKUP(D988,products!A:D,2,FALSE)</f>
        <v>Electronics</v>
      </c>
      <c r="L988" s="1" t="str">
        <f t="shared" si="31"/>
        <v>Apr-2025</v>
      </c>
    </row>
    <row r="989" spans="1:12" x14ac:dyDescent="0.25">
      <c r="A989" s="3" t="s">
        <v>1237</v>
      </c>
      <c r="B989" s="6">
        <v>45938</v>
      </c>
      <c r="C989" s="3" t="s">
        <v>16</v>
      </c>
      <c r="D989" s="3" t="s">
        <v>40</v>
      </c>
      <c r="E989" s="3" t="s">
        <v>104</v>
      </c>
      <c r="F989" s="3">
        <v>1</v>
      </c>
      <c r="G989" s="3">
        <v>0</v>
      </c>
      <c r="H989" s="1">
        <f>VLOOKUP(D989,products!A:D,4,FALSE)</f>
        <v>195000</v>
      </c>
      <c r="I989" s="1" t="str">
        <f>VLOOKUP(C989,branches!A:B,2,FALSE)</f>
        <v>Naija Mart Ikeja</v>
      </c>
      <c r="J989" s="1">
        <f t="shared" si="30"/>
        <v>195000</v>
      </c>
      <c r="K989" s="1" t="str">
        <f>VLOOKUP(D989,products!A:D,2,FALSE)</f>
        <v>Generators &amp; Power</v>
      </c>
      <c r="L989" s="1" t="str">
        <f t="shared" si="31"/>
        <v>Oct-2025</v>
      </c>
    </row>
    <row r="990" spans="1:12" x14ac:dyDescent="0.25">
      <c r="A990" s="3" t="s">
        <v>1238</v>
      </c>
      <c r="B990" s="6">
        <v>45976</v>
      </c>
      <c r="C990" s="3" t="s">
        <v>36</v>
      </c>
      <c r="D990" s="3" t="s">
        <v>126</v>
      </c>
      <c r="E990" s="3" t="s">
        <v>256</v>
      </c>
      <c r="F990" s="3">
        <v>1</v>
      </c>
      <c r="G990" s="3">
        <v>5</v>
      </c>
      <c r="H990" s="1">
        <f>VLOOKUP(D990,products!A:D,4,FALSE)</f>
        <v>185000</v>
      </c>
      <c r="I990" s="1" t="str">
        <f>VLOOKUP(C990,branches!A:B,2,FALSE)</f>
        <v>Naija Mart Sabon Gari</v>
      </c>
      <c r="J990" s="1">
        <f t="shared" si="30"/>
        <v>175750</v>
      </c>
      <c r="K990" s="1" t="str">
        <f>VLOOKUP(D990,products!A:D,2,FALSE)</f>
        <v>Electronics</v>
      </c>
      <c r="L990" s="1" t="str">
        <f t="shared" si="31"/>
        <v>Nov-2025</v>
      </c>
    </row>
    <row r="991" spans="1:12" x14ac:dyDescent="0.25">
      <c r="A991" s="3" t="s">
        <v>1239</v>
      </c>
      <c r="B991" s="6">
        <v>46013</v>
      </c>
      <c r="C991" s="3" t="s">
        <v>16</v>
      </c>
      <c r="D991" s="3" t="s">
        <v>56</v>
      </c>
      <c r="E991" s="3" t="s">
        <v>448</v>
      </c>
      <c r="F991" s="3">
        <v>1</v>
      </c>
      <c r="G991" s="3">
        <v>20</v>
      </c>
      <c r="H991" s="1">
        <f>VLOOKUP(D991,products!A:D,4,FALSE)</f>
        <v>285000</v>
      </c>
      <c r="I991" s="1" t="str">
        <f>VLOOKUP(C991,branches!A:B,2,FALSE)</f>
        <v>Naija Mart Ikeja</v>
      </c>
      <c r="J991" s="1">
        <f t="shared" si="30"/>
        <v>228000</v>
      </c>
      <c r="K991" s="1" t="str">
        <f>VLOOKUP(D991,products!A:D,2,FALSE)</f>
        <v>Home Appliances</v>
      </c>
      <c r="L991" s="1" t="str">
        <f t="shared" si="31"/>
        <v>Dec-2025</v>
      </c>
    </row>
    <row r="992" spans="1:12" x14ac:dyDescent="0.25">
      <c r="A992" s="3" t="s">
        <v>1240</v>
      </c>
      <c r="B992" s="6">
        <v>45985</v>
      </c>
      <c r="C992" s="3" t="s">
        <v>16</v>
      </c>
      <c r="D992" s="3" t="s">
        <v>40</v>
      </c>
      <c r="E992" s="3" t="s">
        <v>250</v>
      </c>
      <c r="F992" s="3">
        <v>1</v>
      </c>
      <c r="G992" s="3">
        <v>15</v>
      </c>
      <c r="H992" s="1">
        <f>VLOOKUP(D992,products!A:D,4,FALSE)</f>
        <v>195000</v>
      </c>
      <c r="I992" s="1" t="str">
        <f>VLOOKUP(C992,branches!A:B,2,FALSE)</f>
        <v>Naija Mart Ikeja</v>
      </c>
      <c r="J992" s="1">
        <f t="shared" si="30"/>
        <v>165750</v>
      </c>
      <c r="K992" s="1" t="str">
        <f>VLOOKUP(D992,products!A:D,2,FALSE)</f>
        <v>Generators &amp; Power</v>
      </c>
      <c r="L992" s="1" t="str">
        <f t="shared" si="31"/>
        <v>Nov-2025</v>
      </c>
    </row>
    <row r="993" spans="1:12" x14ac:dyDescent="0.25">
      <c r="A993" s="3" t="s">
        <v>997</v>
      </c>
      <c r="B993" s="6">
        <v>45975</v>
      </c>
      <c r="C993" s="3" t="s">
        <v>16</v>
      </c>
      <c r="D993" s="3" t="s">
        <v>126</v>
      </c>
      <c r="E993" s="3" t="s">
        <v>143</v>
      </c>
      <c r="F993" s="3">
        <v>2</v>
      </c>
      <c r="G993" s="3">
        <v>10</v>
      </c>
      <c r="H993" s="1">
        <f>VLOOKUP(D993,products!A:D,4,FALSE)</f>
        <v>185000</v>
      </c>
      <c r="I993" s="1" t="str">
        <f>VLOOKUP(C993,branches!A:B,2,FALSE)</f>
        <v>Naija Mart Ikeja</v>
      </c>
      <c r="J993" s="1">
        <f t="shared" si="30"/>
        <v>333000</v>
      </c>
      <c r="K993" s="1" t="str">
        <f>VLOOKUP(D993,products!A:D,2,FALSE)</f>
        <v>Electronics</v>
      </c>
      <c r="L993" s="1" t="str">
        <f t="shared" si="31"/>
        <v>Nov-2025</v>
      </c>
    </row>
    <row r="994" spans="1:12" x14ac:dyDescent="0.25">
      <c r="A994" s="3" t="s">
        <v>1241</v>
      </c>
      <c r="B994" s="6">
        <v>45897</v>
      </c>
      <c r="C994" s="3" t="s">
        <v>16</v>
      </c>
      <c r="D994" s="3" t="s">
        <v>149</v>
      </c>
      <c r="E994" s="3" t="s">
        <v>407</v>
      </c>
      <c r="F994" s="3">
        <v>1</v>
      </c>
      <c r="G994" s="3">
        <v>20</v>
      </c>
      <c r="H994" s="1">
        <f>VLOOKUP(D994,products!A:D,4,FALSE)</f>
        <v>6500</v>
      </c>
      <c r="I994" s="1" t="str">
        <f>VLOOKUP(C994,branches!A:B,2,FALSE)</f>
        <v>Naija Mart Ikeja</v>
      </c>
      <c r="J994" s="1">
        <f t="shared" si="30"/>
        <v>5200</v>
      </c>
      <c r="K994" s="1" t="str">
        <f>VLOOKUP(D994,products!A:D,2,FALSE)</f>
        <v>Small Gadgets</v>
      </c>
      <c r="L994" s="1" t="str">
        <f t="shared" si="31"/>
        <v>Aug-2025</v>
      </c>
    </row>
    <row r="995" spans="1:12" x14ac:dyDescent="0.25">
      <c r="A995" s="3" t="s">
        <v>1242</v>
      </c>
      <c r="B995" s="6">
        <v>45881</v>
      </c>
      <c r="C995" s="3" t="s">
        <v>16</v>
      </c>
      <c r="D995" s="3" t="s">
        <v>69</v>
      </c>
      <c r="E995" s="3" t="s">
        <v>274</v>
      </c>
      <c r="F995" s="3">
        <v>1</v>
      </c>
      <c r="G995" s="3">
        <v>25</v>
      </c>
      <c r="H995" s="1">
        <f>VLOOKUP(D995,products!A:D,4,FALSE)</f>
        <v>45000</v>
      </c>
      <c r="I995" s="1" t="str">
        <f>VLOOKUP(C995,branches!A:B,2,FALSE)</f>
        <v>Naija Mart Ikeja</v>
      </c>
      <c r="J995" s="1">
        <f t="shared" si="30"/>
        <v>33750</v>
      </c>
      <c r="K995" s="1" t="str">
        <f>VLOOKUP(D995,products!A:D,2,FALSE)</f>
        <v>Electronics</v>
      </c>
      <c r="L995" s="1" t="str">
        <f t="shared" si="31"/>
        <v>Aug-2025</v>
      </c>
    </row>
    <row r="996" spans="1:12" x14ac:dyDescent="0.25">
      <c r="A996" s="3" t="s">
        <v>1243</v>
      </c>
      <c r="B996" s="6">
        <v>46012</v>
      </c>
      <c r="C996" s="3" t="s">
        <v>12</v>
      </c>
      <c r="D996" s="3" t="s">
        <v>94</v>
      </c>
      <c r="E996" s="3" t="s">
        <v>659</v>
      </c>
      <c r="F996" s="3">
        <v>1</v>
      </c>
      <c r="G996" s="3">
        <v>5</v>
      </c>
      <c r="H996" s="1">
        <f>VLOOKUP(D996,products!A:D,4,FALSE)</f>
        <v>320000</v>
      </c>
      <c r="I996" s="1" t="str">
        <f>VLOOKUP(C996,branches!A:B,2,FALSE)</f>
        <v>Naija Mart Wuse</v>
      </c>
      <c r="J996" s="1">
        <f t="shared" si="30"/>
        <v>304000</v>
      </c>
      <c r="K996" s="1" t="str">
        <f>VLOOKUP(D996,products!A:D,2,FALSE)</f>
        <v>Electronics</v>
      </c>
      <c r="L996" s="1" t="str">
        <f t="shared" si="31"/>
        <v>Dec-2025</v>
      </c>
    </row>
    <row r="997" spans="1:12" x14ac:dyDescent="0.25">
      <c r="A997" s="3" t="s">
        <v>1244</v>
      </c>
      <c r="B997" s="6">
        <v>45909</v>
      </c>
      <c r="C997" s="3" t="s">
        <v>8</v>
      </c>
      <c r="D997" s="3" t="s">
        <v>149</v>
      </c>
      <c r="E997" s="3" t="s">
        <v>621</v>
      </c>
      <c r="F997" s="3">
        <v>1</v>
      </c>
      <c r="G997" s="3">
        <v>0</v>
      </c>
      <c r="H997" s="1">
        <f>VLOOKUP(D997,products!A:D,4,FALSE)</f>
        <v>6500</v>
      </c>
      <c r="I997" s="1" t="str">
        <f>VLOOKUP(C997,branches!A:B,2,FALSE)</f>
        <v>Naija Mart GRA</v>
      </c>
      <c r="J997" s="1">
        <f t="shared" si="30"/>
        <v>6500</v>
      </c>
      <c r="K997" s="1" t="str">
        <f>VLOOKUP(D997,products!A:D,2,FALSE)</f>
        <v>Small Gadgets</v>
      </c>
      <c r="L997" s="1" t="str">
        <f t="shared" si="31"/>
        <v>Sep-2025</v>
      </c>
    </row>
    <row r="998" spans="1:12" x14ac:dyDescent="0.25">
      <c r="A998" s="3" t="s">
        <v>1245</v>
      </c>
      <c r="B998" s="6">
        <v>45668</v>
      </c>
      <c r="C998" s="3" t="s">
        <v>16</v>
      </c>
      <c r="D998" s="3" t="s">
        <v>23</v>
      </c>
      <c r="E998" s="3" t="s">
        <v>1090</v>
      </c>
      <c r="F998" s="3">
        <v>1</v>
      </c>
      <c r="G998" s="3">
        <v>5</v>
      </c>
      <c r="H998" s="1">
        <f>VLOOKUP(D998,products!A:D,4,FALSE)</f>
        <v>19500</v>
      </c>
      <c r="I998" s="1" t="str">
        <f>VLOOKUP(C998,branches!A:B,2,FALSE)</f>
        <v>Naija Mart Ikeja</v>
      </c>
      <c r="J998" s="1">
        <f t="shared" si="30"/>
        <v>18525</v>
      </c>
      <c r="K998" s="1" t="str">
        <f>VLOOKUP(D998,products!A:D,2,FALSE)</f>
        <v>Home Appliances</v>
      </c>
      <c r="L998" s="1" t="str">
        <f t="shared" si="31"/>
        <v>Jan-2025</v>
      </c>
    </row>
    <row r="999" spans="1:12" x14ac:dyDescent="0.25">
      <c r="A999" s="3" t="s">
        <v>1246</v>
      </c>
      <c r="B999" s="6">
        <v>45822</v>
      </c>
      <c r="C999" s="3" t="s">
        <v>16</v>
      </c>
      <c r="D999" s="3" t="s">
        <v>46</v>
      </c>
      <c r="E999" s="3" t="s">
        <v>953</v>
      </c>
      <c r="F999" s="3">
        <v>2</v>
      </c>
      <c r="G999" s="3">
        <v>0</v>
      </c>
      <c r="H999" s="1">
        <f>VLOOKUP(D999,products!A:D,4,FALSE)</f>
        <v>62000</v>
      </c>
      <c r="I999" s="1" t="str">
        <f>VLOOKUP(C999,branches!A:B,2,FALSE)</f>
        <v>Naija Mart Ikeja</v>
      </c>
      <c r="J999" s="1">
        <f t="shared" si="30"/>
        <v>124000</v>
      </c>
      <c r="K999" s="1" t="str">
        <f>VLOOKUP(D999,products!A:D,2,FALSE)</f>
        <v>Home Appliances</v>
      </c>
      <c r="L999" s="1" t="str">
        <f t="shared" si="31"/>
        <v>Jun-2025</v>
      </c>
    </row>
    <row r="1000" spans="1:12" x14ac:dyDescent="0.25">
      <c r="A1000" s="3" t="s">
        <v>1247</v>
      </c>
      <c r="B1000" s="6">
        <v>45739</v>
      </c>
      <c r="C1000" s="3" t="s">
        <v>8</v>
      </c>
      <c r="D1000" s="3" t="s">
        <v>97</v>
      </c>
      <c r="E1000" s="3" t="s">
        <v>693</v>
      </c>
      <c r="F1000" s="3">
        <v>1</v>
      </c>
      <c r="G1000" s="3">
        <v>0</v>
      </c>
      <c r="H1000" s="1">
        <f>VLOOKUP(D1000,products!A:D,4,FALSE)</f>
        <v>21000</v>
      </c>
      <c r="I1000" s="1" t="str">
        <f>VLOOKUP(C1000,branches!A:B,2,FALSE)</f>
        <v>Naija Mart GRA</v>
      </c>
      <c r="J1000" s="1">
        <f t="shared" si="30"/>
        <v>21000</v>
      </c>
      <c r="K1000" s="1" t="str">
        <f>VLOOKUP(D1000,products!A:D,2,FALSE)</f>
        <v>Small Gadgets</v>
      </c>
      <c r="L1000" s="1" t="str">
        <f t="shared" si="31"/>
        <v>Mar-2025</v>
      </c>
    </row>
    <row r="1001" spans="1:12" x14ac:dyDescent="0.25">
      <c r="A1001" s="3" t="s">
        <v>1248</v>
      </c>
      <c r="B1001" s="6">
        <v>45803</v>
      </c>
      <c r="C1001" s="3" t="s">
        <v>8</v>
      </c>
      <c r="D1001" s="3" t="s">
        <v>51</v>
      </c>
      <c r="E1001" s="3" t="s">
        <v>387</v>
      </c>
      <c r="F1001" s="3">
        <v>1</v>
      </c>
      <c r="G1001" s="3">
        <v>0</v>
      </c>
      <c r="H1001" s="1">
        <f>VLOOKUP(D1001,products!A:D,4,FALSE)</f>
        <v>18000</v>
      </c>
      <c r="I1001" s="1" t="str">
        <f>VLOOKUP(C1001,branches!A:B,2,FALSE)</f>
        <v>Naija Mart GRA</v>
      </c>
      <c r="J1001" s="1">
        <f t="shared" si="30"/>
        <v>18000</v>
      </c>
      <c r="K1001" s="1" t="str">
        <f>VLOOKUP(D1001,products!A:D,2,FALSE)</f>
        <v>Small Gadgets</v>
      </c>
      <c r="L1001" s="1" t="str">
        <f t="shared" si="31"/>
        <v>May-2025</v>
      </c>
    </row>
    <row r="1002" spans="1:12" x14ac:dyDescent="0.25">
      <c r="A1002" s="3" t="s">
        <v>1249</v>
      </c>
      <c r="B1002" s="6">
        <v>46013</v>
      </c>
      <c r="C1002" s="3" t="s">
        <v>12</v>
      </c>
      <c r="D1002" s="3" t="s">
        <v>94</v>
      </c>
      <c r="E1002" s="3" t="s">
        <v>279</v>
      </c>
      <c r="F1002" s="3">
        <v>1</v>
      </c>
      <c r="G1002" s="3">
        <v>0</v>
      </c>
      <c r="H1002" s="1">
        <f>VLOOKUP(D1002,products!A:D,4,FALSE)</f>
        <v>320000</v>
      </c>
      <c r="I1002" s="1" t="str">
        <f>VLOOKUP(C1002,branches!A:B,2,FALSE)</f>
        <v>Naija Mart Wuse</v>
      </c>
      <c r="J1002" s="1">
        <f t="shared" si="30"/>
        <v>320000</v>
      </c>
      <c r="K1002" s="1" t="str">
        <f>VLOOKUP(D1002,products!A:D,2,FALSE)</f>
        <v>Electronics</v>
      </c>
      <c r="L1002" s="1" t="str">
        <f t="shared" si="31"/>
        <v>Dec-2025</v>
      </c>
    </row>
    <row r="1003" spans="1:12" x14ac:dyDescent="0.25">
      <c r="A1003" s="3" t="s">
        <v>1250</v>
      </c>
      <c r="B1003" s="6">
        <v>45700</v>
      </c>
      <c r="C1003" s="3" t="s">
        <v>8</v>
      </c>
      <c r="D1003" s="3" t="s">
        <v>43</v>
      </c>
      <c r="E1003" s="3" t="s">
        <v>766</v>
      </c>
      <c r="F1003" s="3">
        <v>1</v>
      </c>
      <c r="G1003" s="3">
        <v>5</v>
      </c>
      <c r="H1003" s="1">
        <f>VLOOKUP(D1003,products!A:D,4,FALSE)</f>
        <v>74000</v>
      </c>
      <c r="I1003" s="1" t="str">
        <f>VLOOKUP(C1003,branches!A:B,2,FALSE)</f>
        <v>Naija Mart GRA</v>
      </c>
      <c r="J1003" s="1">
        <f t="shared" si="30"/>
        <v>70300</v>
      </c>
      <c r="K1003" s="1" t="str">
        <f>VLOOKUP(D1003,products!A:D,2,FALSE)</f>
        <v>Home Appliances</v>
      </c>
      <c r="L1003" s="1" t="str">
        <f t="shared" si="31"/>
        <v>Feb-2025</v>
      </c>
    </row>
    <row r="1004" spans="1:12" x14ac:dyDescent="0.25">
      <c r="A1004" s="3" t="s">
        <v>1251</v>
      </c>
      <c r="B1004" s="6">
        <v>45942</v>
      </c>
      <c r="C1004" s="3" t="s">
        <v>16</v>
      </c>
      <c r="D1004" s="3" t="s">
        <v>149</v>
      </c>
      <c r="E1004" s="3" t="s">
        <v>95</v>
      </c>
      <c r="F1004" s="3">
        <v>1</v>
      </c>
      <c r="G1004" s="3">
        <v>20</v>
      </c>
      <c r="H1004" s="1">
        <f>VLOOKUP(D1004,products!A:D,4,FALSE)</f>
        <v>6500</v>
      </c>
      <c r="I1004" s="1" t="str">
        <f>VLOOKUP(C1004,branches!A:B,2,FALSE)</f>
        <v>Naija Mart Ikeja</v>
      </c>
      <c r="J1004" s="1">
        <f t="shared" si="30"/>
        <v>5200</v>
      </c>
      <c r="K1004" s="1" t="str">
        <f>VLOOKUP(D1004,products!A:D,2,FALSE)</f>
        <v>Small Gadgets</v>
      </c>
      <c r="L1004" s="1" t="str">
        <f t="shared" si="31"/>
        <v>Oct-2025</v>
      </c>
    </row>
    <row r="1005" spans="1:12" x14ac:dyDescent="0.25">
      <c r="A1005" s="3" t="s">
        <v>1252</v>
      </c>
      <c r="B1005" s="6">
        <v>45813</v>
      </c>
      <c r="C1005" s="3" t="s">
        <v>8</v>
      </c>
      <c r="D1005" s="3" t="s">
        <v>69</v>
      </c>
      <c r="E1005" s="3" t="s">
        <v>182</v>
      </c>
      <c r="F1005" s="3">
        <v>1</v>
      </c>
      <c r="G1005" s="3">
        <v>10</v>
      </c>
      <c r="H1005" s="1">
        <f>VLOOKUP(D1005,products!A:D,4,FALSE)</f>
        <v>45000</v>
      </c>
      <c r="I1005" s="1" t="str">
        <f>VLOOKUP(C1005,branches!A:B,2,FALSE)</f>
        <v>Naija Mart GRA</v>
      </c>
      <c r="J1005" s="1">
        <f t="shared" si="30"/>
        <v>40500</v>
      </c>
      <c r="K1005" s="1" t="str">
        <f>VLOOKUP(D1005,products!A:D,2,FALSE)</f>
        <v>Electronics</v>
      </c>
      <c r="L1005" s="1" t="str">
        <f t="shared" si="31"/>
        <v>Jun-2025</v>
      </c>
    </row>
    <row r="1006" spans="1:12" x14ac:dyDescent="0.25">
      <c r="A1006" s="3" t="s">
        <v>1253</v>
      </c>
      <c r="B1006" s="6">
        <v>45758</v>
      </c>
      <c r="C1006" s="3" t="s">
        <v>16</v>
      </c>
      <c r="D1006" s="3" t="s">
        <v>258</v>
      </c>
      <c r="E1006" s="3" t="s">
        <v>215</v>
      </c>
      <c r="F1006" s="3">
        <v>2</v>
      </c>
      <c r="G1006" s="3">
        <v>10</v>
      </c>
      <c r="H1006" s="1">
        <f>VLOOKUP(D1006,products!A:D,4,FALSE)</f>
        <v>95000</v>
      </c>
      <c r="I1006" s="1" t="str">
        <f>VLOOKUP(C1006,branches!A:B,2,FALSE)</f>
        <v>Naija Mart Ikeja</v>
      </c>
      <c r="J1006" s="1">
        <f t="shared" si="30"/>
        <v>171000</v>
      </c>
      <c r="K1006" s="1" t="str">
        <f>VLOOKUP(D1006,products!A:D,2,FALSE)</f>
        <v>Electronics</v>
      </c>
      <c r="L1006" s="1" t="str">
        <f t="shared" si="31"/>
        <v>Apr-2025</v>
      </c>
    </row>
    <row r="1007" spans="1:12" x14ac:dyDescent="0.25">
      <c r="A1007" s="3" t="s">
        <v>1254</v>
      </c>
      <c r="B1007" s="6">
        <v>45971</v>
      </c>
      <c r="C1007" s="3" t="s">
        <v>16</v>
      </c>
      <c r="D1007" s="3" t="s">
        <v>126</v>
      </c>
      <c r="E1007" s="3" t="s">
        <v>733</v>
      </c>
      <c r="F1007" s="3">
        <v>5</v>
      </c>
      <c r="G1007" s="3">
        <v>0</v>
      </c>
      <c r="H1007" s="1">
        <f>VLOOKUP(D1007,products!A:D,4,FALSE)</f>
        <v>185000</v>
      </c>
      <c r="I1007" s="1" t="str">
        <f>VLOOKUP(C1007,branches!A:B,2,FALSE)</f>
        <v>Naija Mart Ikeja</v>
      </c>
      <c r="J1007" s="1">
        <f t="shared" si="30"/>
        <v>925000</v>
      </c>
      <c r="K1007" s="1" t="str">
        <f>VLOOKUP(D1007,products!A:D,2,FALSE)</f>
        <v>Electronics</v>
      </c>
      <c r="L1007" s="1" t="str">
        <f t="shared" si="31"/>
        <v>Nov-2025</v>
      </c>
    </row>
    <row r="1008" spans="1:12" x14ac:dyDescent="0.25">
      <c r="A1008" s="3" t="s">
        <v>1255</v>
      </c>
      <c r="B1008" s="6">
        <v>45729</v>
      </c>
      <c r="C1008" s="3" t="s">
        <v>16</v>
      </c>
      <c r="D1008" s="3" t="s">
        <v>258</v>
      </c>
      <c r="E1008" s="3" t="s">
        <v>178</v>
      </c>
      <c r="F1008" s="3">
        <v>1</v>
      </c>
      <c r="G1008" s="3">
        <v>0</v>
      </c>
      <c r="H1008" s="1">
        <f>VLOOKUP(D1008,products!A:D,4,FALSE)</f>
        <v>95000</v>
      </c>
      <c r="I1008" s="1" t="str">
        <f>VLOOKUP(C1008,branches!A:B,2,FALSE)</f>
        <v>Naija Mart Ikeja</v>
      </c>
      <c r="J1008" s="1">
        <f t="shared" si="30"/>
        <v>95000</v>
      </c>
      <c r="K1008" s="1" t="str">
        <f>VLOOKUP(D1008,products!A:D,2,FALSE)</f>
        <v>Electronics</v>
      </c>
      <c r="L1008" s="1" t="str">
        <f t="shared" si="31"/>
        <v>Mar-2025</v>
      </c>
    </row>
    <row r="1009" spans="1:12" x14ac:dyDescent="0.25">
      <c r="A1009" s="3" t="s">
        <v>1256</v>
      </c>
      <c r="B1009" s="6">
        <v>45722</v>
      </c>
      <c r="C1009" s="3" t="s">
        <v>12</v>
      </c>
      <c r="D1009" s="3" t="s">
        <v>37</v>
      </c>
      <c r="E1009" s="3" t="s">
        <v>428</v>
      </c>
      <c r="F1009" s="3">
        <v>2</v>
      </c>
      <c r="G1009" s="3">
        <v>10</v>
      </c>
      <c r="H1009" s="1">
        <f>VLOOKUP(D1009,products!A:D,4,FALSE)</f>
        <v>8500</v>
      </c>
      <c r="I1009" s="1" t="str">
        <f>VLOOKUP(C1009,branches!A:B,2,FALSE)</f>
        <v>Naija Mart Wuse</v>
      </c>
      <c r="J1009" s="1">
        <f t="shared" si="30"/>
        <v>15300</v>
      </c>
      <c r="K1009" s="1" t="str">
        <f>VLOOKUP(D1009,products!A:D,2,FALSE)</f>
        <v>Small Gadgets</v>
      </c>
      <c r="L1009" s="1" t="str">
        <f t="shared" si="31"/>
        <v>Mar-2025</v>
      </c>
    </row>
    <row r="1010" spans="1:12" x14ac:dyDescent="0.25">
      <c r="A1010" s="3" t="s">
        <v>1257</v>
      </c>
      <c r="B1010" s="6">
        <v>45749</v>
      </c>
      <c r="C1010" s="3" t="s">
        <v>12</v>
      </c>
      <c r="D1010" s="3" t="s">
        <v>59</v>
      </c>
      <c r="E1010" s="3" t="s">
        <v>198</v>
      </c>
      <c r="F1010" s="3">
        <v>1</v>
      </c>
      <c r="G1010" s="3">
        <v>0</v>
      </c>
      <c r="H1010" s="1">
        <f>VLOOKUP(D1010,products!A:D,4,FALSE)</f>
        <v>15000</v>
      </c>
      <c r="I1010" s="1" t="str">
        <f>VLOOKUP(C1010,branches!A:B,2,FALSE)</f>
        <v>Naija Mart Wuse</v>
      </c>
      <c r="J1010" s="1">
        <f t="shared" si="30"/>
        <v>15000</v>
      </c>
      <c r="K1010" s="1" t="str">
        <f>VLOOKUP(D1010,products!A:D,2,FALSE)</f>
        <v>Home Appliances</v>
      </c>
      <c r="L1010" s="1" t="str">
        <f t="shared" si="31"/>
        <v>Apr-2025</v>
      </c>
    </row>
    <row r="1011" spans="1:12" x14ac:dyDescent="0.25">
      <c r="A1011" s="3" t="s">
        <v>1258</v>
      </c>
      <c r="B1011" s="6">
        <v>45728</v>
      </c>
      <c r="C1011" s="3" t="s">
        <v>8</v>
      </c>
      <c r="D1011" s="3" t="s">
        <v>46</v>
      </c>
      <c r="E1011" s="3" t="s">
        <v>147</v>
      </c>
      <c r="F1011" s="3">
        <v>5</v>
      </c>
      <c r="G1011" s="3">
        <v>5</v>
      </c>
      <c r="H1011" s="1">
        <f>VLOOKUP(D1011,products!A:D,4,FALSE)</f>
        <v>62000</v>
      </c>
      <c r="I1011" s="1" t="str">
        <f>VLOOKUP(C1011,branches!A:B,2,FALSE)</f>
        <v>Naija Mart GRA</v>
      </c>
      <c r="J1011" s="1">
        <f t="shared" si="30"/>
        <v>294500</v>
      </c>
      <c r="K1011" s="1" t="str">
        <f>VLOOKUP(D1011,products!A:D,2,FALSE)</f>
        <v>Home Appliances</v>
      </c>
      <c r="L1011" s="1" t="str">
        <f t="shared" si="31"/>
        <v>Mar-2025</v>
      </c>
    </row>
    <row r="1012" spans="1:12" x14ac:dyDescent="0.25">
      <c r="A1012" s="3" t="s">
        <v>1259</v>
      </c>
      <c r="B1012" s="6">
        <v>45982</v>
      </c>
      <c r="C1012" s="3" t="s">
        <v>12</v>
      </c>
      <c r="D1012" s="3" t="s">
        <v>258</v>
      </c>
      <c r="E1012" s="3" t="s">
        <v>382</v>
      </c>
      <c r="F1012" s="3">
        <v>1</v>
      </c>
      <c r="G1012" s="3">
        <v>10</v>
      </c>
      <c r="H1012" s="1">
        <f>VLOOKUP(D1012,products!A:D,4,FALSE)</f>
        <v>95000</v>
      </c>
      <c r="I1012" s="1" t="str">
        <f>VLOOKUP(C1012,branches!A:B,2,FALSE)</f>
        <v>Naija Mart Wuse</v>
      </c>
      <c r="J1012" s="1">
        <f t="shared" si="30"/>
        <v>85500</v>
      </c>
      <c r="K1012" s="1" t="str">
        <f>VLOOKUP(D1012,products!A:D,2,FALSE)</f>
        <v>Electronics</v>
      </c>
      <c r="L1012" s="1" t="str">
        <f t="shared" si="31"/>
        <v>Nov-2025</v>
      </c>
    </row>
    <row r="1013" spans="1:12" x14ac:dyDescent="0.25">
      <c r="A1013" s="3" t="s">
        <v>1260</v>
      </c>
      <c r="B1013" s="6">
        <v>45751</v>
      </c>
      <c r="C1013" s="3" t="s">
        <v>8</v>
      </c>
      <c r="D1013" s="3" t="s">
        <v>13</v>
      </c>
      <c r="E1013" s="3" t="s">
        <v>618</v>
      </c>
      <c r="F1013" s="3">
        <v>2</v>
      </c>
      <c r="G1013" s="3">
        <v>0</v>
      </c>
      <c r="H1013" s="1">
        <f>VLOOKUP(D1013,products!A:D,4,FALSE)</f>
        <v>24000</v>
      </c>
      <c r="I1013" s="1" t="str">
        <f>VLOOKUP(C1013,branches!A:B,2,FALSE)</f>
        <v>Naija Mart GRA</v>
      </c>
      <c r="J1013" s="1">
        <f t="shared" si="30"/>
        <v>48000</v>
      </c>
      <c r="K1013" s="1" t="str">
        <f>VLOOKUP(D1013,products!A:D,2,FALSE)</f>
        <v>Home Appliances</v>
      </c>
      <c r="L1013" s="1" t="str">
        <f t="shared" si="31"/>
        <v>Apr-2025</v>
      </c>
    </row>
    <row r="1014" spans="1:12" x14ac:dyDescent="0.25">
      <c r="A1014" s="3" t="s">
        <v>1261</v>
      </c>
      <c r="B1014" s="6">
        <v>45684</v>
      </c>
      <c r="C1014" s="3" t="s">
        <v>12</v>
      </c>
      <c r="D1014" s="3" t="s">
        <v>69</v>
      </c>
      <c r="E1014" s="3" t="s">
        <v>566</v>
      </c>
      <c r="F1014" s="3">
        <v>1</v>
      </c>
      <c r="G1014" s="3">
        <v>0</v>
      </c>
      <c r="H1014" s="1">
        <f>VLOOKUP(D1014,products!A:D,4,FALSE)</f>
        <v>45000</v>
      </c>
      <c r="I1014" s="1" t="str">
        <f>VLOOKUP(C1014,branches!A:B,2,FALSE)</f>
        <v>Naija Mart Wuse</v>
      </c>
      <c r="J1014" s="1">
        <f t="shared" si="30"/>
        <v>45000</v>
      </c>
      <c r="K1014" s="1" t="str">
        <f>VLOOKUP(D1014,products!A:D,2,FALSE)</f>
        <v>Electronics</v>
      </c>
      <c r="L1014" s="1" t="str">
        <f t="shared" si="31"/>
        <v>Jan-2025</v>
      </c>
    </row>
    <row r="1015" spans="1:12" x14ac:dyDescent="0.25">
      <c r="A1015" s="3" t="s">
        <v>1262</v>
      </c>
      <c r="B1015" s="6">
        <v>46013</v>
      </c>
      <c r="C1015" s="3" t="s">
        <v>8</v>
      </c>
      <c r="D1015" s="3" t="s">
        <v>94</v>
      </c>
      <c r="E1015" s="3" t="s">
        <v>207</v>
      </c>
      <c r="F1015" s="3">
        <v>1</v>
      </c>
      <c r="G1015" s="3">
        <v>5</v>
      </c>
      <c r="H1015" s="1">
        <f>VLOOKUP(D1015,products!A:D,4,FALSE)</f>
        <v>320000</v>
      </c>
      <c r="I1015" s="1" t="str">
        <f>VLOOKUP(C1015,branches!A:B,2,FALSE)</f>
        <v>Naija Mart GRA</v>
      </c>
      <c r="J1015" s="1">
        <f t="shared" si="30"/>
        <v>304000</v>
      </c>
      <c r="K1015" s="1" t="str">
        <f>VLOOKUP(D1015,products!A:D,2,FALSE)</f>
        <v>Electronics</v>
      </c>
      <c r="L1015" s="1" t="str">
        <f t="shared" si="31"/>
        <v>Dec-2025</v>
      </c>
    </row>
    <row r="1016" spans="1:12" x14ac:dyDescent="0.25">
      <c r="A1016" s="3" t="s">
        <v>1263</v>
      </c>
      <c r="B1016" s="6">
        <v>45770</v>
      </c>
      <c r="C1016" s="3" t="s">
        <v>16</v>
      </c>
      <c r="D1016" s="3" t="s">
        <v>23</v>
      </c>
      <c r="E1016" s="3" t="s">
        <v>349</v>
      </c>
      <c r="F1016" s="3">
        <v>1</v>
      </c>
      <c r="G1016" s="3">
        <v>5</v>
      </c>
      <c r="H1016" s="1">
        <f>VLOOKUP(D1016,products!A:D,4,FALSE)</f>
        <v>19500</v>
      </c>
      <c r="I1016" s="1" t="str">
        <f>VLOOKUP(C1016,branches!A:B,2,FALSE)</f>
        <v>Naija Mart Ikeja</v>
      </c>
      <c r="J1016" s="1">
        <f t="shared" si="30"/>
        <v>18525</v>
      </c>
      <c r="K1016" s="1" t="str">
        <f>VLOOKUP(D1016,products!A:D,2,FALSE)</f>
        <v>Home Appliances</v>
      </c>
      <c r="L1016" s="1" t="str">
        <f t="shared" si="31"/>
        <v>Apr-2025</v>
      </c>
    </row>
    <row r="1017" spans="1:12" x14ac:dyDescent="0.25">
      <c r="A1017" s="3" t="s">
        <v>1264</v>
      </c>
      <c r="B1017" s="6">
        <v>45698</v>
      </c>
      <c r="C1017" s="3" t="s">
        <v>36</v>
      </c>
      <c r="D1017" s="3" t="s">
        <v>37</v>
      </c>
      <c r="E1017" s="3" t="s">
        <v>823</v>
      </c>
      <c r="F1017" s="3">
        <v>1</v>
      </c>
      <c r="G1017" s="3">
        <v>0</v>
      </c>
      <c r="H1017" s="1">
        <f>VLOOKUP(D1017,products!A:D,4,FALSE)</f>
        <v>8500</v>
      </c>
      <c r="I1017" s="1" t="str">
        <f>VLOOKUP(C1017,branches!A:B,2,FALSE)</f>
        <v>Naija Mart Sabon Gari</v>
      </c>
      <c r="J1017" s="1">
        <f t="shared" si="30"/>
        <v>8500</v>
      </c>
      <c r="K1017" s="1" t="str">
        <f>VLOOKUP(D1017,products!A:D,2,FALSE)</f>
        <v>Small Gadgets</v>
      </c>
      <c r="L1017" s="1" t="str">
        <f t="shared" si="31"/>
        <v>Feb-2025</v>
      </c>
    </row>
    <row r="1018" spans="1:12" x14ac:dyDescent="0.25">
      <c r="A1018" s="3" t="s">
        <v>1265</v>
      </c>
      <c r="B1018" s="6">
        <v>45910</v>
      </c>
      <c r="C1018" s="3" t="s">
        <v>12</v>
      </c>
      <c r="D1018" s="3" t="s">
        <v>80</v>
      </c>
      <c r="E1018" s="3" t="s">
        <v>842</v>
      </c>
      <c r="F1018" s="3">
        <v>1</v>
      </c>
      <c r="G1018" s="3">
        <v>0</v>
      </c>
      <c r="H1018" s="1">
        <f>VLOOKUP(D1018,products!A:D,4,FALSE)</f>
        <v>265000</v>
      </c>
      <c r="I1018" s="1" t="str">
        <f>VLOOKUP(C1018,branches!A:B,2,FALSE)</f>
        <v>Naija Mart Wuse</v>
      </c>
      <c r="J1018" s="1">
        <f t="shared" si="30"/>
        <v>265000</v>
      </c>
      <c r="K1018" s="1" t="str">
        <f>VLOOKUP(D1018,products!A:D,2,FALSE)</f>
        <v>Home Appliances</v>
      </c>
      <c r="L1018" s="1" t="str">
        <f t="shared" si="31"/>
        <v>Sep-2025</v>
      </c>
    </row>
    <row r="1019" spans="1:12" x14ac:dyDescent="0.25">
      <c r="A1019" s="3" t="s">
        <v>1266</v>
      </c>
      <c r="B1019" s="6">
        <v>45759</v>
      </c>
      <c r="C1019" s="3" t="s">
        <v>16</v>
      </c>
      <c r="D1019" s="3" t="s">
        <v>17</v>
      </c>
      <c r="E1019" s="3" t="s">
        <v>1267</v>
      </c>
      <c r="F1019" s="3">
        <v>1</v>
      </c>
      <c r="G1019" s="3">
        <v>15</v>
      </c>
      <c r="H1019" s="1">
        <f>VLOOKUP(D1019,products!A:D,4,FALSE)</f>
        <v>22000</v>
      </c>
      <c r="I1019" s="1" t="str">
        <f>VLOOKUP(C1019,branches!A:B,2,FALSE)</f>
        <v>Naija Mart Ikeja</v>
      </c>
      <c r="J1019" s="1">
        <f t="shared" si="30"/>
        <v>18700</v>
      </c>
      <c r="K1019" s="1" t="str">
        <f>VLOOKUP(D1019,products!A:D,2,FALSE)</f>
        <v>Home Appliances</v>
      </c>
      <c r="L1019" s="1" t="str">
        <f t="shared" si="31"/>
        <v>Apr-2025</v>
      </c>
    </row>
    <row r="1020" spans="1:12" x14ac:dyDescent="0.25">
      <c r="A1020" s="3" t="s">
        <v>1268</v>
      </c>
      <c r="B1020" s="6">
        <v>45829</v>
      </c>
      <c r="C1020" s="3" t="s">
        <v>12</v>
      </c>
      <c r="D1020" s="3" t="s">
        <v>37</v>
      </c>
      <c r="E1020" s="3" t="s">
        <v>623</v>
      </c>
      <c r="F1020" s="3">
        <v>5</v>
      </c>
      <c r="G1020" s="3">
        <v>5</v>
      </c>
      <c r="H1020" s="1">
        <f>VLOOKUP(D1020,products!A:D,4,FALSE)</f>
        <v>8500</v>
      </c>
      <c r="I1020" s="1" t="str">
        <f>VLOOKUP(C1020,branches!A:B,2,FALSE)</f>
        <v>Naija Mart Wuse</v>
      </c>
      <c r="J1020" s="1">
        <f t="shared" si="30"/>
        <v>40375</v>
      </c>
      <c r="K1020" s="1" t="str">
        <f>VLOOKUP(D1020,products!A:D,2,FALSE)</f>
        <v>Small Gadgets</v>
      </c>
      <c r="L1020" s="1" t="str">
        <f t="shared" si="31"/>
        <v>Jun-2025</v>
      </c>
    </row>
    <row r="1021" spans="1:12" x14ac:dyDescent="0.25">
      <c r="A1021" s="3" t="s">
        <v>1269</v>
      </c>
      <c r="B1021" s="6">
        <v>45785</v>
      </c>
      <c r="C1021" s="3" t="s">
        <v>16</v>
      </c>
      <c r="D1021" s="3" t="s">
        <v>9</v>
      </c>
      <c r="E1021" s="3" t="s">
        <v>211</v>
      </c>
      <c r="F1021" s="3">
        <v>1</v>
      </c>
      <c r="G1021" s="3">
        <v>0</v>
      </c>
      <c r="H1021" s="1">
        <f>VLOOKUP(D1021,products!A:D,4,FALSE)</f>
        <v>410000</v>
      </c>
      <c r="I1021" s="1" t="str">
        <f>VLOOKUP(C1021,branches!A:B,2,FALSE)</f>
        <v>Naija Mart Ikeja</v>
      </c>
      <c r="J1021" s="1">
        <f t="shared" si="30"/>
        <v>410000</v>
      </c>
      <c r="K1021" s="1" t="str">
        <f>VLOOKUP(D1021,products!A:D,2,FALSE)</f>
        <v>Home Appliances</v>
      </c>
      <c r="L1021" s="1" t="str">
        <f t="shared" si="31"/>
        <v>May-2025</v>
      </c>
    </row>
    <row r="1022" spans="1:12" x14ac:dyDescent="0.25">
      <c r="A1022" s="3" t="s">
        <v>1270</v>
      </c>
      <c r="B1022" s="6">
        <v>45950</v>
      </c>
      <c r="C1022" s="3" t="s">
        <v>16</v>
      </c>
      <c r="D1022" s="3" t="s">
        <v>17</v>
      </c>
      <c r="E1022" s="3" t="s">
        <v>504</v>
      </c>
      <c r="F1022" s="3">
        <v>1</v>
      </c>
      <c r="G1022" s="3">
        <v>0</v>
      </c>
      <c r="H1022" s="1">
        <f>VLOOKUP(D1022,products!A:D,4,FALSE)</f>
        <v>22000</v>
      </c>
      <c r="I1022" s="1" t="str">
        <f>VLOOKUP(C1022,branches!A:B,2,FALSE)</f>
        <v>Naija Mart Ikeja</v>
      </c>
      <c r="J1022" s="1">
        <f t="shared" si="30"/>
        <v>22000</v>
      </c>
      <c r="K1022" s="1" t="str">
        <f>VLOOKUP(D1022,products!A:D,2,FALSE)</f>
        <v>Home Appliances</v>
      </c>
      <c r="L1022" s="1" t="str">
        <f t="shared" si="31"/>
        <v>Oct-2025</v>
      </c>
    </row>
    <row r="1023" spans="1:12" x14ac:dyDescent="0.25">
      <c r="A1023" s="3" t="s">
        <v>1271</v>
      </c>
      <c r="B1023" s="6">
        <v>45732</v>
      </c>
      <c r="C1023" s="3" t="s">
        <v>16</v>
      </c>
      <c r="D1023" s="3" t="s">
        <v>69</v>
      </c>
      <c r="E1023" s="3" t="s">
        <v>551</v>
      </c>
      <c r="F1023" s="3">
        <v>5</v>
      </c>
      <c r="G1023" s="3">
        <v>10</v>
      </c>
      <c r="H1023" s="1">
        <f>VLOOKUP(D1023,products!A:D,4,FALSE)</f>
        <v>45000</v>
      </c>
      <c r="I1023" s="1" t="str">
        <f>VLOOKUP(C1023,branches!A:B,2,FALSE)</f>
        <v>Naija Mart Ikeja</v>
      </c>
      <c r="J1023" s="1">
        <f t="shared" si="30"/>
        <v>202500</v>
      </c>
      <c r="K1023" s="1" t="str">
        <f>VLOOKUP(D1023,products!A:D,2,FALSE)</f>
        <v>Electronics</v>
      </c>
      <c r="L1023" s="1" t="str">
        <f t="shared" si="31"/>
        <v>Mar-2025</v>
      </c>
    </row>
    <row r="1024" spans="1:12" x14ac:dyDescent="0.25">
      <c r="A1024" s="3" t="s">
        <v>1272</v>
      </c>
      <c r="B1024" s="6">
        <v>45986</v>
      </c>
      <c r="C1024" s="3" t="s">
        <v>16</v>
      </c>
      <c r="D1024" s="3" t="s">
        <v>91</v>
      </c>
      <c r="E1024" s="3" t="s">
        <v>157</v>
      </c>
      <c r="F1024" s="3">
        <v>1</v>
      </c>
      <c r="G1024" s="3">
        <v>15</v>
      </c>
      <c r="H1024" s="1">
        <f>VLOOKUP(D1024,products!A:D,4,FALSE)</f>
        <v>5200</v>
      </c>
      <c r="I1024" s="1" t="str">
        <f>VLOOKUP(C1024,branches!A:B,2,FALSE)</f>
        <v>Naija Mart Ikeja</v>
      </c>
      <c r="J1024" s="1">
        <f t="shared" si="30"/>
        <v>4420</v>
      </c>
      <c r="K1024" s="1" t="str">
        <f>VLOOKUP(D1024,products!A:D,2,FALSE)</f>
        <v>Small Gadgets</v>
      </c>
      <c r="L1024" s="1" t="str">
        <f t="shared" si="31"/>
        <v>Nov-2025</v>
      </c>
    </row>
    <row r="1025" spans="1:12" x14ac:dyDescent="0.25">
      <c r="A1025" s="3" t="s">
        <v>1273</v>
      </c>
      <c r="B1025" s="6">
        <v>45988</v>
      </c>
      <c r="C1025" s="3" t="s">
        <v>16</v>
      </c>
      <c r="D1025" s="3" t="s">
        <v>17</v>
      </c>
      <c r="E1025" s="3" t="s">
        <v>673</v>
      </c>
      <c r="F1025" s="3">
        <v>1</v>
      </c>
      <c r="G1025" s="3">
        <v>5</v>
      </c>
      <c r="H1025" s="1">
        <f>VLOOKUP(D1025,products!A:D,4,FALSE)</f>
        <v>22000</v>
      </c>
      <c r="I1025" s="1" t="str">
        <f>VLOOKUP(C1025,branches!A:B,2,FALSE)</f>
        <v>Naija Mart Ikeja</v>
      </c>
      <c r="J1025" s="1">
        <f t="shared" si="30"/>
        <v>20900</v>
      </c>
      <c r="K1025" s="1" t="str">
        <f>VLOOKUP(D1025,products!A:D,2,FALSE)</f>
        <v>Home Appliances</v>
      </c>
      <c r="L1025" s="1" t="str">
        <f t="shared" si="31"/>
        <v>Nov-2025</v>
      </c>
    </row>
    <row r="1026" spans="1:12" x14ac:dyDescent="0.25">
      <c r="A1026" s="3" t="s">
        <v>1274</v>
      </c>
      <c r="B1026" s="6">
        <v>46007</v>
      </c>
      <c r="C1026" s="3" t="s">
        <v>16</v>
      </c>
      <c r="D1026" s="3" t="s">
        <v>91</v>
      </c>
      <c r="E1026" s="3" t="s">
        <v>977</v>
      </c>
      <c r="F1026" s="3">
        <v>2</v>
      </c>
      <c r="G1026" s="3">
        <v>20</v>
      </c>
      <c r="H1026" s="1">
        <f>VLOOKUP(D1026,products!A:D,4,FALSE)</f>
        <v>5200</v>
      </c>
      <c r="I1026" s="1" t="str">
        <f>VLOOKUP(C1026,branches!A:B,2,FALSE)</f>
        <v>Naija Mart Ikeja</v>
      </c>
      <c r="J1026" s="1">
        <f t="shared" si="30"/>
        <v>8320</v>
      </c>
      <c r="K1026" s="1" t="str">
        <f>VLOOKUP(D1026,products!A:D,2,FALSE)</f>
        <v>Small Gadgets</v>
      </c>
      <c r="L1026" s="1" t="str">
        <f t="shared" si="31"/>
        <v>Dec-2025</v>
      </c>
    </row>
    <row r="1027" spans="1:12" x14ac:dyDescent="0.25">
      <c r="A1027" s="3" t="s">
        <v>1275</v>
      </c>
      <c r="B1027" s="6">
        <v>45908</v>
      </c>
      <c r="C1027" s="3" t="s">
        <v>12</v>
      </c>
      <c r="D1027" s="3" t="s">
        <v>20</v>
      </c>
      <c r="E1027" s="3" t="s">
        <v>376</v>
      </c>
      <c r="F1027" s="3">
        <v>1</v>
      </c>
      <c r="G1027" s="3">
        <v>10</v>
      </c>
      <c r="H1027" s="1">
        <f>VLOOKUP(D1027,products!A:D,4,FALSE)</f>
        <v>38000</v>
      </c>
      <c r="I1027" s="1" t="str">
        <f>VLOOKUP(C1027,branches!A:B,2,FALSE)</f>
        <v>Naija Mart Wuse</v>
      </c>
      <c r="J1027" s="1">
        <f t="shared" ref="J1027:J1090" si="32">F1027*H1027*(1-G1027/100)</f>
        <v>34200</v>
      </c>
      <c r="K1027" s="1" t="str">
        <f>VLOOKUP(D1027,products!A:D,2,FALSE)</f>
        <v>Electronics</v>
      </c>
      <c r="L1027" s="1" t="str">
        <f t="shared" ref="L1027:L1090" si="33">TEXT(B1027,"mmm-yyyy")</f>
        <v>Sep-2025</v>
      </c>
    </row>
    <row r="1028" spans="1:12" x14ac:dyDescent="0.25">
      <c r="A1028" s="3" t="s">
        <v>1276</v>
      </c>
      <c r="B1028" s="6">
        <v>45914</v>
      </c>
      <c r="C1028" s="3" t="s">
        <v>12</v>
      </c>
      <c r="D1028" s="3" t="s">
        <v>64</v>
      </c>
      <c r="E1028" s="3" t="s">
        <v>1206</v>
      </c>
      <c r="F1028" s="3">
        <v>2</v>
      </c>
      <c r="G1028" s="3">
        <v>0</v>
      </c>
      <c r="H1028" s="1">
        <f>VLOOKUP(D1028,products!A:D,4,FALSE)</f>
        <v>175000</v>
      </c>
      <c r="I1028" s="1" t="str">
        <f>VLOOKUP(C1028,branches!A:B,2,FALSE)</f>
        <v>Naija Mart Wuse</v>
      </c>
      <c r="J1028" s="1">
        <f t="shared" si="32"/>
        <v>350000</v>
      </c>
      <c r="K1028" s="1" t="str">
        <f>VLOOKUP(D1028,products!A:D,2,FALSE)</f>
        <v>Generators &amp; Power</v>
      </c>
      <c r="L1028" s="1" t="str">
        <f t="shared" si="33"/>
        <v>Sep-2025</v>
      </c>
    </row>
    <row r="1029" spans="1:12" x14ac:dyDescent="0.25">
      <c r="A1029" s="3" t="s">
        <v>1277</v>
      </c>
      <c r="B1029" s="6">
        <v>45775</v>
      </c>
      <c r="C1029" s="3" t="s">
        <v>8</v>
      </c>
      <c r="D1029" s="3" t="s">
        <v>149</v>
      </c>
      <c r="E1029" s="3" t="s">
        <v>715</v>
      </c>
      <c r="F1029" s="3">
        <v>2</v>
      </c>
      <c r="G1029" s="3">
        <v>0</v>
      </c>
      <c r="H1029" s="1">
        <f>VLOOKUP(D1029,products!A:D,4,FALSE)</f>
        <v>6500</v>
      </c>
      <c r="I1029" s="1" t="str">
        <f>VLOOKUP(C1029,branches!A:B,2,FALSE)</f>
        <v>Naija Mart GRA</v>
      </c>
      <c r="J1029" s="1">
        <f t="shared" si="32"/>
        <v>13000</v>
      </c>
      <c r="K1029" s="1" t="str">
        <f>VLOOKUP(D1029,products!A:D,2,FALSE)</f>
        <v>Small Gadgets</v>
      </c>
      <c r="L1029" s="1" t="str">
        <f t="shared" si="33"/>
        <v>Apr-2025</v>
      </c>
    </row>
    <row r="1030" spans="1:12" x14ac:dyDescent="0.25">
      <c r="A1030" s="3" t="s">
        <v>1278</v>
      </c>
      <c r="B1030" s="6">
        <v>45702</v>
      </c>
      <c r="C1030" s="3" t="s">
        <v>16</v>
      </c>
      <c r="D1030" s="3" t="s">
        <v>23</v>
      </c>
      <c r="E1030" s="3" t="s">
        <v>110</v>
      </c>
      <c r="F1030" s="3">
        <v>2</v>
      </c>
      <c r="G1030" s="3">
        <v>0</v>
      </c>
      <c r="H1030" s="1">
        <f>VLOOKUP(D1030,products!A:D,4,FALSE)</f>
        <v>19500</v>
      </c>
      <c r="I1030" s="1" t="str">
        <f>VLOOKUP(C1030,branches!A:B,2,FALSE)</f>
        <v>Naija Mart Ikeja</v>
      </c>
      <c r="J1030" s="1">
        <f t="shared" si="32"/>
        <v>39000</v>
      </c>
      <c r="K1030" s="1" t="str">
        <f>VLOOKUP(D1030,products!A:D,2,FALSE)</f>
        <v>Home Appliances</v>
      </c>
      <c r="L1030" s="1" t="str">
        <f t="shared" si="33"/>
        <v>Feb-2025</v>
      </c>
    </row>
    <row r="1031" spans="1:12" x14ac:dyDescent="0.25">
      <c r="A1031" s="3" t="s">
        <v>1279</v>
      </c>
      <c r="B1031" s="6">
        <v>45979</v>
      </c>
      <c r="C1031" s="3" t="s">
        <v>16</v>
      </c>
      <c r="D1031" s="3" t="s">
        <v>49</v>
      </c>
      <c r="E1031" s="3" t="s">
        <v>491</v>
      </c>
      <c r="F1031" s="3">
        <v>5</v>
      </c>
      <c r="G1031" s="3">
        <v>10</v>
      </c>
      <c r="H1031" s="1">
        <f>VLOOKUP(D1031,products!A:D,4,FALSE)</f>
        <v>28000</v>
      </c>
      <c r="I1031" s="1" t="str">
        <f>VLOOKUP(C1031,branches!A:B,2,FALSE)</f>
        <v>Naija Mart Ikeja</v>
      </c>
      <c r="J1031" s="1">
        <f t="shared" si="32"/>
        <v>126000</v>
      </c>
      <c r="K1031" s="1" t="str">
        <f>VLOOKUP(D1031,products!A:D,2,FALSE)</f>
        <v>Home Appliances</v>
      </c>
      <c r="L1031" s="1" t="str">
        <f t="shared" si="33"/>
        <v>Nov-2025</v>
      </c>
    </row>
    <row r="1032" spans="1:12" x14ac:dyDescent="0.25">
      <c r="A1032" s="3" t="s">
        <v>1280</v>
      </c>
      <c r="B1032" s="6">
        <v>45998</v>
      </c>
      <c r="C1032" s="3" t="s">
        <v>12</v>
      </c>
      <c r="D1032" s="3" t="s">
        <v>23</v>
      </c>
      <c r="E1032" s="3" t="s">
        <v>574</v>
      </c>
      <c r="F1032" s="3">
        <v>1</v>
      </c>
      <c r="G1032" s="3">
        <v>0</v>
      </c>
      <c r="H1032" s="1">
        <f>VLOOKUP(D1032,products!A:D,4,FALSE)</f>
        <v>19500</v>
      </c>
      <c r="I1032" s="1" t="str">
        <f>VLOOKUP(C1032,branches!A:B,2,FALSE)</f>
        <v>Naija Mart Wuse</v>
      </c>
      <c r="J1032" s="1">
        <f t="shared" si="32"/>
        <v>19500</v>
      </c>
      <c r="K1032" s="1" t="str">
        <f>VLOOKUP(D1032,products!A:D,2,FALSE)</f>
        <v>Home Appliances</v>
      </c>
      <c r="L1032" s="1" t="str">
        <f t="shared" si="33"/>
        <v>Dec-2025</v>
      </c>
    </row>
    <row r="1033" spans="1:12" x14ac:dyDescent="0.25">
      <c r="A1033" s="3" t="s">
        <v>1281</v>
      </c>
      <c r="B1033" s="6">
        <v>45701</v>
      </c>
      <c r="C1033" s="3" t="s">
        <v>12</v>
      </c>
      <c r="D1033" s="3" t="s">
        <v>33</v>
      </c>
      <c r="E1033" s="3" t="s">
        <v>597</v>
      </c>
      <c r="F1033" s="3">
        <v>1</v>
      </c>
      <c r="G1033" s="3">
        <v>20</v>
      </c>
      <c r="H1033" s="1">
        <f>VLOOKUP(D1033,products!A:D,4,FALSE)</f>
        <v>245000</v>
      </c>
      <c r="I1033" s="1" t="str">
        <f>VLOOKUP(C1033,branches!A:B,2,FALSE)</f>
        <v>Naija Mart Wuse</v>
      </c>
      <c r="J1033" s="1">
        <f t="shared" si="32"/>
        <v>196000</v>
      </c>
      <c r="K1033" s="1" t="str">
        <f>VLOOKUP(D1033,products!A:D,2,FALSE)</f>
        <v>Generators &amp; Power</v>
      </c>
      <c r="L1033" s="1" t="str">
        <f t="shared" si="33"/>
        <v>Feb-2025</v>
      </c>
    </row>
    <row r="1034" spans="1:12" x14ac:dyDescent="0.25">
      <c r="A1034" s="3" t="s">
        <v>1282</v>
      </c>
      <c r="B1034" s="6">
        <v>45803</v>
      </c>
      <c r="C1034" s="3" t="s">
        <v>12</v>
      </c>
      <c r="D1034" s="3" t="s">
        <v>17</v>
      </c>
      <c r="E1034" s="3" t="s">
        <v>288</v>
      </c>
      <c r="F1034" s="3">
        <v>1</v>
      </c>
      <c r="G1034" s="3">
        <v>5</v>
      </c>
      <c r="H1034" s="1">
        <f>VLOOKUP(D1034,products!A:D,4,FALSE)</f>
        <v>22000</v>
      </c>
      <c r="I1034" s="1" t="str">
        <f>VLOOKUP(C1034,branches!A:B,2,FALSE)</f>
        <v>Naija Mart Wuse</v>
      </c>
      <c r="J1034" s="1">
        <f t="shared" si="32"/>
        <v>20900</v>
      </c>
      <c r="K1034" s="1" t="str">
        <f>VLOOKUP(D1034,products!A:D,2,FALSE)</f>
        <v>Home Appliances</v>
      </c>
      <c r="L1034" s="1" t="str">
        <f t="shared" si="33"/>
        <v>May-2025</v>
      </c>
    </row>
    <row r="1035" spans="1:12" x14ac:dyDescent="0.25">
      <c r="A1035" s="3" t="s">
        <v>1283</v>
      </c>
      <c r="B1035" s="6">
        <v>45883</v>
      </c>
      <c r="C1035" s="3" t="s">
        <v>36</v>
      </c>
      <c r="D1035" s="3" t="s">
        <v>91</v>
      </c>
      <c r="E1035" s="3" t="s">
        <v>597</v>
      </c>
      <c r="F1035" s="3">
        <v>1</v>
      </c>
      <c r="G1035" s="3">
        <v>5</v>
      </c>
      <c r="H1035" s="1">
        <f>VLOOKUP(D1035,products!A:D,4,FALSE)</f>
        <v>5200</v>
      </c>
      <c r="I1035" s="1" t="str">
        <f>VLOOKUP(C1035,branches!A:B,2,FALSE)</f>
        <v>Naija Mart Sabon Gari</v>
      </c>
      <c r="J1035" s="1">
        <f t="shared" si="32"/>
        <v>4940</v>
      </c>
      <c r="K1035" s="1" t="str">
        <f>VLOOKUP(D1035,products!A:D,2,FALSE)</f>
        <v>Small Gadgets</v>
      </c>
      <c r="L1035" s="1" t="str">
        <f t="shared" si="33"/>
        <v>Aug-2025</v>
      </c>
    </row>
    <row r="1036" spans="1:12" x14ac:dyDescent="0.25">
      <c r="A1036" s="3" t="s">
        <v>1284</v>
      </c>
      <c r="B1036" s="6">
        <v>45966</v>
      </c>
      <c r="C1036" s="3" t="s">
        <v>36</v>
      </c>
      <c r="D1036" s="3" t="s">
        <v>49</v>
      </c>
      <c r="E1036" s="3" t="s">
        <v>547</v>
      </c>
      <c r="F1036" s="3">
        <v>1</v>
      </c>
      <c r="G1036" s="3">
        <v>5</v>
      </c>
      <c r="H1036" s="1">
        <f>VLOOKUP(D1036,products!A:D,4,FALSE)</f>
        <v>28000</v>
      </c>
      <c r="I1036" s="1" t="str">
        <f>VLOOKUP(C1036,branches!A:B,2,FALSE)</f>
        <v>Naija Mart Sabon Gari</v>
      </c>
      <c r="J1036" s="1">
        <f t="shared" si="32"/>
        <v>26600</v>
      </c>
      <c r="K1036" s="1" t="str">
        <f>VLOOKUP(D1036,products!A:D,2,FALSE)</f>
        <v>Home Appliances</v>
      </c>
      <c r="L1036" s="1" t="str">
        <f t="shared" si="33"/>
        <v>Nov-2025</v>
      </c>
    </row>
    <row r="1037" spans="1:12" x14ac:dyDescent="0.25">
      <c r="A1037" s="3" t="s">
        <v>1285</v>
      </c>
      <c r="B1037" s="6">
        <v>45983</v>
      </c>
      <c r="C1037" s="3" t="s">
        <v>12</v>
      </c>
      <c r="D1037" s="3" t="s">
        <v>43</v>
      </c>
      <c r="E1037" s="3" t="s">
        <v>297</v>
      </c>
      <c r="F1037" s="3">
        <v>1</v>
      </c>
      <c r="G1037" s="3">
        <v>10</v>
      </c>
      <c r="H1037" s="1">
        <f>VLOOKUP(D1037,products!A:D,4,FALSE)</f>
        <v>74000</v>
      </c>
      <c r="I1037" s="1" t="str">
        <f>VLOOKUP(C1037,branches!A:B,2,FALSE)</f>
        <v>Naija Mart Wuse</v>
      </c>
      <c r="J1037" s="1">
        <f t="shared" si="32"/>
        <v>66600</v>
      </c>
      <c r="K1037" s="1" t="str">
        <f>VLOOKUP(D1037,products!A:D,2,FALSE)</f>
        <v>Home Appliances</v>
      </c>
      <c r="L1037" s="1" t="str">
        <f t="shared" si="33"/>
        <v>Nov-2025</v>
      </c>
    </row>
    <row r="1038" spans="1:12" x14ac:dyDescent="0.25">
      <c r="A1038" s="3" t="s">
        <v>1286</v>
      </c>
      <c r="B1038" s="6">
        <v>45767</v>
      </c>
      <c r="C1038" s="3" t="s">
        <v>16</v>
      </c>
      <c r="D1038" s="3" t="s">
        <v>51</v>
      </c>
      <c r="E1038" s="3" t="s">
        <v>159</v>
      </c>
      <c r="F1038" s="3">
        <v>2</v>
      </c>
      <c r="G1038" s="3">
        <v>0</v>
      </c>
      <c r="H1038" s="1">
        <f>VLOOKUP(D1038,products!A:D,4,FALSE)</f>
        <v>18000</v>
      </c>
      <c r="I1038" s="1" t="str">
        <f>VLOOKUP(C1038,branches!A:B,2,FALSE)</f>
        <v>Naija Mart Ikeja</v>
      </c>
      <c r="J1038" s="1">
        <f t="shared" si="32"/>
        <v>36000</v>
      </c>
      <c r="K1038" s="1" t="str">
        <f>VLOOKUP(D1038,products!A:D,2,FALSE)</f>
        <v>Small Gadgets</v>
      </c>
      <c r="L1038" s="1" t="str">
        <f t="shared" si="33"/>
        <v>Apr-2025</v>
      </c>
    </row>
    <row r="1039" spans="1:12" x14ac:dyDescent="0.25">
      <c r="A1039" s="3" t="s">
        <v>1287</v>
      </c>
      <c r="B1039" s="6">
        <v>45932</v>
      </c>
      <c r="C1039" s="3" t="s">
        <v>36</v>
      </c>
      <c r="D1039" s="3" t="s">
        <v>258</v>
      </c>
      <c r="E1039" s="3" t="s">
        <v>693</v>
      </c>
      <c r="F1039" s="3">
        <v>1</v>
      </c>
      <c r="G1039" s="3">
        <v>5</v>
      </c>
      <c r="H1039" s="1">
        <f>VLOOKUP(D1039,products!A:D,4,FALSE)</f>
        <v>95000</v>
      </c>
      <c r="I1039" s="1" t="str">
        <f>VLOOKUP(C1039,branches!A:B,2,FALSE)</f>
        <v>Naija Mart Sabon Gari</v>
      </c>
      <c r="J1039" s="1">
        <f t="shared" si="32"/>
        <v>90250</v>
      </c>
      <c r="K1039" s="1" t="str">
        <f>VLOOKUP(D1039,products!A:D,2,FALSE)</f>
        <v>Electronics</v>
      </c>
      <c r="L1039" s="1" t="str">
        <f t="shared" si="33"/>
        <v>Oct-2025</v>
      </c>
    </row>
    <row r="1040" spans="1:12" x14ac:dyDescent="0.25">
      <c r="A1040" s="3" t="s">
        <v>1288</v>
      </c>
      <c r="B1040" s="6">
        <v>45909</v>
      </c>
      <c r="C1040" s="3" t="s">
        <v>16</v>
      </c>
      <c r="D1040" s="3" t="s">
        <v>20</v>
      </c>
      <c r="E1040" s="3" t="s">
        <v>203</v>
      </c>
      <c r="F1040" s="3">
        <v>3</v>
      </c>
      <c r="G1040" s="3">
        <v>0</v>
      </c>
      <c r="H1040" s="1">
        <f>VLOOKUP(D1040,products!A:D,4,FALSE)</f>
        <v>38000</v>
      </c>
      <c r="I1040" s="1" t="str">
        <f>VLOOKUP(C1040,branches!A:B,2,FALSE)</f>
        <v>Naija Mart Ikeja</v>
      </c>
      <c r="J1040" s="1">
        <f t="shared" si="32"/>
        <v>114000</v>
      </c>
      <c r="K1040" s="1" t="str">
        <f>VLOOKUP(D1040,products!A:D,2,FALSE)</f>
        <v>Electronics</v>
      </c>
      <c r="L1040" s="1" t="str">
        <f t="shared" si="33"/>
        <v>Sep-2025</v>
      </c>
    </row>
    <row r="1041" spans="1:12" x14ac:dyDescent="0.25">
      <c r="A1041" s="3" t="s">
        <v>1289</v>
      </c>
      <c r="B1041" s="6">
        <v>45744</v>
      </c>
      <c r="C1041" s="3" t="s">
        <v>16</v>
      </c>
      <c r="D1041" s="3" t="s">
        <v>43</v>
      </c>
      <c r="E1041" s="3" t="s">
        <v>516</v>
      </c>
      <c r="F1041" s="3">
        <v>3</v>
      </c>
      <c r="G1041" s="3">
        <v>5</v>
      </c>
      <c r="H1041" s="1">
        <f>VLOOKUP(D1041,products!A:D,4,FALSE)</f>
        <v>74000</v>
      </c>
      <c r="I1041" s="1" t="str">
        <f>VLOOKUP(C1041,branches!A:B,2,FALSE)</f>
        <v>Naija Mart Ikeja</v>
      </c>
      <c r="J1041" s="1">
        <f t="shared" si="32"/>
        <v>210900</v>
      </c>
      <c r="K1041" s="1" t="str">
        <f>VLOOKUP(D1041,products!A:D,2,FALSE)</f>
        <v>Home Appliances</v>
      </c>
      <c r="L1041" s="1" t="str">
        <f t="shared" si="33"/>
        <v>Mar-2025</v>
      </c>
    </row>
    <row r="1042" spans="1:12" x14ac:dyDescent="0.25">
      <c r="A1042" s="3" t="s">
        <v>1290</v>
      </c>
      <c r="B1042" s="6">
        <v>45712</v>
      </c>
      <c r="C1042" s="3" t="s">
        <v>8</v>
      </c>
      <c r="D1042" s="3" t="s">
        <v>69</v>
      </c>
      <c r="E1042" s="3" t="s">
        <v>526</v>
      </c>
      <c r="F1042" s="3">
        <v>2</v>
      </c>
      <c r="G1042" s="3">
        <v>0</v>
      </c>
      <c r="H1042" s="1">
        <f>VLOOKUP(D1042,products!A:D,4,FALSE)</f>
        <v>45000</v>
      </c>
      <c r="I1042" s="1" t="str">
        <f>VLOOKUP(C1042,branches!A:B,2,FALSE)</f>
        <v>Naija Mart GRA</v>
      </c>
      <c r="J1042" s="1">
        <f t="shared" si="32"/>
        <v>90000</v>
      </c>
      <c r="K1042" s="1" t="str">
        <f>VLOOKUP(D1042,products!A:D,2,FALSE)</f>
        <v>Electronics</v>
      </c>
      <c r="L1042" s="1" t="str">
        <f t="shared" si="33"/>
        <v>Feb-2025</v>
      </c>
    </row>
    <row r="1043" spans="1:12" x14ac:dyDescent="0.25">
      <c r="A1043" s="3" t="s">
        <v>1291</v>
      </c>
      <c r="B1043" s="6">
        <v>45859</v>
      </c>
      <c r="C1043" s="3" t="s">
        <v>16</v>
      </c>
      <c r="D1043" s="3" t="s">
        <v>49</v>
      </c>
      <c r="E1043" s="3" t="s">
        <v>209</v>
      </c>
      <c r="F1043" s="3">
        <v>1</v>
      </c>
      <c r="G1043" s="3">
        <v>0</v>
      </c>
      <c r="H1043" s="1">
        <f>VLOOKUP(D1043,products!A:D,4,FALSE)</f>
        <v>28000</v>
      </c>
      <c r="I1043" s="1" t="str">
        <f>VLOOKUP(C1043,branches!A:B,2,FALSE)</f>
        <v>Naija Mart Ikeja</v>
      </c>
      <c r="J1043" s="1">
        <f t="shared" si="32"/>
        <v>28000</v>
      </c>
      <c r="K1043" s="1" t="str">
        <f>VLOOKUP(D1043,products!A:D,2,FALSE)</f>
        <v>Home Appliances</v>
      </c>
      <c r="L1043" s="1" t="str">
        <f t="shared" si="33"/>
        <v>Jul-2025</v>
      </c>
    </row>
    <row r="1044" spans="1:12" x14ac:dyDescent="0.25">
      <c r="A1044" s="3" t="s">
        <v>1292</v>
      </c>
      <c r="B1044" s="6">
        <v>45667</v>
      </c>
      <c r="C1044" s="3" t="s">
        <v>12</v>
      </c>
      <c r="D1044" s="3" t="s">
        <v>33</v>
      </c>
      <c r="E1044" s="3" t="s">
        <v>120</v>
      </c>
      <c r="F1044" s="3">
        <v>1</v>
      </c>
      <c r="G1044" s="3">
        <v>15</v>
      </c>
      <c r="H1044" s="1">
        <f>VLOOKUP(D1044,products!A:D,4,FALSE)</f>
        <v>245000</v>
      </c>
      <c r="I1044" s="1" t="str">
        <f>VLOOKUP(C1044,branches!A:B,2,FALSE)</f>
        <v>Naija Mart Wuse</v>
      </c>
      <c r="J1044" s="1">
        <f t="shared" si="32"/>
        <v>208250</v>
      </c>
      <c r="K1044" s="1" t="str">
        <f>VLOOKUP(D1044,products!A:D,2,FALSE)</f>
        <v>Generators &amp; Power</v>
      </c>
      <c r="L1044" s="1" t="str">
        <f t="shared" si="33"/>
        <v>Jan-2025</v>
      </c>
    </row>
    <row r="1045" spans="1:12" x14ac:dyDescent="0.25">
      <c r="A1045" s="3" t="s">
        <v>1293</v>
      </c>
      <c r="B1045" s="6">
        <v>46008</v>
      </c>
      <c r="C1045" s="3" t="s">
        <v>16</v>
      </c>
      <c r="D1045" s="3" t="s">
        <v>97</v>
      </c>
      <c r="E1045" s="3" t="s">
        <v>426</v>
      </c>
      <c r="F1045" s="3">
        <v>2</v>
      </c>
      <c r="G1045" s="3">
        <v>0</v>
      </c>
      <c r="H1045" s="1">
        <f>VLOOKUP(D1045,products!A:D,4,FALSE)</f>
        <v>21000</v>
      </c>
      <c r="I1045" s="1" t="str">
        <f>VLOOKUP(C1045,branches!A:B,2,FALSE)</f>
        <v>Naija Mart Ikeja</v>
      </c>
      <c r="J1045" s="1">
        <f t="shared" si="32"/>
        <v>42000</v>
      </c>
      <c r="K1045" s="1" t="str">
        <f>VLOOKUP(D1045,products!A:D,2,FALSE)</f>
        <v>Small Gadgets</v>
      </c>
      <c r="L1045" s="1" t="str">
        <f t="shared" si="33"/>
        <v>Dec-2025</v>
      </c>
    </row>
    <row r="1046" spans="1:12" x14ac:dyDescent="0.25">
      <c r="A1046" s="3" t="s">
        <v>1294</v>
      </c>
      <c r="B1046" s="6">
        <v>45845</v>
      </c>
      <c r="C1046" s="3" t="s">
        <v>16</v>
      </c>
      <c r="D1046" s="3" t="s">
        <v>258</v>
      </c>
      <c r="E1046" s="3" t="s">
        <v>475</v>
      </c>
      <c r="F1046" s="3">
        <v>1</v>
      </c>
      <c r="G1046" s="3">
        <v>20</v>
      </c>
      <c r="H1046" s="1">
        <f>VLOOKUP(D1046,products!A:D,4,FALSE)</f>
        <v>95000</v>
      </c>
      <c r="I1046" s="1" t="str">
        <f>VLOOKUP(C1046,branches!A:B,2,FALSE)</f>
        <v>Naija Mart Ikeja</v>
      </c>
      <c r="J1046" s="1">
        <f t="shared" si="32"/>
        <v>76000</v>
      </c>
      <c r="K1046" s="1" t="str">
        <f>VLOOKUP(D1046,products!A:D,2,FALSE)</f>
        <v>Electronics</v>
      </c>
      <c r="L1046" s="1" t="str">
        <f t="shared" si="33"/>
        <v>Jul-2025</v>
      </c>
    </row>
    <row r="1047" spans="1:12" x14ac:dyDescent="0.25">
      <c r="A1047" s="3" t="s">
        <v>1295</v>
      </c>
      <c r="B1047" s="6">
        <v>45948</v>
      </c>
      <c r="C1047" s="3" t="s">
        <v>16</v>
      </c>
      <c r="D1047" s="3" t="s">
        <v>197</v>
      </c>
      <c r="E1047" s="3" t="s">
        <v>118</v>
      </c>
      <c r="F1047" s="3">
        <v>1</v>
      </c>
      <c r="G1047" s="3">
        <v>0</v>
      </c>
      <c r="H1047" s="1">
        <f>VLOOKUP(D1047,products!A:D,4,FALSE)</f>
        <v>78000</v>
      </c>
      <c r="I1047" s="1" t="str">
        <f>VLOOKUP(C1047,branches!A:B,2,FALSE)</f>
        <v>Naija Mart Ikeja</v>
      </c>
      <c r="J1047" s="1">
        <f t="shared" si="32"/>
        <v>78000</v>
      </c>
      <c r="K1047" s="1" t="str">
        <f>VLOOKUP(D1047,products!A:D,2,FALSE)</f>
        <v>Electronics</v>
      </c>
      <c r="L1047" s="1" t="str">
        <f t="shared" si="33"/>
        <v>Oct-2025</v>
      </c>
    </row>
    <row r="1048" spans="1:12" x14ac:dyDescent="0.25">
      <c r="A1048" s="3" t="s">
        <v>1296</v>
      </c>
      <c r="B1048" s="6">
        <v>45724</v>
      </c>
      <c r="C1048" s="3" t="s">
        <v>16</v>
      </c>
      <c r="D1048" s="3" t="s">
        <v>33</v>
      </c>
      <c r="E1048" s="3" t="s">
        <v>243</v>
      </c>
      <c r="F1048" s="3">
        <v>2</v>
      </c>
      <c r="G1048" s="3">
        <v>5</v>
      </c>
      <c r="H1048" s="1">
        <f>VLOOKUP(D1048,products!A:D,4,FALSE)</f>
        <v>245000</v>
      </c>
      <c r="I1048" s="1" t="str">
        <f>VLOOKUP(C1048,branches!A:B,2,FALSE)</f>
        <v>Naija Mart Ikeja</v>
      </c>
      <c r="J1048" s="1">
        <f t="shared" si="32"/>
        <v>465500</v>
      </c>
      <c r="K1048" s="1" t="str">
        <f>VLOOKUP(D1048,products!A:D,2,FALSE)</f>
        <v>Generators &amp; Power</v>
      </c>
      <c r="L1048" s="1" t="str">
        <f t="shared" si="33"/>
        <v>Mar-2025</v>
      </c>
    </row>
    <row r="1049" spans="1:12" x14ac:dyDescent="0.25">
      <c r="A1049" s="3" t="s">
        <v>1297</v>
      </c>
      <c r="B1049" s="6">
        <v>45810</v>
      </c>
      <c r="C1049" s="3" t="s">
        <v>36</v>
      </c>
      <c r="D1049" s="3" t="s">
        <v>40</v>
      </c>
      <c r="E1049" s="3" t="s">
        <v>297</v>
      </c>
      <c r="F1049" s="3">
        <v>1</v>
      </c>
      <c r="G1049" s="3">
        <v>15</v>
      </c>
      <c r="H1049" s="1">
        <f>VLOOKUP(D1049,products!A:D,4,FALSE)</f>
        <v>195000</v>
      </c>
      <c r="I1049" s="1" t="str">
        <f>VLOOKUP(C1049,branches!A:B,2,FALSE)</f>
        <v>Naija Mart Sabon Gari</v>
      </c>
      <c r="J1049" s="1">
        <f t="shared" si="32"/>
        <v>165750</v>
      </c>
      <c r="K1049" s="1" t="str">
        <f>VLOOKUP(D1049,products!A:D,2,FALSE)</f>
        <v>Generators &amp; Power</v>
      </c>
      <c r="L1049" s="1" t="str">
        <f t="shared" si="33"/>
        <v>Jun-2025</v>
      </c>
    </row>
    <row r="1050" spans="1:12" x14ac:dyDescent="0.25">
      <c r="A1050" s="3" t="s">
        <v>1298</v>
      </c>
      <c r="B1050" s="6">
        <v>45897</v>
      </c>
      <c r="C1050" s="3" t="s">
        <v>8</v>
      </c>
      <c r="D1050" s="3" t="s">
        <v>80</v>
      </c>
      <c r="E1050" s="3" t="s">
        <v>85</v>
      </c>
      <c r="F1050" s="3">
        <v>1</v>
      </c>
      <c r="G1050" s="3">
        <v>10</v>
      </c>
      <c r="H1050" s="1">
        <f>VLOOKUP(D1050,products!A:D,4,FALSE)</f>
        <v>265000</v>
      </c>
      <c r="I1050" s="1" t="str">
        <f>VLOOKUP(C1050,branches!A:B,2,FALSE)</f>
        <v>Naija Mart GRA</v>
      </c>
      <c r="J1050" s="1">
        <f t="shared" si="32"/>
        <v>238500</v>
      </c>
      <c r="K1050" s="1" t="str">
        <f>VLOOKUP(D1050,products!A:D,2,FALSE)</f>
        <v>Home Appliances</v>
      </c>
      <c r="L1050" s="1" t="str">
        <f t="shared" si="33"/>
        <v>Aug-2025</v>
      </c>
    </row>
    <row r="1051" spans="1:12" x14ac:dyDescent="0.25">
      <c r="A1051" s="3" t="s">
        <v>1299</v>
      </c>
      <c r="B1051" s="6">
        <v>45700</v>
      </c>
      <c r="C1051" s="3" t="s">
        <v>12</v>
      </c>
      <c r="D1051" s="3" t="s">
        <v>64</v>
      </c>
      <c r="E1051" s="3" t="s">
        <v>34</v>
      </c>
      <c r="F1051" s="3">
        <v>3</v>
      </c>
      <c r="G1051" s="3">
        <v>0</v>
      </c>
      <c r="H1051" s="1">
        <f>VLOOKUP(D1051,products!A:D,4,FALSE)</f>
        <v>175000</v>
      </c>
      <c r="I1051" s="1" t="str">
        <f>VLOOKUP(C1051,branches!A:B,2,FALSE)</f>
        <v>Naija Mart Wuse</v>
      </c>
      <c r="J1051" s="1">
        <f t="shared" si="32"/>
        <v>525000</v>
      </c>
      <c r="K1051" s="1" t="str">
        <f>VLOOKUP(D1051,products!A:D,2,FALSE)</f>
        <v>Generators &amp; Power</v>
      </c>
      <c r="L1051" s="1" t="str">
        <f t="shared" si="33"/>
        <v>Feb-2025</v>
      </c>
    </row>
    <row r="1052" spans="1:12" x14ac:dyDescent="0.25">
      <c r="A1052" s="3" t="s">
        <v>1300</v>
      </c>
      <c r="B1052" s="6">
        <v>46018</v>
      </c>
      <c r="C1052" s="3" t="s">
        <v>12</v>
      </c>
      <c r="D1052" s="3" t="s">
        <v>13</v>
      </c>
      <c r="E1052" s="3" t="s">
        <v>243</v>
      </c>
      <c r="F1052" s="3">
        <v>2</v>
      </c>
      <c r="G1052" s="3">
        <v>5</v>
      </c>
      <c r="H1052" s="1">
        <f>VLOOKUP(D1052,products!A:D,4,FALSE)</f>
        <v>24000</v>
      </c>
      <c r="I1052" s="1" t="str">
        <f>VLOOKUP(C1052,branches!A:B,2,FALSE)</f>
        <v>Naija Mart Wuse</v>
      </c>
      <c r="J1052" s="1">
        <f t="shared" si="32"/>
        <v>45600</v>
      </c>
      <c r="K1052" s="1" t="str">
        <f>VLOOKUP(D1052,products!A:D,2,FALSE)</f>
        <v>Home Appliances</v>
      </c>
      <c r="L1052" s="1" t="str">
        <f t="shared" si="33"/>
        <v>Dec-2025</v>
      </c>
    </row>
    <row r="1053" spans="1:12" x14ac:dyDescent="0.25">
      <c r="A1053" s="3" t="s">
        <v>1301</v>
      </c>
      <c r="B1053" s="6">
        <v>45720</v>
      </c>
      <c r="C1053" s="3" t="s">
        <v>12</v>
      </c>
      <c r="D1053" s="3" t="s">
        <v>33</v>
      </c>
      <c r="E1053" s="3" t="s">
        <v>253</v>
      </c>
      <c r="F1053" s="3">
        <v>1</v>
      </c>
      <c r="G1053" s="3">
        <v>0</v>
      </c>
      <c r="H1053" s="1">
        <f>VLOOKUP(D1053,products!A:D,4,FALSE)</f>
        <v>245000</v>
      </c>
      <c r="I1053" s="1" t="str">
        <f>VLOOKUP(C1053,branches!A:B,2,FALSE)</f>
        <v>Naija Mart Wuse</v>
      </c>
      <c r="J1053" s="1">
        <f t="shared" si="32"/>
        <v>245000</v>
      </c>
      <c r="K1053" s="1" t="str">
        <f>VLOOKUP(D1053,products!A:D,2,FALSE)</f>
        <v>Generators &amp; Power</v>
      </c>
      <c r="L1053" s="1" t="str">
        <f t="shared" si="33"/>
        <v>Mar-2025</v>
      </c>
    </row>
    <row r="1054" spans="1:12" x14ac:dyDescent="0.25">
      <c r="A1054" s="3" t="s">
        <v>1302</v>
      </c>
      <c r="B1054" s="6">
        <v>45797</v>
      </c>
      <c r="C1054" s="3" t="s">
        <v>12</v>
      </c>
      <c r="D1054" s="3" t="s">
        <v>126</v>
      </c>
      <c r="E1054" s="3" t="s">
        <v>145</v>
      </c>
      <c r="F1054" s="3">
        <v>1</v>
      </c>
      <c r="G1054" s="3">
        <v>0</v>
      </c>
      <c r="H1054" s="1">
        <f>VLOOKUP(D1054,products!A:D,4,FALSE)</f>
        <v>185000</v>
      </c>
      <c r="I1054" s="1" t="str">
        <f>VLOOKUP(C1054,branches!A:B,2,FALSE)</f>
        <v>Naija Mart Wuse</v>
      </c>
      <c r="J1054" s="1">
        <f t="shared" si="32"/>
        <v>185000</v>
      </c>
      <c r="K1054" s="1" t="str">
        <f>VLOOKUP(D1054,products!A:D,2,FALSE)</f>
        <v>Electronics</v>
      </c>
      <c r="L1054" s="1" t="str">
        <f t="shared" si="33"/>
        <v>May-2025</v>
      </c>
    </row>
    <row r="1055" spans="1:12" x14ac:dyDescent="0.25">
      <c r="A1055" s="3" t="s">
        <v>1303</v>
      </c>
      <c r="B1055" s="6">
        <v>45928</v>
      </c>
      <c r="C1055" s="3" t="s">
        <v>8</v>
      </c>
      <c r="D1055" s="3" t="s">
        <v>64</v>
      </c>
      <c r="E1055" s="3" t="s">
        <v>106</v>
      </c>
      <c r="F1055" s="3">
        <v>3</v>
      </c>
      <c r="G1055" s="3">
        <v>5</v>
      </c>
      <c r="H1055" s="1">
        <f>VLOOKUP(D1055,products!A:D,4,FALSE)</f>
        <v>175000</v>
      </c>
      <c r="I1055" s="1" t="str">
        <f>VLOOKUP(C1055,branches!A:B,2,FALSE)</f>
        <v>Naija Mart GRA</v>
      </c>
      <c r="J1055" s="1">
        <f t="shared" si="32"/>
        <v>498750</v>
      </c>
      <c r="K1055" s="1" t="str">
        <f>VLOOKUP(D1055,products!A:D,2,FALSE)</f>
        <v>Generators &amp; Power</v>
      </c>
      <c r="L1055" s="1" t="str">
        <f t="shared" si="33"/>
        <v>Sep-2025</v>
      </c>
    </row>
    <row r="1056" spans="1:12" x14ac:dyDescent="0.25">
      <c r="A1056" s="3" t="s">
        <v>1304</v>
      </c>
      <c r="B1056" s="6">
        <v>45728</v>
      </c>
      <c r="C1056" s="3" t="s">
        <v>12</v>
      </c>
      <c r="D1056" s="3" t="s">
        <v>43</v>
      </c>
      <c r="E1056" s="3" t="s">
        <v>116</v>
      </c>
      <c r="F1056" s="3">
        <v>1</v>
      </c>
      <c r="G1056" s="3">
        <v>20</v>
      </c>
      <c r="H1056" s="1">
        <f>VLOOKUP(D1056,products!A:D,4,FALSE)</f>
        <v>74000</v>
      </c>
      <c r="I1056" s="1" t="str">
        <f>VLOOKUP(C1056,branches!A:B,2,FALSE)</f>
        <v>Naija Mart Wuse</v>
      </c>
      <c r="J1056" s="1">
        <f t="shared" si="32"/>
        <v>59200</v>
      </c>
      <c r="K1056" s="1" t="str">
        <f>VLOOKUP(D1056,products!A:D,2,FALSE)</f>
        <v>Home Appliances</v>
      </c>
      <c r="L1056" s="1" t="str">
        <f t="shared" si="33"/>
        <v>Mar-2025</v>
      </c>
    </row>
    <row r="1057" spans="1:12" x14ac:dyDescent="0.25">
      <c r="A1057" s="3" t="s">
        <v>1305</v>
      </c>
      <c r="B1057" s="6">
        <v>45797</v>
      </c>
      <c r="C1057" s="3" t="s">
        <v>16</v>
      </c>
      <c r="D1057" s="3" t="s">
        <v>149</v>
      </c>
      <c r="E1057" s="3" t="s">
        <v>261</v>
      </c>
      <c r="F1057" s="3">
        <v>5</v>
      </c>
      <c r="G1057" s="3">
        <v>0</v>
      </c>
      <c r="H1057" s="1">
        <f>VLOOKUP(D1057,products!A:D,4,FALSE)</f>
        <v>6500</v>
      </c>
      <c r="I1057" s="1" t="str">
        <f>VLOOKUP(C1057,branches!A:B,2,FALSE)</f>
        <v>Naija Mart Ikeja</v>
      </c>
      <c r="J1057" s="1">
        <f t="shared" si="32"/>
        <v>32500</v>
      </c>
      <c r="K1057" s="1" t="str">
        <f>VLOOKUP(D1057,products!A:D,2,FALSE)</f>
        <v>Small Gadgets</v>
      </c>
      <c r="L1057" s="1" t="str">
        <f t="shared" si="33"/>
        <v>May-2025</v>
      </c>
    </row>
    <row r="1058" spans="1:12" x14ac:dyDescent="0.25">
      <c r="A1058" s="3" t="s">
        <v>1306</v>
      </c>
      <c r="B1058" s="6">
        <v>45912</v>
      </c>
      <c r="C1058" s="3" t="s">
        <v>8</v>
      </c>
      <c r="D1058" s="3" t="s">
        <v>94</v>
      </c>
      <c r="E1058" s="3" t="s">
        <v>551</v>
      </c>
      <c r="F1058" s="3">
        <v>1</v>
      </c>
      <c r="G1058" s="3">
        <v>10</v>
      </c>
      <c r="H1058" s="1">
        <f>VLOOKUP(D1058,products!A:D,4,FALSE)</f>
        <v>320000</v>
      </c>
      <c r="I1058" s="1" t="str">
        <f>VLOOKUP(C1058,branches!A:B,2,FALSE)</f>
        <v>Naija Mart GRA</v>
      </c>
      <c r="J1058" s="1">
        <f t="shared" si="32"/>
        <v>288000</v>
      </c>
      <c r="K1058" s="1" t="str">
        <f>VLOOKUP(D1058,products!A:D,2,FALSE)</f>
        <v>Electronics</v>
      </c>
      <c r="L1058" s="1" t="str">
        <f t="shared" si="33"/>
        <v>Sep-2025</v>
      </c>
    </row>
    <row r="1059" spans="1:12" x14ac:dyDescent="0.25">
      <c r="A1059" s="3" t="s">
        <v>1307</v>
      </c>
      <c r="B1059" s="6">
        <v>45696</v>
      </c>
      <c r="C1059" s="3" t="s">
        <v>12</v>
      </c>
      <c r="D1059" s="3" t="s">
        <v>51</v>
      </c>
      <c r="E1059" s="3" t="s">
        <v>1119</v>
      </c>
      <c r="F1059" s="3">
        <v>1</v>
      </c>
      <c r="G1059" s="3">
        <v>0</v>
      </c>
      <c r="H1059" s="1">
        <f>VLOOKUP(D1059,products!A:D,4,FALSE)</f>
        <v>18000</v>
      </c>
      <c r="I1059" s="1" t="str">
        <f>VLOOKUP(C1059,branches!A:B,2,FALSE)</f>
        <v>Naija Mart Wuse</v>
      </c>
      <c r="J1059" s="1">
        <f t="shared" si="32"/>
        <v>18000</v>
      </c>
      <c r="K1059" s="1" t="str">
        <f>VLOOKUP(D1059,products!A:D,2,FALSE)</f>
        <v>Small Gadgets</v>
      </c>
      <c r="L1059" s="1" t="str">
        <f t="shared" si="33"/>
        <v>Feb-2025</v>
      </c>
    </row>
    <row r="1060" spans="1:12" x14ac:dyDescent="0.25">
      <c r="A1060" s="3" t="s">
        <v>1308</v>
      </c>
      <c r="B1060" s="6">
        <v>45971</v>
      </c>
      <c r="C1060" s="3" t="s">
        <v>8</v>
      </c>
      <c r="D1060" s="3" t="s">
        <v>9</v>
      </c>
      <c r="E1060" s="3" t="s">
        <v>189</v>
      </c>
      <c r="F1060" s="3">
        <v>3</v>
      </c>
      <c r="G1060" s="3">
        <v>0</v>
      </c>
      <c r="H1060" s="1">
        <f>VLOOKUP(D1060,products!A:D,4,FALSE)</f>
        <v>410000</v>
      </c>
      <c r="I1060" s="1" t="str">
        <f>VLOOKUP(C1060,branches!A:B,2,FALSE)</f>
        <v>Naija Mart GRA</v>
      </c>
      <c r="J1060" s="1">
        <f t="shared" si="32"/>
        <v>1230000</v>
      </c>
      <c r="K1060" s="1" t="str">
        <f>VLOOKUP(D1060,products!A:D,2,FALSE)</f>
        <v>Home Appliances</v>
      </c>
      <c r="L1060" s="1" t="str">
        <f t="shared" si="33"/>
        <v>Nov-2025</v>
      </c>
    </row>
    <row r="1061" spans="1:12" x14ac:dyDescent="0.25">
      <c r="A1061" s="3" t="s">
        <v>1309</v>
      </c>
      <c r="B1061" s="6">
        <v>45831</v>
      </c>
      <c r="C1061" s="3" t="s">
        <v>16</v>
      </c>
      <c r="D1061" s="3" t="s">
        <v>126</v>
      </c>
      <c r="E1061" s="3" t="s">
        <v>114</v>
      </c>
      <c r="F1061" s="3">
        <v>1</v>
      </c>
      <c r="G1061" s="3">
        <v>0</v>
      </c>
      <c r="H1061" s="1">
        <f>VLOOKUP(D1061,products!A:D,4,FALSE)</f>
        <v>185000</v>
      </c>
      <c r="I1061" s="1" t="str">
        <f>VLOOKUP(C1061,branches!A:B,2,FALSE)</f>
        <v>Naija Mart Ikeja</v>
      </c>
      <c r="J1061" s="1">
        <f t="shared" si="32"/>
        <v>185000</v>
      </c>
      <c r="K1061" s="1" t="str">
        <f>VLOOKUP(D1061,products!A:D,2,FALSE)</f>
        <v>Electronics</v>
      </c>
      <c r="L1061" s="1" t="str">
        <f t="shared" si="33"/>
        <v>Jun-2025</v>
      </c>
    </row>
    <row r="1062" spans="1:12" x14ac:dyDescent="0.25">
      <c r="A1062" s="3" t="s">
        <v>1310</v>
      </c>
      <c r="B1062" s="6">
        <v>45897</v>
      </c>
      <c r="C1062" s="3" t="s">
        <v>8</v>
      </c>
      <c r="D1062" s="3" t="s">
        <v>56</v>
      </c>
      <c r="E1062" s="3" t="s">
        <v>461</v>
      </c>
      <c r="F1062" s="3">
        <v>1</v>
      </c>
      <c r="G1062" s="3">
        <v>0</v>
      </c>
      <c r="H1062" s="1">
        <f>VLOOKUP(D1062,products!A:D,4,FALSE)</f>
        <v>285000</v>
      </c>
      <c r="I1062" s="1" t="str">
        <f>VLOOKUP(C1062,branches!A:B,2,FALSE)</f>
        <v>Naija Mart GRA</v>
      </c>
      <c r="J1062" s="1">
        <f t="shared" si="32"/>
        <v>285000</v>
      </c>
      <c r="K1062" s="1" t="str">
        <f>VLOOKUP(D1062,products!A:D,2,FALSE)</f>
        <v>Home Appliances</v>
      </c>
      <c r="L1062" s="1" t="str">
        <f t="shared" si="33"/>
        <v>Aug-2025</v>
      </c>
    </row>
    <row r="1063" spans="1:12" x14ac:dyDescent="0.25">
      <c r="A1063" s="3" t="s">
        <v>1311</v>
      </c>
      <c r="B1063" s="6">
        <v>46004</v>
      </c>
      <c r="C1063" s="3" t="s">
        <v>12</v>
      </c>
      <c r="D1063" s="3" t="s">
        <v>46</v>
      </c>
      <c r="E1063" s="3" t="s">
        <v>1267</v>
      </c>
      <c r="F1063" s="3">
        <v>1</v>
      </c>
      <c r="G1063" s="3">
        <v>25</v>
      </c>
      <c r="H1063" s="1">
        <f>VLOOKUP(D1063,products!A:D,4,FALSE)</f>
        <v>62000</v>
      </c>
      <c r="I1063" s="1" t="str">
        <f>VLOOKUP(C1063,branches!A:B,2,FALSE)</f>
        <v>Naija Mart Wuse</v>
      </c>
      <c r="J1063" s="1">
        <f t="shared" si="32"/>
        <v>46500</v>
      </c>
      <c r="K1063" s="1" t="str">
        <f>VLOOKUP(D1063,products!A:D,2,FALSE)</f>
        <v>Home Appliances</v>
      </c>
      <c r="L1063" s="1" t="str">
        <f t="shared" si="33"/>
        <v>Dec-2025</v>
      </c>
    </row>
    <row r="1064" spans="1:12" x14ac:dyDescent="0.25">
      <c r="A1064" s="3" t="s">
        <v>1312</v>
      </c>
      <c r="B1064" s="6">
        <v>45871</v>
      </c>
      <c r="C1064" s="3" t="s">
        <v>12</v>
      </c>
      <c r="D1064" s="3" t="s">
        <v>56</v>
      </c>
      <c r="E1064" s="3" t="s">
        <v>215</v>
      </c>
      <c r="F1064" s="3">
        <v>2</v>
      </c>
      <c r="G1064" s="3">
        <v>10</v>
      </c>
      <c r="H1064" s="1">
        <f>VLOOKUP(D1064,products!A:D,4,FALSE)</f>
        <v>285000</v>
      </c>
      <c r="I1064" s="1" t="str">
        <f>VLOOKUP(C1064,branches!A:B,2,FALSE)</f>
        <v>Naija Mart Wuse</v>
      </c>
      <c r="J1064" s="1">
        <f t="shared" si="32"/>
        <v>513000</v>
      </c>
      <c r="K1064" s="1" t="str">
        <f>VLOOKUP(D1064,products!A:D,2,FALSE)</f>
        <v>Home Appliances</v>
      </c>
      <c r="L1064" s="1" t="str">
        <f t="shared" si="33"/>
        <v>Aug-2025</v>
      </c>
    </row>
    <row r="1065" spans="1:12" x14ac:dyDescent="0.25">
      <c r="A1065" s="3" t="s">
        <v>1313</v>
      </c>
      <c r="B1065" s="6">
        <v>45939</v>
      </c>
      <c r="C1065" s="3" t="s">
        <v>16</v>
      </c>
      <c r="D1065" s="3" t="s">
        <v>37</v>
      </c>
      <c r="E1065" s="3" t="s">
        <v>253</v>
      </c>
      <c r="F1065" s="3">
        <v>1</v>
      </c>
      <c r="G1065" s="3">
        <v>0</v>
      </c>
      <c r="H1065" s="1">
        <f>VLOOKUP(D1065,products!A:D,4,FALSE)</f>
        <v>8500</v>
      </c>
      <c r="I1065" s="1" t="str">
        <f>VLOOKUP(C1065,branches!A:B,2,FALSE)</f>
        <v>Naija Mart Ikeja</v>
      </c>
      <c r="J1065" s="1">
        <f t="shared" si="32"/>
        <v>8500</v>
      </c>
      <c r="K1065" s="1" t="str">
        <f>VLOOKUP(D1065,products!A:D,2,FALSE)</f>
        <v>Small Gadgets</v>
      </c>
      <c r="L1065" s="1" t="str">
        <f t="shared" si="33"/>
        <v>Oct-2025</v>
      </c>
    </row>
    <row r="1066" spans="1:12" x14ac:dyDescent="0.25">
      <c r="A1066" s="3" t="s">
        <v>1314</v>
      </c>
      <c r="B1066" s="6">
        <v>45880</v>
      </c>
      <c r="C1066" s="3" t="s">
        <v>36</v>
      </c>
      <c r="D1066" s="3" t="s">
        <v>40</v>
      </c>
      <c r="E1066" s="3" t="s">
        <v>977</v>
      </c>
      <c r="F1066" s="3">
        <v>1</v>
      </c>
      <c r="G1066" s="3">
        <v>10</v>
      </c>
      <c r="H1066" s="1">
        <f>VLOOKUP(D1066,products!A:D,4,FALSE)</f>
        <v>195000</v>
      </c>
      <c r="I1066" s="1" t="str">
        <f>VLOOKUP(C1066,branches!A:B,2,FALSE)</f>
        <v>Naija Mart Sabon Gari</v>
      </c>
      <c r="J1066" s="1">
        <f t="shared" si="32"/>
        <v>175500</v>
      </c>
      <c r="K1066" s="1" t="str">
        <f>VLOOKUP(D1066,products!A:D,2,FALSE)</f>
        <v>Generators &amp; Power</v>
      </c>
      <c r="L1066" s="1" t="str">
        <f t="shared" si="33"/>
        <v>Aug-2025</v>
      </c>
    </row>
    <row r="1067" spans="1:12" x14ac:dyDescent="0.25">
      <c r="A1067" s="3" t="s">
        <v>1315</v>
      </c>
      <c r="B1067" s="6">
        <v>46005</v>
      </c>
      <c r="C1067" s="3" t="s">
        <v>36</v>
      </c>
      <c r="D1067" s="3" t="s">
        <v>94</v>
      </c>
      <c r="E1067" s="3" t="s">
        <v>226</v>
      </c>
      <c r="F1067" s="3">
        <v>1</v>
      </c>
      <c r="G1067" s="3">
        <v>15</v>
      </c>
      <c r="H1067" s="1">
        <f>VLOOKUP(D1067,products!A:D,4,FALSE)</f>
        <v>320000</v>
      </c>
      <c r="I1067" s="1" t="str">
        <f>VLOOKUP(C1067,branches!A:B,2,FALSE)</f>
        <v>Naija Mart Sabon Gari</v>
      </c>
      <c r="J1067" s="1">
        <f t="shared" si="32"/>
        <v>272000</v>
      </c>
      <c r="K1067" s="1" t="str">
        <f>VLOOKUP(D1067,products!A:D,2,FALSE)</f>
        <v>Electronics</v>
      </c>
      <c r="L1067" s="1" t="str">
        <f t="shared" si="33"/>
        <v>Dec-2025</v>
      </c>
    </row>
    <row r="1068" spans="1:12" x14ac:dyDescent="0.25">
      <c r="A1068" s="3" t="s">
        <v>1316</v>
      </c>
      <c r="B1068" s="6">
        <v>45663</v>
      </c>
      <c r="C1068" s="3" t="s">
        <v>8</v>
      </c>
      <c r="D1068" s="3" t="s">
        <v>59</v>
      </c>
      <c r="E1068" s="3" t="s">
        <v>648</v>
      </c>
      <c r="F1068" s="3">
        <v>1</v>
      </c>
      <c r="G1068" s="3">
        <v>15</v>
      </c>
      <c r="H1068" s="1">
        <f>VLOOKUP(D1068,products!A:D,4,FALSE)</f>
        <v>15000</v>
      </c>
      <c r="I1068" s="1" t="str">
        <f>VLOOKUP(C1068,branches!A:B,2,FALSE)</f>
        <v>Naija Mart GRA</v>
      </c>
      <c r="J1068" s="1">
        <f t="shared" si="32"/>
        <v>12750</v>
      </c>
      <c r="K1068" s="1" t="str">
        <f>VLOOKUP(D1068,products!A:D,2,FALSE)</f>
        <v>Home Appliances</v>
      </c>
      <c r="L1068" s="1" t="str">
        <f t="shared" si="33"/>
        <v>Jan-2025</v>
      </c>
    </row>
    <row r="1069" spans="1:12" x14ac:dyDescent="0.25">
      <c r="A1069" s="3" t="s">
        <v>1317</v>
      </c>
      <c r="B1069" s="6">
        <v>45996</v>
      </c>
      <c r="C1069" s="3" t="s">
        <v>16</v>
      </c>
      <c r="D1069" s="3" t="s">
        <v>23</v>
      </c>
      <c r="E1069" s="3" t="s">
        <v>44</v>
      </c>
      <c r="F1069" s="3">
        <v>1</v>
      </c>
      <c r="G1069" s="3">
        <v>10</v>
      </c>
      <c r="H1069" s="1">
        <f>VLOOKUP(D1069,products!A:D,4,FALSE)</f>
        <v>19500</v>
      </c>
      <c r="I1069" s="1" t="str">
        <f>VLOOKUP(C1069,branches!A:B,2,FALSE)</f>
        <v>Naija Mart Ikeja</v>
      </c>
      <c r="J1069" s="1">
        <f t="shared" si="32"/>
        <v>17550</v>
      </c>
      <c r="K1069" s="1" t="str">
        <f>VLOOKUP(D1069,products!A:D,2,FALSE)</f>
        <v>Home Appliances</v>
      </c>
      <c r="L1069" s="1" t="str">
        <f t="shared" si="33"/>
        <v>Dec-2025</v>
      </c>
    </row>
    <row r="1070" spans="1:12" x14ac:dyDescent="0.25">
      <c r="A1070" s="3" t="s">
        <v>1318</v>
      </c>
      <c r="B1070" s="6">
        <v>45970</v>
      </c>
      <c r="C1070" s="3" t="s">
        <v>8</v>
      </c>
      <c r="D1070" s="3" t="s">
        <v>20</v>
      </c>
      <c r="E1070" s="3" t="s">
        <v>574</v>
      </c>
      <c r="F1070" s="3">
        <v>1</v>
      </c>
      <c r="G1070" s="3">
        <v>0</v>
      </c>
      <c r="H1070" s="1">
        <f>VLOOKUP(D1070,products!A:D,4,FALSE)</f>
        <v>38000</v>
      </c>
      <c r="I1070" s="1" t="str">
        <f>VLOOKUP(C1070,branches!A:B,2,FALSE)</f>
        <v>Naija Mart GRA</v>
      </c>
      <c r="J1070" s="1">
        <f t="shared" si="32"/>
        <v>38000</v>
      </c>
      <c r="K1070" s="1" t="str">
        <f>VLOOKUP(D1070,products!A:D,2,FALSE)</f>
        <v>Electronics</v>
      </c>
      <c r="L1070" s="1" t="str">
        <f t="shared" si="33"/>
        <v>Nov-2025</v>
      </c>
    </row>
    <row r="1071" spans="1:12" x14ac:dyDescent="0.25">
      <c r="A1071" s="3" t="s">
        <v>1319</v>
      </c>
      <c r="B1071" s="6">
        <v>45935</v>
      </c>
      <c r="C1071" s="3" t="s">
        <v>8</v>
      </c>
      <c r="D1071" s="3" t="s">
        <v>33</v>
      </c>
      <c r="E1071" s="3" t="s">
        <v>426</v>
      </c>
      <c r="F1071" s="3">
        <v>1</v>
      </c>
      <c r="G1071" s="3">
        <v>15</v>
      </c>
      <c r="H1071" s="1">
        <f>VLOOKUP(D1071,products!A:D,4,FALSE)</f>
        <v>245000</v>
      </c>
      <c r="I1071" s="1" t="str">
        <f>VLOOKUP(C1071,branches!A:B,2,FALSE)</f>
        <v>Naija Mart GRA</v>
      </c>
      <c r="J1071" s="1">
        <f t="shared" si="32"/>
        <v>208250</v>
      </c>
      <c r="K1071" s="1" t="str">
        <f>VLOOKUP(D1071,products!A:D,2,FALSE)</f>
        <v>Generators &amp; Power</v>
      </c>
      <c r="L1071" s="1" t="str">
        <f t="shared" si="33"/>
        <v>Oct-2025</v>
      </c>
    </row>
    <row r="1072" spans="1:12" x14ac:dyDescent="0.25">
      <c r="A1072" s="3" t="s">
        <v>1320</v>
      </c>
      <c r="B1072" s="6">
        <v>45795</v>
      </c>
      <c r="C1072" s="3" t="s">
        <v>16</v>
      </c>
      <c r="D1072" s="3" t="s">
        <v>59</v>
      </c>
      <c r="E1072" s="3" t="s">
        <v>180</v>
      </c>
      <c r="F1072" s="3">
        <v>2</v>
      </c>
      <c r="G1072" s="3">
        <v>0</v>
      </c>
      <c r="H1072" s="1">
        <f>VLOOKUP(D1072,products!A:D,4,FALSE)</f>
        <v>15000</v>
      </c>
      <c r="I1072" s="1" t="str">
        <f>VLOOKUP(C1072,branches!A:B,2,FALSE)</f>
        <v>Naija Mart Ikeja</v>
      </c>
      <c r="J1072" s="1">
        <f t="shared" si="32"/>
        <v>30000</v>
      </c>
      <c r="K1072" s="1" t="str">
        <f>VLOOKUP(D1072,products!A:D,2,FALSE)</f>
        <v>Home Appliances</v>
      </c>
      <c r="L1072" s="1" t="str">
        <f t="shared" si="33"/>
        <v>May-2025</v>
      </c>
    </row>
    <row r="1073" spans="1:12" x14ac:dyDescent="0.25">
      <c r="A1073" s="3" t="s">
        <v>1321</v>
      </c>
      <c r="B1073" s="6">
        <v>45881</v>
      </c>
      <c r="C1073" s="3" t="s">
        <v>16</v>
      </c>
      <c r="D1073" s="3" t="s">
        <v>20</v>
      </c>
      <c r="E1073" s="3" t="s">
        <v>186</v>
      </c>
      <c r="F1073" s="3">
        <v>1</v>
      </c>
      <c r="G1073" s="3">
        <v>20</v>
      </c>
      <c r="H1073" s="1">
        <f>VLOOKUP(D1073,products!A:D,4,FALSE)</f>
        <v>38000</v>
      </c>
      <c r="I1073" s="1" t="str">
        <f>VLOOKUP(C1073,branches!A:B,2,FALSE)</f>
        <v>Naija Mart Ikeja</v>
      </c>
      <c r="J1073" s="1">
        <f t="shared" si="32"/>
        <v>30400</v>
      </c>
      <c r="K1073" s="1" t="str">
        <f>VLOOKUP(D1073,products!A:D,2,FALSE)</f>
        <v>Electronics</v>
      </c>
      <c r="L1073" s="1" t="str">
        <f t="shared" si="33"/>
        <v>Aug-2025</v>
      </c>
    </row>
    <row r="1074" spans="1:12" x14ac:dyDescent="0.25">
      <c r="A1074" s="3" t="s">
        <v>1322</v>
      </c>
      <c r="B1074" s="6">
        <v>45884</v>
      </c>
      <c r="C1074" s="3" t="s">
        <v>12</v>
      </c>
      <c r="D1074" s="3" t="s">
        <v>51</v>
      </c>
      <c r="E1074" s="3" t="s">
        <v>847</v>
      </c>
      <c r="F1074" s="3">
        <v>3</v>
      </c>
      <c r="G1074" s="3">
        <v>15</v>
      </c>
      <c r="H1074" s="1">
        <f>VLOOKUP(D1074,products!A:D,4,FALSE)</f>
        <v>18000</v>
      </c>
      <c r="I1074" s="1" t="str">
        <f>VLOOKUP(C1074,branches!A:B,2,FALSE)</f>
        <v>Naija Mart Wuse</v>
      </c>
      <c r="J1074" s="1">
        <f t="shared" si="32"/>
        <v>45900</v>
      </c>
      <c r="K1074" s="1" t="str">
        <f>VLOOKUP(D1074,products!A:D,2,FALSE)</f>
        <v>Small Gadgets</v>
      </c>
      <c r="L1074" s="1" t="str">
        <f t="shared" si="33"/>
        <v>Aug-2025</v>
      </c>
    </row>
    <row r="1075" spans="1:12" x14ac:dyDescent="0.25">
      <c r="A1075" s="3" t="s">
        <v>1323</v>
      </c>
      <c r="B1075" s="6">
        <v>45878</v>
      </c>
      <c r="C1075" s="3" t="s">
        <v>16</v>
      </c>
      <c r="D1075" s="3" t="s">
        <v>149</v>
      </c>
      <c r="E1075" s="3" t="s">
        <v>14</v>
      </c>
      <c r="F1075" s="3">
        <v>1</v>
      </c>
      <c r="G1075" s="3">
        <v>5</v>
      </c>
      <c r="H1075" s="1">
        <f>VLOOKUP(D1075,products!A:D,4,FALSE)</f>
        <v>6500</v>
      </c>
      <c r="I1075" s="1" t="str">
        <f>VLOOKUP(C1075,branches!A:B,2,FALSE)</f>
        <v>Naija Mart Ikeja</v>
      </c>
      <c r="J1075" s="1">
        <f t="shared" si="32"/>
        <v>6175</v>
      </c>
      <c r="K1075" s="1" t="str">
        <f>VLOOKUP(D1075,products!A:D,2,FALSE)</f>
        <v>Small Gadgets</v>
      </c>
      <c r="L1075" s="1" t="str">
        <f t="shared" si="33"/>
        <v>Aug-2025</v>
      </c>
    </row>
    <row r="1076" spans="1:12" x14ac:dyDescent="0.25">
      <c r="A1076" s="3" t="s">
        <v>1324</v>
      </c>
      <c r="B1076" s="6">
        <v>45979</v>
      </c>
      <c r="C1076" s="3" t="s">
        <v>36</v>
      </c>
      <c r="D1076" s="3" t="s">
        <v>80</v>
      </c>
      <c r="E1076" s="3" t="s">
        <v>184</v>
      </c>
      <c r="F1076" s="3">
        <v>1</v>
      </c>
      <c r="G1076" s="3">
        <v>20</v>
      </c>
      <c r="H1076" s="1">
        <f>VLOOKUP(D1076,products!A:D,4,FALSE)</f>
        <v>265000</v>
      </c>
      <c r="I1076" s="1" t="str">
        <f>VLOOKUP(C1076,branches!A:B,2,FALSE)</f>
        <v>Naija Mart Sabon Gari</v>
      </c>
      <c r="J1076" s="1">
        <f t="shared" si="32"/>
        <v>212000</v>
      </c>
      <c r="K1076" s="1" t="str">
        <f>VLOOKUP(D1076,products!A:D,2,FALSE)</f>
        <v>Home Appliances</v>
      </c>
      <c r="L1076" s="1" t="str">
        <f t="shared" si="33"/>
        <v>Nov-2025</v>
      </c>
    </row>
    <row r="1077" spans="1:12" x14ac:dyDescent="0.25">
      <c r="A1077" s="3" t="s">
        <v>1325</v>
      </c>
      <c r="B1077" s="6">
        <v>45726</v>
      </c>
      <c r="C1077" s="3" t="s">
        <v>8</v>
      </c>
      <c r="D1077" s="3" t="s">
        <v>33</v>
      </c>
      <c r="E1077" s="3" t="s">
        <v>551</v>
      </c>
      <c r="F1077" s="3">
        <v>1</v>
      </c>
      <c r="G1077" s="3">
        <v>0</v>
      </c>
      <c r="H1077" s="1">
        <f>VLOOKUP(D1077,products!A:D,4,FALSE)</f>
        <v>245000</v>
      </c>
      <c r="I1077" s="1" t="str">
        <f>VLOOKUP(C1077,branches!A:B,2,FALSE)</f>
        <v>Naija Mart GRA</v>
      </c>
      <c r="J1077" s="1">
        <f t="shared" si="32"/>
        <v>245000</v>
      </c>
      <c r="K1077" s="1" t="str">
        <f>VLOOKUP(D1077,products!A:D,2,FALSE)</f>
        <v>Generators &amp; Power</v>
      </c>
      <c r="L1077" s="1" t="str">
        <f t="shared" si="33"/>
        <v>Mar-2025</v>
      </c>
    </row>
    <row r="1078" spans="1:12" x14ac:dyDescent="0.25">
      <c r="A1078" s="3" t="s">
        <v>1326</v>
      </c>
      <c r="B1078" s="6">
        <v>45832</v>
      </c>
      <c r="C1078" s="3" t="s">
        <v>16</v>
      </c>
      <c r="D1078" s="3" t="s">
        <v>64</v>
      </c>
      <c r="E1078" s="3" t="s">
        <v>182</v>
      </c>
      <c r="F1078" s="3">
        <v>1</v>
      </c>
      <c r="G1078" s="3">
        <v>10</v>
      </c>
      <c r="H1078" s="1">
        <f>VLOOKUP(D1078,products!A:D,4,FALSE)</f>
        <v>175000</v>
      </c>
      <c r="I1078" s="1" t="str">
        <f>VLOOKUP(C1078,branches!A:B,2,FALSE)</f>
        <v>Naija Mart Ikeja</v>
      </c>
      <c r="J1078" s="1">
        <f t="shared" si="32"/>
        <v>157500</v>
      </c>
      <c r="K1078" s="1" t="str">
        <f>VLOOKUP(D1078,products!A:D,2,FALSE)</f>
        <v>Generators &amp; Power</v>
      </c>
      <c r="L1078" s="1" t="str">
        <f t="shared" si="33"/>
        <v>Jun-2025</v>
      </c>
    </row>
    <row r="1079" spans="1:12" x14ac:dyDescent="0.25">
      <c r="A1079" s="3" t="s">
        <v>1327</v>
      </c>
      <c r="B1079" s="6">
        <v>46006</v>
      </c>
      <c r="C1079" s="3" t="s">
        <v>16</v>
      </c>
      <c r="D1079" s="3" t="s">
        <v>149</v>
      </c>
      <c r="E1079" s="3" t="s">
        <v>72</v>
      </c>
      <c r="F1079" s="3">
        <v>1</v>
      </c>
      <c r="G1079" s="3">
        <v>5</v>
      </c>
      <c r="H1079" s="1">
        <f>VLOOKUP(D1079,products!A:D,4,FALSE)</f>
        <v>6500</v>
      </c>
      <c r="I1079" s="1" t="str">
        <f>VLOOKUP(C1079,branches!A:B,2,FALSE)</f>
        <v>Naija Mart Ikeja</v>
      </c>
      <c r="J1079" s="1">
        <f t="shared" si="32"/>
        <v>6175</v>
      </c>
      <c r="K1079" s="1" t="str">
        <f>VLOOKUP(D1079,products!A:D,2,FALSE)</f>
        <v>Small Gadgets</v>
      </c>
      <c r="L1079" s="1" t="str">
        <f t="shared" si="33"/>
        <v>Dec-2025</v>
      </c>
    </row>
    <row r="1080" spans="1:12" x14ac:dyDescent="0.25">
      <c r="A1080" s="3" t="s">
        <v>1328</v>
      </c>
      <c r="B1080" s="6">
        <v>45801</v>
      </c>
      <c r="C1080" s="3" t="s">
        <v>36</v>
      </c>
      <c r="D1080" s="3" t="s">
        <v>26</v>
      </c>
      <c r="E1080" s="3" t="s">
        <v>618</v>
      </c>
      <c r="F1080" s="3">
        <v>1</v>
      </c>
      <c r="G1080" s="3">
        <v>10</v>
      </c>
      <c r="H1080" s="1">
        <f>VLOOKUP(D1080,products!A:D,4,FALSE)</f>
        <v>145000</v>
      </c>
      <c r="I1080" s="1" t="str">
        <f>VLOOKUP(C1080,branches!A:B,2,FALSE)</f>
        <v>Naija Mart Sabon Gari</v>
      </c>
      <c r="J1080" s="1">
        <f t="shared" si="32"/>
        <v>130500</v>
      </c>
      <c r="K1080" s="1" t="str">
        <f>VLOOKUP(D1080,products!A:D,2,FALSE)</f>
        <v>Electronics</v>
      </c>
      <c r="L1080" s="1" t="str">
        <f t="shared" si="33"/>
        <v>May-2025</v>
      </c>
    </row>
    <row r="1081" spans="1:12" x14ac:dyDescent="0.25">
      <c r="A1081" s="3" t="s">
        <v>1329</v>
      </c>
      <c r="B1081" s="6">
        <v>45880</v>
      </c>
      <c r="C1081" s="3" t="s">
        <v>12</v>
      </c>
      <c r="D1081" s="3" t="s">
        <v>80</v>
      </c>
      <c r="E1081" s="3" t="s">
        <v>293</v>
      </c>
      <c r="F1081" s="3">
        <v>1</v>
      </c>
      <c r="G1081" s="3">
        <v>25</v>
      </c>
      <c r="H1081" s="1">
        <f>VLOOKUP(D1081,products!A:D,4,FALSE)</f>
        <v>265000</v>
      </c>
      <c r="I1081" s="1" t="str">
        <f>VLOOKUP(C1081,branches!A:B,2,FALSE)</f>
        <v>Naija Mart Wuse</v>
      </c>
      <c r="J1081" s="1">
        <f t="shared" si="32"/>
        <v>198750</v>
      </c>
      <c r="K1081" s="1" t="str">
        <f>VLOOKUP(D1081,products!A:D,2,FALSE)</f>
        <v>Home Appliances</v>
      </c>
      <c r="L1081" s="1" t="str">
        <f t="shared" si="33"/>
        <v>Aug-2025</v>
      </c>
    </row>
    <row r="1082" spans="1:12" x14ac:dyDescent="0.25">
      <c r="A1082" s="3" t="s">
        <v>1330</v>
      </c>
      <c r="B1082" s="6">
        <v>45701</v>
      </c>
      <c r="C1082" s="3" t="s">
        <v>16</v>
      </c>
      <c r="D1082" s="3" t="s">
        <v>13</v>
      </c>
      <c r="E1082" s="3" t="s">
        <v>141</v>
      </c>
      <c r="F1082" s="3">
        <v>1</v>
      </c>
      <c r="G1082" s="3">
        <v>0</v>
      </c>
      <c r="H1082" s="1">
        <f>VLOOKUP(D1082,products!A:D,4,FALSE)</f>
        <v>24000</v>
      </c>
      <c r="I1082" s="1" t="str">
        <f>VLOOKUP(C1082,branches!A:B,2,FALSE)</f>
        <v>Naija Mart Ikeja</v>
      </c>
      <c r="J1082" s="1">
        <f t="shared" si="32"/>
        <v>24000</v>
      </c>
      <c r="K1082" s="1" t="str">
        <f>VLOOKUP(D1082,products!A:D,2,FALSE)</f>
        <v>Home Appliances</v>
      </c>
      <c r="L1082" s="1" t="str">
        <f t="shared" si="33"/>
        <v>Feb-2025</v>
      </c>
    </row>
    <row r="1083" spans="1:12" x14ac:dyDescent="0.25">
      <c r="A1083" s="3" t="s">
        <v>1331</v>
      </c>
      <c r="B1083" s="6">
        <v>45816</v>
      </c>
      <c r="C1083" s="3" t="s">
        <v>36</v>
      </c>
      <c r="D1083" s="3" t="s">
        <v>49</v>
      </c>
      <c r="E1083" s="3" t="s">
        <v>403</v>
      </c>
      <c r="F1083" s="3">
        <v>1</v>
      </c>
      <c r="G1083" s="3">
        <v>0</v>
      </c>
      <c r="H1083" s="1">
        <f>VLOOKUP(D1083,products!A:D,4,FALSE)</f>
        <v>28000</v>
      </c>
      <c r="I1083" s="1" t="str">
        <f>VLOOKUP(C1083,branches!A:B,2,FALSE)</f>
        <v>Naija Mart Sabon Gari</v>
      </c>
      <c r="J1083" s="1">
        <f t="shared" si="32"/>
        <v>28000</v>
      </c>
      <c r="K1083" s="1" t="str">
        <f>VLOOKUP(D1083,products!A:D,2,FALSE)</f>
        <v>Home Appliances</v>
      </c>
      <c r="L1083" s="1" t="str">
        <f t="shared" si="33"/>
        <v>Jun-2025</v>
      </c>
    </row>
    <row r="1084" spans="1:12" x14ac:dyDescent="0.25">
      <c r="A1084" s="3" t="s">
        <v>1332</v>
      </c>
      <c r="B1084" s="6">
        <v>45933</v>
      </c>
      <c r="C1084" s="3" t="s">
        <v>16</v>
      </c>
      <c r="D1084" s="3" t="s">
        <v>51</v>
      </c>
      <c r="E1084" s="3" t="s">
        <v>1119</v>
      </c>
      <c r="F1084" s="3">
        <v>1</v>
      </c>
      <c r="G1084" s="3">
        <v>0</v>
      </c>
      <c r="H1084" s="1">
        <f>VLOOKUP(D1084,products!A:D,4,FALSE)</f>
        <v>18000</v>
      </c>
      <c r="I1084" s="1" t="str">
        <f>VLOOKUP(C1084,branches!A:B,2,FALSE)</f>
        <v>Naija Mart Ikeja</v>
      </c>
      <c r="J1084" s="1">
        <f t="shared" si="32"/>
        <v>18000</v>
      </c>
      <c r="K1084" s="1" t="str">
        <f>VLOOKUP(D1084,products!A:D,2,FALSE)</f>
        <v>Small Gadgets</v>
      </c>
      <c r="L1084" s="1" t="str">
        <f t="shared" si="33"/>
        <v>Oct-2025</v>
      </c>
    </row>
    <row r="1085" spans="1:12" x14ac:dyDescent="0.25">
      <c r="A1085" s="3" t="s">
        <v>1333</v>
      </c>
      <c r="B1085" s="6">
        <v>45890</v>
      </c>
      <c r="C1085" s="3" t="s">
        <v>12</v>
      </c>
      <c r="D1085" s="3" t="s">
        <v>149</v>
      </c>
      <c r="E1085" s="3" t="s">
        <v>104</v>
      </c>
      <c r="F1085" s="3">
        <v>1</v>
      </c>
      <c r="G1085" s="3">
        <v>0</v>
      </c>
      <c r="H1085" s="1">
        <f>VLOOKUP(D1085,products!A:D,4,FALSE)</f>
        <v>6500</v>
      </c>
      <c r="I1085" s="1" t="str">
        <f>VLOOKUP(C1085,branches!A:B,2,FALSE)</f>
        <v>Naija Mart Wuse</v>
      </c>
      <c r="J1085" s="1">
        <f t="shared" si="32"/>
        <v>6500</v>
      </c>
      <c r="K1085" s="1" t="str">
        <f>VLOOKUP(D1085,products!A:D,2,FALSE)</f>
        <v>Small Gadgets</v>
      </c>
      <c r="L1085" s="1" t="str">
        <f t="shared" si="33"/>
        <v>Aug-2025</v>
      </c>
    </row>
    <row r="1086" spans="1:12" x14ac:dyDescent="0.25">
      <c r="A1086" s="3" t="s">
        <v>1334</v>
      </c>
      <c r="B1086" s="6">
        <v>45972</v>
      </c>
      <c r="C1086" s="3" t="s">
        <v>12</v>
      </c>
      <c r="D1086" s="3" t="s">
        <v>197</v>
      </c>
      <c r="E1086" s="3" t="s">
        <v>87</v>
      </c>
      <c r="F1086" s="3">
        <v>2</v>
      </c>
      <c r="G1086" s="3">
        <v>0</v>
      </c>
      <c r="H1086" s="1">
        <f>VLOOKUP(D1086,products!A:D,4,FALSE)</f>
        <v>78000</v>
      </c>
      <c r="I1086" s="1" t="str">
        <f>VLOOKUP(C1086,branches!A:B,2,FALSE)</f>
        <v>Naija Mart Wuse</v>
      </c>
      <c r="J1086" s="1">
        <f t="shared" si="32"/>
        <v>156000</v>
      </c>
      <c r="K1086" s="1" t="str">
        <f>VLOOKUP(D1086,products!A:D,2,FALSE)</f>
        <v>Electronics</v>
      </c>
      <c r="L1086" s="1" t="str">
        <f t="shared" si="33"/>
        <v>Nov-2025</v>
      </c>
    </row>
    <row r="1087" spans="1:12" x14ac:dyDescent="0.25">
      <c r="A1087" s="3" t="s">
        <v>1335</v>
      </c>
      <c r="B1087" s="6">
        <v>45682</v>
      </c>
      <c r="C1087" s="3" t="s">
        <v>36</v>
      </c>
      <c r="D1087" s="3" t="s">
        <v>97</v>
      </c>
      <c r="E1087" s="3" t="s">
        <v>269</v>
      </c>
      <c r="F1087" s="3">
        <v>3</v>
      </c>
      <c r="G1087" s="3">
        <v>0</v>
      </c>
      <c r="H1087" s="1">
        <f>VLOOKUP(D1087,products!A:D,4,FALSE)</f>
        <v>21000</v>
      </c>
      <c r="I1087" s="1" t="str">
        <f>VLOOKUP(C1087,branches!A:B,2,FALSE)</f>
        <v>Naija Mart Sabon Gari</v>
      </c>
      <c r="J1087" s="1">
        <f t="shared" si="32"/>
        <v>63000</v>
      </c>
      <c r="K1087" s="1" t="str">
        <f>VLOOKUP(D1087,products!A:D,2,FALSE)</f>
        <v>Small Gadgets</v>
      </c>
      <c r="L1087" s="1" t="str">
        <f t="shared" si="33"/>
        <v>Jan-2025</v>
      </c>
    </row>
    <row r="1088" spans="1:12" x14ac:dyDescent="0.25">
      <c r="A1088" s="3" t="s">
        <v>1336</v>
      </c>
      <c r="B1088" s="6">
        <v>45736</v>
      </c>
      <c r="C1088" s="3" t="s">
        <v>8</v>
      </c>
      <c r="D1088" s="3" t="s">
        <v>197</v>
      </c>
      <c r="E1088" s="3" t="s">
        <v>371</v>
      </c>
      <c r="F1088" s="3">
        <v>1</v>
      </c>
      <c r="G1088" s="3">
        <v>0</v>
      </c>
      <c r="H1088" s="1">
        <f>VLOOKUP(D1088,products!A:D,4,FALSE)</f>
        <v>78000</v>
      </c>
      <c r="I1088" s="1" t="str">
        <f>VLOOKUP(C1088,branches!A:B,2,FALSE)</f>
        <v>Naija Mart GRA</v>
      </c>
      <c r="J1088" s="1">
        <f t="shared" si="32"/>
        <v>78000</v>
      </c>
      <c r="K1088" s="1" t="str">
        <f>VLOOKUP(D1088,products!A:D,2,FALSE)</f>
        <v>Electronics</v>
      </c>
      <c r="L1088" s="1" t="str">
        <f t="shared" si="33"/>
        <v>Mar-2025</v>
      </c>
    </row>
    <row r="1089" spans="1:12" x14ac:dyDescent="0.25">
      <c r="A1089" s="3" t="s">
        <v>1337</v>
      </c>
      <c r="B1089" s="6">
        <v>45728</v>
      </c>
      <c r="C1089" s="3" t="s">
        <v>16</v>
      </c>
      <c r="D1089" s="3" t="s">
        <v>33</v>
      </c>
      <c r="E1089" s="3" t="s">
        <v>376</v>
      </c>
      <c r="F1089" s="3">
        <v>1</v>
      </c>
      <c r="G1089" s="3">
        <v>20</v>
      </c>
      <c r="H1089" s="1">
        <f>VLOOKUP(D1089,products!A:D,4,FALSE)</f>
        <v>245000</v>
      </c>
      <c r="I1089" s="1" t="str">
        <f>VLOOKUP(C1089,branches!A:B,2,FALSE)</f>
        <v>Naija Mart Ikeja</v>
      </c>
      <c r="J1089" s="1">
        <f t="shared" si="32"/>
        <v>196000</v>
      </c>
      <c r="K1089" s="1" t="str">
        <f>VLOOKUP(D1089,products!A:D,2,FALSE)</f>
        <v>Generators &amp; Power</v>
      </c>
      <c r="L1089" s="1" t="str">
        <f t="shared" si="33"/>
        <v>Mar-2025</v>
      </c>
    </row>
    <row r="1090" spans="1:12" x14ac:dyDescent="0.25">
      <c r="A1090" s="3" t="s">
        <v>1338</v>
      </c>
      <c r="B1090" s="6">
        <v>45958</v>
      </c>
      <c r="C1090" s="3" t="s">
        <v>12</v>
      </c>
      <c r="D1090" s="3" t="s">
        <v>9</v>
      </c>
      <c r="E1090" s="3" t="s">
        <v>78</v>
      </c>
      <c r="F1090" s="3">
        <v>1</v>
      </c>
      <c r="G1090" s="3">
        <v>0</v>
      </c>
      <c r="H1090" s="1">
        <f>VLOOKUP(D1090,products!A:D,4,FALSE)</f>
        <v>410000</v>
      </c>
      <c r="I1090" s="1" t="str">
        <f>VLOOKUP(C1090,branches!A:B,2,FALSE)</f>
        <v>Naija Mart Wuse</v>
      </c>
      <c r="J1090" s="1">
        <f t="shared" si="32"/>
        <v>410000</v>
      </c>
      <c r="K1090" s="1" t="str">
        <f>VLOOKUP(D1090,products!A:D,2,FALSE)</f>
        <v>Home Appliances</v>
      </c>
      <c r="L1090" s="1" t="str">
        <f t="shared" si="33"/>
        <v>Oct-2025</v>
      </c>
    </row>
    <row r="1091" spans="1:12" x14ac:dyDescent="0.25">
      <c r="A1091" s="3" t="s">
        <v>1339</v>
      </c>
      <c r="B1091" s="6">
        <v>45839</v>
      </c>
      <c r="C1091" s="3" t="s">
        <v>12</v>
      </c>
      <c r="D1091" s="3" t="s">
        <v>9</v>
      </c>
      <c r="E1091" s="3" t="s">
        <v>373</v>
      </c>
      <c r="F1091" s="3">
        <v>1</v>
      </c>
      <c r="G1091" s="3">
        <v>15</v>
      </c>
      <c r="H1091" s="1">
        <f>VLOOKUP(D1091,products!A:D,4,FALSE)</f>
        <v>410000</v>
      </c>
      <c r="I1091" s="1" t="str">
        <f>VLOOKUP(C1091,branches!A:B,2,FALSE)</f>
        <v>Naija Mart Wuse</v>
      </c>
      <c r="J1091" s="1">
        <f t="shared" ref="J1091:J1154" si="34">F1091*H1091*(1-G1091/100)</f>
        <v>348500</v>
      </c>
      <c r="K1091" s="1" t="str">
        <f>VLOOKUP(D1091,products!A:D,2,FALSE)</f>
        <v>Home Appliances</v>
      </c>
      <c r="L1091" s="1" t="str">
        <f t="shared" ref="L1091:L1154" si="35">TEXT(B1091,"mmm-yyyy")</f>
        <v>Jul-2025</v>
      </c>
    </row>
    <row r="1092" spans="1:12" x14ac:dyDescent="0.25">
      <c r="A1092" s="3" t="s">
        <v>1340</v>
      </c>
      <c r="B1092" s="6">
        <v>45708</v>
      </c>
      <c r="C1092" s="3" t="s">
        <v>8</v>
      </c>
      <c r="D1092" s="3" t="s">
        <v>149</v>
      </c>
      <c r="E1092" s="3" t="s">
        <v>448</v>
      </c>
      <c r="F1092" s="3">
        <v>1</v>
      </c>
      <c r="G1092" s="3">
        <v>15</v>
      </c>
      <c r="H1092" s="1">
        <f>VLOOKUP(D1092,products!A:D,4,FALSE)</f>
        <v>6500</v>
      </c>
      <c r="I1092" s="1" t="str">
        <f>VLOOKUP(C1092,branches!A:B,2,FALSE)</f>
        <v>Naija Mart GRA</v>
      </c>
      <c r="J1092" s="1">
        <f t="shared" si="34"/>
        <v>5525</v>
      </c>
      <c r="K1092" s="1" t="str">
        <f>VLOOKUP(D1092,products!A:D,2,FALSE)</f>
        <v>Small Gadgets</v>
      </c>
      <c r="L1092" s="1" t="str">
        <f t="shared" si="35"/>
        <v>Feb-2025</v>
      </c>
    </row>
    <row r="1093" spans="1:12" x14ac:dyDescent="0.25">
      <c r="A1093" s="3" t="s">
        <v>1341</v>
      </c>
      <c r="B1093" s="6">
        <v>45875</v>
      </c>
      <c r="C1093" s="3" t="s">
        <v>12</v>
      </c>
      <c r="D1093" s="3" t="s">
        <v>51</v>
      </c>
      <c r="E1093" s="3" t="s">
        <v>31</v>
      </c>
      <c r="F1093" s="3">
        <v>1</v>
      </c>
      <c r="G1093" s="3">
        <v>15</v>
      </c>
      <c r="H1093" s="1">
        <f>VLOOKUP(D1093,products!A:D,4,FALSE)</f>
        <v>18000</v>
      </c>
      <c r="I1093" s="1" t="str">
        <f>VLOOKUP(C1093,branches!A:B,2,FALSE)</f>
        <v>Naija Mart Wuse</v>
      </c>
      <c r="J1093" s="1">
        <f t="shared" si="34"/>
        <v>15300</v>
      </c>
      <c r="K1093" s="1" t="str">
        <f>VLOOKUP(D1093,products!A:D,2,FALSE)</f>
        <v>Small Gadgets</v>
      </c>
      <c r="L1093" s="1" t="str">
        <f t="shared" si="35"/>
        <v>Aug-2025</v>
      </c>
    </row>
    <row r="1094" spans="1:12" x14ac:dyDescent="0.25">
      <c r="A1094" s="3" t="s">
        <v>1342</v>
      </c>
      <c r="B1094" s="6">
        <v>45790</v>
      </c>
      <c r="C1094" s="3" t="s">
        <v>16</v>
      </c>
      <c r="D1094" s="3" t="s">
        <v>197</v>
      </c>
      <c r="E1094" s="3" t="s">
        <v>387</v>
      </c>
      <c r="F1094" s="3">
        <v>1</v>
      </c>
      <c r="G1094" s="3">
        <v>5</v>
      </c>
      <c r="H1094" s="1">
        <f>VLOOKUP(D1094,products!A:D,4,FALSE)</f>
        <v>78000</v>
      </c>
      <c r="I1094" s="1" t="str">
        <f>VLOOKUP(C1094,branches!A:B,2,FALSE)</f>
        <v>Naija Mart Ikeja</v>
      </c>
      <c r="J1094" s="1">
        <f t="shared" si="34"/>
        <v>74100</v>
      </c>
      <c r="K1094" s="1" t="str">
        <f>VLOOKUP(D1094,products!A:D,2,FALSE)</f>
        <v>Electronics</v>
      </c>
      <c r="L1094" s="1" t="str">
        <f t="shared" si="35"/>
        <v>May-2025</v>
      </c>
    </row>
    <row r="1095" spans="1:12" x14ac:dyDescent="0.25">
      <c r="A1095" s="3" t="s">
        <v>1343</v>
      </c>
      <c r="B1095" s="6">
        <v>45902</v>
      </c>
      <c r="C1095" s="3" t="s">
        <v>16</v>
      </c>
      <c r="D1095" s="3" t="s">
        <v>97</v>
      </c>
      <c r="E1095" s="3" t="s">
        <v>150</v>
      </c>
      <c r="F1095" s="3">
        <v>1</v>
      </c>
      <c r="G1095" s="3">
        <v>0</v>
      </c>
      <c r="H1095" s="1">
        <f>VLOOKUP(D1095,products!A:D,4,FALSE)</f>
        <v>21000</v>
      </c>
      <c r="I1095" s="1" t="str">
        <f>VLOOKUP(C1095,branches!A:B,2,FALSE)</f>
        <v>Naija Mart Ikeja</v>
      </c>
      <c r="J1095" s="1">
        <f t="shared" si="34"/>
        <v>21000</v>
      </c>
      <c r="K1095" s="1" t="str">
        <f>VLOOKUP(D1095,products!A:D,2,FALSE)</f>
        <v>Small Gadgets</v>
      </c>
      <c r="L1095" s="1" t="str">
        <f t="shared" si="35"/>
        <v>Sep-2025</v>
      </c>
    </row>
    <row r="1096" spans="1:12" x14ac:dyDescent="0.25">
      <c r="A1096" s="3" t="s">
        <v>1344</v>
      </c>
      <c r="B1096" s="6">
        <v>45844</v>
      </c>
      <c r="C1096" s="3" t="s">
        <v>16</v>
      </c>
      <c r="D1096" s="3" t="s">
        <v>51</v>
      </c>
      <c r="E1096" s="3" t="s">
        <v>551</v>
      </c>
      <c r="F1096" s="3">
        <v>1</v>
      </c>
      <c r="G1096" s="3">
        <v>0</v>
      </c>
      <c r="H1096" s="1">
        <f>VLOOKUP(D1096,products!A:D,4,FALSE)</f>
        <v>18000</v>
      </c>
      <c r="I1096" s="1" t="str">
        <f>VLOOKUP(C1096,branches!A:B,2,FALSE)</f>
        <v>Naija Mart Ikeja</v>
      </c>
      <c r="J1096" s="1">
        <f t="shared" si="34"/>
        <v>18000</v>
      </c>
      <c r="K1096" s="1" t="str">
        <f>VLOOKUP(D1096,products!A:D,2,FALSE)</f>
        <v>Small Gadgets</v>
      </c>
      <c r="L1096" s="1" t="str">
        <f t="shared" si="35"/>
        <v>Jul-2025</v>
      </c>
    </row>
    <row r="1097" spans="1:12" x14ac:dyDescent="0.25">
      <c r="A1097" s="3" t="s">
        <v>1345</v>
      </c>
      <c r="B1097" s="6">
        <v>45709</v>
      </c>
      <c r="C1097" s="3" t="s">
        <v>16</v>
      </c>
      <c r="D1097" s="3" t="s">
        <v>97</v>
      </c>
      <c r="E1097" s="3" t="s">
        <v>102</v>
      </c>
      <c r="F1097" s="3">
        <v>1</v>
      </c>
      <c r="G1097" s="3">
        <v>0</v>
      </c>
      <c r="H1097" s="1">
        <f>VLOOKUP(D1097,products!A:D,4,FALSE)</f>
        <v>21000</v>
      </c>
      <c r="I1097" s="1" t="str">
        <f>VLOOKUP(C1097,branches!A:B,2,FALSE)</f>
        <v>Naija Mart Ikeja</v>
      </c>
      <c r="J1097" s="1">
        <f t="shared" si="34"/>
        <v>21000</v>
      </c>
      <c r="K1097" s="1" t="str">
        <f>VLOOKUP(D1097,products!A:D,2,FALSE)</f>
        <v>Small Gadgets</v>
      </c>
      <c r="L1097" s="1" t="str">
        <f t="shared" si="35"/>
        <v>Feb-2025</v>
      </c>
    </row>
    <row r="1098" spans="1:12" x14ac:dyDescent="0.25">
      <c r="A1098" s="3" t="s">
        <v>1346</v>
      </c>
      <c r="B1098" s="6">
        <v>45680</v>
      </c>
      <c r="C1098" s="3" t="s">
        <v>16</v>
      </c>
      <c r="D1098" s="3" t="s">
        <v>26</v>
      </c>
      <c r="E1098" s="3" t="s">
        <v>238</v>
      </c>
      <c r="F1098" s="3">
        <v>1</v>
      </c>
      <c r="G1098" s="3">
        <v>10</v>
      </c>
      <c r="H1098" s="1">
        <f>VLOOKUP(D1098,products!A:D,4,FALSE)</f>
        <v>145000</v>
      </c>
      <c r="I1098" s="1" t="str">
        <f>VLOOKUP(C1098,branches!A:B,2,FALSE)</f>
        <v>Naija Mart Ikeja</v>
      </c>
      <c r="J1098" s="1">
        <f t="shared" si="34"/>
        <v>130500</v>
      </c>
      <c r="K1098" s="1" t="str">
        <f>VLOOKUP(D1098,products!A:D,2,FALSE)</f>
        <v>Electronics</v>
      </c>
      <c r="L1098" s="1" t="str">
        <f t="shared" si="35"/>
        <v>Jan-2025</v>
      </c>
    </row>
    <row r="1099" spans="1:12" x14ac:dyDescent="0.25">
      <c r="A1099" s="3" t="s">
        <v>1347</v>
      </c>
      <c r="B1099" s="6">
        <v>45701</v>
      </c>
      <c r="C1099" s="3" t="s">
        <v>8</v>
      </c>
      <c r="D1099" s="3" t="s">
        <v>40</v>
      </c>
      <c r="E1099" s="3" t="s">
        <v>72</v>
      </c>
      <c r="F1099" s="3">
        <v>1</v>
      </c>
      <c r="G1099" s="3">
        <v>5</v>
      </c>
      <c r="H1099" s="1">
        <f>VLOOKUP(D1099,products!A:D,4,FALSE)</f>
        <v>195000</v>
      </c>
      <c r="I1099" s="1" t="str">
        <f>VLOOKUP(C1099,branches!A:B,2,FALSE)</f>
        <v>Naija Mart GRA</v>
      </c>
      <c r="J1099" s="1">
        <f t="shared" si="34"/>
        <v>185250</v>
      </c>
      <c r="K1099" s="1" t="str">
        <f>VLOOKUP(D1099,products!A:D,2,FALSE)</f>
        <v>Generators &amp; Power</v>
      </c>
      <c r="L1099" s="1" t="str">
        <f t="shared" si="35"/>
        <v>Feb-2025</v>
      </c>
    </row>
    <row r="1100" spans="1:12" x14ac:dyDescent="0.25">
      <c r="A1100" s="3" t="s">
        <v>1348</v>
      </c>
      <c r="B1100" s="6">
        <v>46012</v>
      </c>
      <c r="C1100" s="3" t="s">
        <v>16</v>
      </c>
      <c r="D1100" s="3" t="s">
        <v>23</v>
      </c>
      <c r="E1100" s="3" t="s">
        <v>823</v>
      </c>
      <c r="F1100" s="3">
        <v>2</v>
      </c>
      <c r="G1100" s="3">
        <v>10</v>
      </c>
      <c r="H1100" s="1">
        <f>VLOOKUP(D1100,products!A:D,4,FALSE)</f>
        <v>19500</v>
      </c>
      <c r="I1100" s="1" t="str">
        <f>VLOOKUP(C1100,branches!A:B,2,FALSE)</f>
        <v>Naija Mart Ikeja</v>
      </c>
      <c r="J1100" s="1">
        <f t="shared" si="34"/>
        <v>35100</v>
      </c>
      <c r="K1100" s="1" t="str">
        <f>VLOOKUP(D1100,products!A:D,2,FALSE)</f>
        <v>Home Appliances</v>
      </c>
      <c r="L1100" s="1" t="str">
        <f t="shared" si="35"/>
        <v>Dec-2025</v>
      </c>
    </row>
    <row r="1101" spans="1:12" x14ac:dyDescent="0.25">
      <c r="A1101" s="3" t="s">
        <v>1349</v>
      </c>
      <c r="B1101" s="6">
        <v>45773</v>
      </c>
      <c r="C1101" s="3" t="s">
        <v>16</v>
      </c>
      <c r="D1101" s="3" t="s">
        <v>13</v>
      </c>
      <c r="E1101" s="3" t="s">
        <v>1206</v>
      </c>
      <c r="F1101" s="3">
        <v>1</v>
      </c>
      <c r="G1101" s="3">
        <v>0</v>
      </c>
      <c r="H1101" s="1">
        <f>VLOOKUP(D1101,products!A:D,4,FALSE)</f>
        <v>24000</v>
      </c>
      <c r="I1101" s="1" t="str">
        <f>VLOOKUP(C1101,branches!A:B,2,FALSE)</f>
        <v>Naija Mart Ikeja</v>
      </c>
      <c r="J1101" s="1">
        <f t="shared" si="34"/>
        <v>24000</v>
      </c>
      <c r="K1101" s="1" t="str">
        <f>VLOOKUP(D1101,products!A:D,2,FALSE)</f>
        <v>Home Appliances</v>
      </c>
      <c r="L1101" s="1" t="str">
        <f t="shared" si="35"/>
        <v>Apr-2025</v>
      </c>
    </row>
    <row r="1102" spans="1:12" x14ac:dyDescent="0.25">
      <c r="A1102" s="3" t="s">
        <v>1350</v>
      </c>
      <c r="B1102" s="6">
        <v>45861</v>
      </c>
      <c r="C1102" s="3" t="s">
        <v>36</v>
      </c>
      <c r="D1102" s="3" t="s">
        <v>64</v>
      </c>
      <c r="E1102" s="3" t="s">
        <v>516</v>
      </c>
      <c r="F1102" s="3">
        <v>1</v>
      </c>
      <c r="G1102" s="3">
        <v>0</v>
      </c>
      <c r="H1102" s="1">
        <f>VLOOKUP(D1102,products!A:D,4,FALSE)</f>
        <v>175000</v>
      </c>
      <c r="I1102" s="1" t="str">
        <f>VLOOKUP(C1102,branches!A:B,2,FALSE)</f>
        <v>Naija Mart Sabon Gari</v>
      </c>
      <c r="J1102" s="1">
        <f t="shared" si="34"/>
        <v>175000</v>
      </c>
      <c r="K1102" s="1" t="str">
        <f>VLOOKUP(D1102,products!A:D,2,FALSE)</f>
        <v>Generators &amp; Power</v>
      </c>
      <c r="L1102" s="1" t="str">
        <f t="shared" si="35"/>
        <v>Jul-2025</v>
      </c>
    </row>
    <row r="1103" spans="1:12" x14ac:dyDescent="0.25">
      <c r="A1103" s="3" t="s">
        <v>1351</v>
      </c>
      <c r="B1103" s="6">
        <v>45988</v>
      </c>
      <c r="C1103" s="3" t="s">
        <v>12</v>
      </c>
      <c r="D1103" s="3" t="s">
        <v>49</v>
      </c>
      <c r="E1103" s="3" t="s">
        <v>693</v>
      </c>
      <c r="F1103" s="3">
        <v>1</v>
      </c>
      <c r="G1103" s="3">
        <v>5</v>
      </c>
      <c r="H1103" s="1">
        <f>VLOOKUP(D1103,products!A:D,4,FALSE)</f>
        <v>28000</v>
      </c>
      <c r="I1103" s="1" t="str">
        <f>VLOOKUP(C1103,branches!A:B,2,FALSE)</f>
        <v>Naija Mart Wuse</v>
      </c>
      <c r="J1103" s="1">
        <f t="shared" si="34"/>
        <v>26600</v>
      </c>
      <c r="K1103" s="1" t="str">
        <f>VLOOKUP(D1103,products!A:D,2,FALSE)</f>
        <v>Home Appliances</v>
      </c>
      <c r="L1103" s="1" t="str">
        <f t="shared" si="35"/>
        <v>Nov-2025</v>
      </c>
    </row>
    <row r="1104" spans="1:12" x14ac:dyDescent="0.25">
      <c r="A1104" s="3" t="s">
        <v>1352</v>
      </c>
      <c r="B1104" s="6">
        <v>45982</v>
      </c>
      <c r="C1104" s="3" t="s">
        <v>12</v>
      </c>
      <c r="D1104" s="3" t="s">
        <v>9</v>
      </c>
      <c r="E1104" s="3" t="s">
        <v>70</v>
      </c>
      <c r="F1104" s="3">
        <v>1</v>
      </c>
      <c r="G1104" s="3">
        <v>5</v>
      </c>
      <c r="H1104" s="1">
        <f>VLOOKUP(D1104,products!A:D,4,FALSE)</f>
        <v>410000</v>
      </c>
      <c r="I1104" s="1" t="str">
        <f>VLOOKUP(C1104,branches!A:B,2,FALSE)</f>
        <v>Naija Mart Wuse</v>
      </c>
      <c r="J1104" s="1">
        <f t="shared" si="34"/>
        <v>389500</v>
      </c>
      <c r="K1104" s="1" t="str">
        <f>VLOOKUP(D1104,products!A:D,2,FALSE)</f>
        <v>Home Appliances</v>
      </c>
      <c r="L1104" s="1" t="str">
        <f t="shared" si="35"/>
        <v>Nov-2025</v>
      </c>
    </row>
    <row r="1105" spans="1:12" x14ac:dyDescent="0.25">
      <c r="A1105" s="3" t="s">
        <v>1353</v>
      </c>
      <c r="B1105" s="6">
        <v>45769</v>
      </c>
      <c r="C1105" s="3" t="s">
        <v>36</v>
      </c>
      <c r="D1105" s="3" t="s">
        <v>91</v>
      </c>
      <c r="E1105" s="3" t="s">
        <v>38</v>
      </c>
      <c r="F1105" s="3">
        <v>1</v>
      </c>
      <c r="G1105" s="3">
        <v>5</v>
      </c>
      <c r="H1105" s="1">
        <f>VLOOKUP(D1105,products!A:D,4,FALSE)</f>
        <v>5200</v>
      </c>
      <c r="I1105" s="1" t="str">
        <f>VLOOKUP(C1105,branches!A:B,2,FALSE)</f>
        <v>Naija Mart Sabon Gari</v>
      </c>
      <c r="J1105" s="1">
        <f t="shared" si="34"/>
        <v>4940</v>
      </c>
      <c r="K1105" s="1" t="str">
        <f>VLOOKUP(D1105,products!A:D,2,FALSE)</f>
        <v>Small Gadgets</v>
      </c>
      <c r="L1105" s="1" t="str">
        <f t="shared" si="35"/>
        <v>Apr-2025</v>
      </c>
    </row>
    <row r="1106" spans="1:12" x14ac:dyDescent="0.25">
      <c r="A1106" s="3" t="s">
        <v>1354</v>
      </c>
      <c r="B1106" s="6">
        <v>45783</v>
      </c>
      <c r="C1106" s="3" t="s">
        <v>16</v>
      </c>
      <c r="D1106" s="3" t="s">
        <v>56</v>
      </c>
      <c r="E1106" s="3" t="s">
        <v>322</v>
      </c>
      <c r="F1106" s="3">
        <v>2</v>
      </c>
      <c r="G1106" s="3">
        <v>0</v>
      </c>
      <c r="H1106" s="1">
        <f>VLOOKUP(D1106,products!A:D,4,FALSE)</f>
        <v>285000</v>
      </c>
      <c r="I1106" s="1" t="str">
        <f>VLOOKUP(C1106,branches!A:B,2,FALSE)</f>
        <v>Naija Mart Ikeja</v>
      </c>
      <c r="J1106" s="1">
        <f t="shared" si="34"/>
        <v>570000</v>
      </c>
      <c r="K1106" s="1" t="str">
        <f>VLOOKUP(D1106,products!A:D,2,FALSE)</f>
        <v>Home Appliances</v>
      </c>
      <c r="L1106" s="1" t="str">
        <f t="shared" si="35"/>
        <v>May-2025</v>
      </c>
    </row>
    <row r="1107" spans="1:12" x14ac:dyDescent="0.25">
      <c r="A1107" s="3" t="s">
        <v>1355</v>
      </c>
      <c r="B1107" s="6">
        <v>45942</v>
      </c>
      <c r="C1107" s="3" t="s">
        <v>12</v>
      </c>
      <c r="D1107" s="3" t="s">
        <v>126</v>
      </c>
      <c r="E1107" s="3" t="s">
        <v>29</v>
      </c>
      <c r="F1107" s="3">
        <v>2</v>
      </c>
      <c r="G1107" s="3">
        <v>20</v>
      </c>
      <c r="H1107" s="1">
        <f>VLOOKUP(D1107,products!A:D,4,FALSE)</f>
        <v>185000</v>
      </c>
      <c r="I1107" s="1" t="str">
        <f>VLOOKUP(C1107,branches!A:B,2,FALSE)</f>
        <v>Naija Mart Wuse</v>
      </c>
      <c r="J1107" s="1">
        <f t="shared" si="34"/>
        <v>296000</v>
      </c>
      <c r="K1107" s="1" t="str">
        <f>VLOOKUP(D1107,products!A:D,2,FALSE)</f>
        <v>Electronics</v>
      </c>
      <c r="L1107" s="1" t="str">
        <f t="shared" si="35"/>
        <v>Oct-2025</v>
      </c>
    </row>
    <row r="1108" spans="1:12" x14ac:dyDescent="0.25">
      <c r="A1108" s="3" t="s">
        <v>1356</v>
      </c>
      <c r="B1108" s="6">
        <v>45978</v>
      </c>
      <c r="C1108" s="3" t="s">
        <v>36</v>
      </c>
      <c r="D1108" s="3" t="s">
        <v>91</v>
      </c>
      <c r="E1108" s="3" t="s">
        <v>65</v>
      </c>
      <c r="F1108" s="3">
        <v>2</v>
      </c>
      <c r="G1108" s="3">
        <v>5</v>
      </c>
      <c r="H1108" s="1">
        <f>VLOOKUP(D1108,products!A:D,4,FALSE)</f>
        <v>5200</v>
      </c>
      <c r="I1108" s="1" t="str">
        <f>VLOOKUP(C1108,branches!A:B,2,FALSE)</f>
        <v>Naija Mart Sabon Gari</v>
      </c>
      <c r="J1108" s="1">
        <f t="shared" si="34"/>
        <v>9880</v>
      </c>
      <c r="K1108" s="1" t="str">
        <f>VLOOKUP(D1108,products!A:D,2,FALSE)</f>
        <v>Small Gadgets</v>
      </c>
      <c r="L1108" s="1" t="str">
        <f t="shared" si="35"/>
        <v>Nov-2025</v>
      </c>
    </row>
    <row r="1109" spans="1:12" x14ac:dyDescent="0.25">
      <c r="A1109" s="3" t="s">
        <v>1357</v>
      </c>
      <c r="B1109" s="6">
        <v>45936</v>
      </c>
      <c r="C1109" s="3" t="s">
        <v>12</v>
      </c>
      <c r="D1109" s="3" t="s">
        <v>17</v>
      </c>
      <c r="E1109" s="3" t="s">
        <v>147</v>
      </c>
      <c r="F1109" s="3">
        <v>1</v>
      </c>
      <c r="G1109" s="3">
        <v>25</v>
      </c>
      <c r="H1109" s="1">
        <f>VLOOKUP(D1109,products!A:D,4,FALSE)</f>
        <v>22000</v>
      </c>
      <c r="I1109" s="1" t="str">
        <f>VLOOKUP(C1109,branches!A:B,2,FALSE)</f>
        <v>Naija Mart Wuse</v>
      </c>
      <c r="J1109" s="1">
        <f t="shared" si="34"/>
        <v>16500</v>
      </c>
      <c r="K1109" s="1" t="str">
        <f>VLOOKUP(D1109,products!A:D,2,FALSE)</f>
        <v>Home Appliances</v>
      </c>
      <c r="L1109" s="1" t="str">
        <f t="shared" si="35"/>
        <v>Oct-2025</v>
      </c>
    </row>
    <row r="1110" spans="1:12" x14ac:dyDescent="0.25">
      <c r="A1110" s="3" t="s">
        <v>1358</v>
      </c>
      <c r="B1110" s="6">
        <v>45910</v>
      </c>
      <c r="C1110" s="3" t="s">
        <v>16</v>
      </c>
      <c r="D1110" s="3" t="s">
        <v>149</v>
      </c>
      <c r="E1110" s="3" t="s">
        <v>346</v>
      </c>
      <c r="F1110" s="3">
        <v>3</v>
      </c>
      <c r="G1110" s="3">
        <v>0</v>
      </c>
      <c r="H1110" s="1">
        <f>VLOOKUP(D1110,products!A:D,4,FALSE)</f>
        <v>6500</v>
      </c>
      <c r="I1110" s="1" t="str">
        <f>VLOOKUP(C1110,branches!A:B,2,FALSE)</f>
        <v>Naija Mart Ikeja</v>
      </c>
      <c r="J1110" s="1">
        <f t="shared" si="34"/>
        <v>19500</v>
      </c>
      <c r="K1110" s="1" t="str">
        <f>VLOOKUP(D1110,products!A:D,2,FALSE)</f>
        <v>Small Gadgets</v>
      </c>
      <c r="L1110" s="1" t="str">
        <f t="shared" si="35"/>
        <v>Sep-2025</v>
      </c>
    </row>
    <row r="1111" spans="1:12" x14ac:dyDescent="0.25">
      <c r="A1111" s="3" t="s">
        <v>1359</v>
      </c>
      <c r="B1111" s="6">
        <v>45748</v>
      </c>
      <c r="C1111" s="3" t="s">
        <v>16</v>
      </c>
      <c r="D1111" s="3" t="s">
        <v>37</v>
      </c>
      <c r="E1111" s="3" t="s">
        <v>186</v>
      </c>
      <c r="F1111" s="3">
        <v>1</v>
      </c>
      <c r="G1111" s="3">
        <v>0</v>
      </c>
      <c r="H1111" s="1">
        <f>VLOOKUP(D1111,products!A:D,4,FALSE)</f>
        <v>8500</v>
      </c>
      <c r="I1111" s="1" t="str">
        <f>VLOOKUP(C1111,branches!A:B,2,FALSE)</f>
        <v>Naija Mart Ikeja</v>
      </c>
      <c r="J1111" s="1">
        <f t="shared" si="34"/>
        <v>8500</v>
      </c>
      <c r="K1111" s="1" t="str">
        <f>VLOOKUP(D1111,products!A:D,2,FALSE)</f>
        <v>Small Gadgets</v>
      </c>
      <c r="L1111" s="1" t="str">
        <f t="shared" si="35"/>
        <v>Apr-2025</v>
      </c>
    </row>
    <row r="1112" spans="1:12" x14ac:dyDescent="0.25">
      <c r="A1112" s="3" t="s">
        <v>1360</v>
      </c>
      <c r="B1112" s="6">
        <v>45975</v>
      </c>
      <c r="C1112" s="3" t="s">
        <v>8</v>
      </c>
      <c r="D1112" s="3" t="s">
        <v>49</v>
      </c>
      <c r="E1112" s="3" t="s">
        <v>387</v>
      </c>
      <c r="F1112" s="3">
        <v>1</v>
      </c>
      <c r="G1112" s="3">
        <v>10</v>
      </c>
      <c r="H1112" s="1">
        <f>VLOOKUP(D1112,products!A:D,4,FALSE)</f>
        <v>28000</v>
      </c>
      <c r="I1112" s="1" t="str">
        <f>VLOOKUP(C1112,branches!A:B,2,FALSE)</f>
        <v>Naija Mart GRA</v>
      </c>
      <c r="J1112" s="1">
        <f t="shared" si="34"/>
        <v>25200</v>
      </c>
      <c r="K1112" s="1" t="str">
        <f>VLOOKUP(D1112,products!A:D,2,FALSE)</f>
        <v>Home Appliances</v>
      </c>
      <c r="L1112" s="1" t="str">
        <f t="shared" si="35"/>
        <v>Nov-2025</v>
      </c>
    </row>
    <row r="1113" spans="1:12" x14ac:dyDescent="0.25">
      <c r="A1113" s="3" t="s">
        <v>1361</v>
      </c>
      <c r="B1113" s="6">
        <v>45921</v>
      </c>
      <c r="C1113" s="3" t="s">
        <v>8</v>
      </c>
      <c r="D1113" s="3" t="s">
        <v>197</v>
      </c>
      <c r="E1113" s="3" t="s">
        <v>650</v>
      </c>
      <c r="F1113" s="3">
        <v>2</v>
      </c>
      <c r="G1113" s="3">
        <v>0</v>
      </c>
      <c r="H1113" s="1">
        <f>VLOOKUP(D1113,products!A:D,4,FALSE)</f>
        <v>78000</v>
      </c>
      <c r="I1113" s="1" t="str">
        <f>VLOOKUP(C1113,branches!A:B,2,FALSE)</f>
        <v>Naija Mart GRA</v>
      </c>
      <c r="J1113" s="1">
        <f t="shared" si="34"/>
        <v>156000</v>
      </c>
      <c r="K1113" s="1" t="str">
        <f>VLOOKUP(D1113,products!A:D,2,FALSE)</f>
        <v>Electronics</v>
      </c>
      <c r="L1113" s="1" t="str">
        <f t="shared" si="35"/>
        <v>Sep-2025</v>
      </c>
    </row>
    <row r="1114" spans="1:12" x14ac:dyDescent="0.25">
      <c r="A1114" s="3" t="s">
        <v>1362</v>
      </c>
      <c r="B1114" s="6">
        <v>45733</v>
      </c>
      <c r="C1114" s="3" t="s">
        <v>8</v>
      </c>
      <c r="D1114" s="3" t="s">
        <v>149</v>
      </c>
      <c r="E1114" s="3" t="s">
        <v>719</v>
      </c>
      <c r="F1114" s="3">
        <v>1</v>
      </c>
      <c r="G1114" s="3">
        <v>10</v>
      </c>
      <c r="H1114" s="1">
        <f>VLOOKUP(D1114,products!A:D,4,FALSE)</f>
        <v>6500</v>
      </c>
      <c r="I1114" s="1" t="str">
        <f>VLOOKUP(C1114,branches!A:B,2,FALSE)</f>
        <v>Naija Mart GRA</v>
      </c>
      <c r="J1114" s="1">
        <f t="shared" si="34"/>
        <v>5850</v>
      </c>
      <c r="K1114" s="1" t="str">
        <f>VLOOKUP(D1114,products!A:D,2,FALSE)</f>
        <v>Small Gadgets</v>
      </c>
      <c r="L1114" s="1" t="str">
        <f t="shared" si="35"/>
        <v>Mar-2025</v>
      </c>
    </row>
    <row r="1115" spans="1:12" x14ac:dyDescent="0.25">
      <c r="A1115" s="3" t="s">
        <v>1363</v>
      </c>
      <c r="B1115" s="6">
        <v>45964</v>
      </c>
      <c r="C1115" s="3" t="s">
        <v>16</v>
      </c>
      <c r="D1115" s="3" t="s">
        <v>69</v>
      </c>
      <c r="E1115" s="3" t="s">
        <v>284</v>
      </c>
      <c r="F1115" s="3">
        <v>1</v>
      </c>
      <c r="G1115" s="3">
        <v>20</v>
      </c>
      <c r="H1115" s="1">
        <f>VLOOKUP(D1115,products!A:D,4,FALSE)</f>
        <v>45000</v>
      </c>
      <c r="I1115" s="1" t="str">
        <f>VLOOKUP(C1115,branches!A:B,2,FALSE)</f>
        <v>Naija Mart Ikeja</v>
      </c>
      <c r="J1115" s="1">
        <f t="shared" si="34"/>
        <v>36000</v>
      </c>
      <c r="K1115" s="1" t="str">
        <f>VLOOKUP(D1115,products!A:D,2,FALSE)</f>
        <v>Electronics</v>
      </c>
      <c r="L1115" s="1" t="str">
        <f t="shared" si="35"/>
        <v>Nov-2025</v>
      </c>
    </row>
    <row r="1116" spans="1:12" x14ac:dyDescent="0.25">
      <c r="A1116" s="3" t="s">
        <v>1364</v>
      </c>
      <c r="B1116" s="6">
        <v>45853</v>
      </c>
      <c r="C1116" s="3" t="s">
        <v>16</v>
      </c>
      <c r="D1116" s="3" t="s">
        <v>23</v>
      </c>
      <c r="E1116" s="3" t="s">
        <v>230</v>
      </c>
      <c r="F1116" s="3">
        <v>3</v>
      </c>
      <c r="G1116" s="3">
        <v>10</v>
      </c>
      <c r="H1116" s="1">
        <f>VLOOKUP(D1116,products!A:D,4,FALSE)</f>
        <v>19500</v>
      </c>
      <c r="I1116" s="1" t="str">
        <f>VLOOKUP(C1116,branches!A:B,2,FALSE)</f>
        <v>Naija Mart Ikeja</v>
      </c>
      <c r="J1116" s="1">
        <f t="shared" si="34"/>
        <v>52650</v>
      </c>
      <c r="K1116" s="1" t="str">
        <f>VLOOKUP(D1116,products!A:D,2,FALSE)</f>
        <v>Home Appliances</v>
      </c>
      <c r="L1116" s="1" t="str">
        <f t="shared" si="35"/>
        <v>Jul-2025</v>
      </c>
    </row>
    <row r="1117" spans="1:12" x14ac:dyDescent="0.25">
      <c r="A1117" s="3" t="s">
        <v>1365</v>
      </c>
      <c r="B1117" s="6">
        <v>46003</v>
      </c>
      <c r="C1117" s="3" t="s">
        <v>16</v>
      </c>
      <c r="D1117" s="3" t="s">
        <v>94</v>
      </c>
      <c r="E1117" s="3" t="s">
        <v>618</v>
      </c>
      <c r="F1117" s="3">
        <v>1</v>
      </c>
      <c r="G1117" s="3">
        <v>5</v>
      </c>
      <c r="H1117" s="1">
        <f>VLOOKUP(D1117,products!A:D,4,FALSE)</f>
        <v>320000</v>
      </c>
      <c r="I1117" s="1" t="str">
        <f>VLOOKUP(C1117,branches!A:B,2,FALSE)</f>
        <v>Naija Mart Ikeja</v>
      </c>
      <c r="J1117" s="1">
        <f t="shared" si="34"/>
        <v>304000</v>
      </c>
      <c r="K1117" s="1" t="str">
        <f>VLOOKUP(D1117,products!A:D,2,FALSE)</f>
        <v>Electronics</v>
      </c>
      <c r="L1117" s="1" t="str">
        <f t="shared" si="35"/>
        <v>Dec-2025</v>
      </c>
    </row>
    <row r="1118" spans="1:12" x14ac:dyDescent="0.25">
      <c r="A1118" s="3" t="s">
        <v>1366</v>
      </c>
      <c r="B1118" s="6">
        <v>45730</v>
      </c>
      <c r="C1118" s="3" t="s">
        <v>16</v>
      </c>
      <c r="D1118" s="3" t="s">
        <v>23</v>
      </c>
      <c r="E1118" s="3" t="s">
        <v>184</v>
      </c>
      <c r="F1118" s="3">
        <v>1</v>
      </c>
      <c r="G1118" s="3">
        <v>0</v>
      </c>
      <c r="H1118" s="1">
        <f>VLOOKUP(D1118,products!A:D,4,FALSE)</f>
        <v>19500</v>
      </c>
      <c r="I1118" s="1" t="str">
        <f>VLOOKUP(C1118,branches!A:B,2,FALSE)</f>
        <v>Naija Mart Ikeja</v>
      </c>
      <c r="J1118" s="1">
        <f t="shared" si="34"/>
        <v>19500</v>
      </c>
      <c r="K1118" s="1" t="str">
        <f>VLOOKUP(D1118,products!A:D,2,FALSE)</f>
        <v>Home Appliances</v>
      </c>
      <c r="L1118" s="1" t="str">
        <f t="shared" si="35"/>
        <v>Mar-2025</v>
      </c>
    </row>
    <row r="1119" spans="1:12" x14ac:dyDescent="0.25">
      <c r="A1119" s="3" t="s">
        <v>1367</v>
      </c>
      <c r="B1119" s="6">
        <v>45693</v>
      </c>
      <c r="C1119" s="3" t="s">
        <v>36</v>
      </c>
      <c r="D1119" s="3" t="s">
        <v>59</v>
      </c>
      <c r="E1119" s="3" t="s">
        <v>38</v>
      </c>
      <c r="F1119" s="3">
        <v>1</v>
      </c>
      <c r="G1119" s="3">
        <v>20</v>
      </c>
      <c r="H1119" s="1">
        <f>VLOOKUP(D1119,products!A:D,4,FALSE)</f>
        <v>15000</v>
      </c>
      <c r="I1119" s="1" t="str">
        <f>VLOOKUP(C1119,branches!A:B,2,FALSE)</f>
        <v>Naija Mart Sabon Gari</v>
      </c>
      <c r="J1119" s="1">
        <f t="shared" si="34"/>
        <v>12000</v>
      </c>
      <c r="K1119" s="1" t="str">
        <f>VLOOKUP(D1119,products!A:D,2,FALSE)</f>
        <v>Home Appliances</v>
      </c>
      <c r="L1119" s="1" t="str">
        <f t="shared" si="35"/>
        <v>Feb-2025</v>
      </c>
    </row>
    <row r="1120" spans="1:12" x14ac:dyDescent="0.25">
      <c r="A1120" s="3" t="s">
        <v>1368</v>
      </c>
      <c r="B1120" s="6">
        <v>45792</v>
      </c>
      <c r="C1120" s="3" t="s">
        <v>12</v>
      </c>
      <c r="D1120" s="3" t="s">
        <v>23</v>
      </c>
      <c r="E1120" s="3" t="s">
        <v>778</v>
      </c>
      <c r="F1120" s="3">
        <v>1</v>
      </c>
      <c r="G1120" s="3">
        <v>25</v>
      </c>
      <c r="H1120" s="1">
        <f>VLOOKUP(D1120,products!A:D,4,FALSE)</f>
        <v>19500</v>
      </c>
      <c r="I1120" s="1" t="str">
        <f>VLOOKUP(C1120,branches!A:B,2,FALSE)</f>
        <v>Naija Mart Wuse</v>
      </c>
      <c r="J1120" s="1">
        <f t="shared" si="34"/>
        <v>14625</v>
      </c>
      <c r="K1120" s="1" t="str">
        <f>VLOOKUP(D1120,products!A:D,2,FALSE)</f>
        <v>Home Appliances</v>
      </c>
      <c r="L1120" s="1" t="str">
        <f t="shared" si="35"/>
        <v>May-2025</v>
      </c>
    </row>
    <row r="1121" spans="1:12" x14ac:dyDescent="0.25">
      <c r="A1121" s="3" t="s">
        <v>1369</v>
      </c>
      <c r="B1121" s="6">
        <v>45698</v>
      </c>
      <c r="C1121" s="3" t="s">
        <v>16</v>
      </c>
      <c r="D1121" s="3" t="s">
        <v>49</v>
      </c>
      <c r="E1121" s="3" t="s">
        <v>261</v>
      </c>
      <c r="F1121" s="3">
        <v>3</v>
      </c>
      <c r="G1121" s="3">
        <v>0</v>
      </c>
      <c r="H1121" s="1">
        <f>VLOOKUP(D1121,products!A:D,4,FALSE)</f>
        <v>28000</v>
      </c>
      <c r="I1121" s="1" t="str">
        <f>VLOOKUP(C1121,branches!A:B,2,FALSE)</f>
        <v>Naija Mart Ikeja</v>
      </c>
      <c r="J1121" s="1">
        <f t="shared" si="34"/>
        <v>84000</v>
      </c>
      <c r="K1121" s="1" t="str">
        <f>VLOOKUP(D1121,products!A:D,2,FALSE)</f>
        <v>Home Appliances</v>
      </c>
      <c r="L1121" s="1" t="str">
        <f t="shared" si="35"/>
        <v>Feb-2025</v>
      </c>
    </row>
    <row r="1122" spans="1:12" x14ac:dyDescent="0.25">
      <c r="A1122" s="3" t="s">
        <v>1370</v>
      </c>
      <c r="B1122" s="6">
        <v>45841</v>
      </c>
      <c r="C1122" s="3" t="s">
        <v>16</v>
      </c>
      <c r="D1122" s="3" t="s">
        <v>13</v>
      </c>
      <c r="E1122" s="3" t="s">
        <v>420</v>
      </c>
      <c r="F1122" s="3">
        <v>1</v>
      </c>
      <c r="G1122" s="3">
        <v>5</v>
      </c>
      <c r="H1122" s="1">
        <f>VLOOKUP(D1122,products!A:D,4,FALSE)</f>
        <v>24000</v>
      </c>
      <c r="I1122" s="1" t="str">
        <f>VLOOKUP(C1122,branches!A:B,2,FALSE)</f>
        <v>Naija Mart Ikeja</v>
      </c>
      <c r="J1122" s="1">
        <f t="shared" si="34"/>
        <v>22800</v>
      </c>
      <c r="K1122" s="1" t="str">
        <f>VLOOKUP(D1122,products!A:D,2,FALSE)</f>
        <v>Home Appliances</v>
      </c>
      <c r="L1122" s="1" t="str">
        <f t="shared" si="35"/>
        <v>Jul-2025</v>
      </c>
    </row>
    <row r="1123" spans="1:12" x14ac:dyDescent="0.25">
      <c r="A1123" s="3" t="s">
        <v>1371</v>
      </c>
      <c r="B1123" s="6">
        <v>45779</v>
      </c>
      <c r="C1123" s="3" t="s">
        <v>36</v>
      </c>
      <c r="D1123" s="3" t="s">
        <v>43</v>
      </c>
      <c r="E1123" s="3" t="s">
        <v>618</v>
      </c>
      <c r="F1123" s="3">
        <v>1</v>
      </c>
      <c r="G1123" s="3">
        <v>0</v>
      </c>
      <c r="H1123" s="1">
        <f>VLOOKUP(D1123,products!A:D,4,FALSE)</f>
        <v>74000</v>
      </c>
      <c r="I1123" s="1" t="str">
        <f>VLOOKUP(C1123,branches!A:B,2,FALSE)</f>
        <v>Naija Mart Sabon Gari</v>
      </c>
      <c r="J1123" s="1">
        <f t="shared" si="34"/>
        <v>74000</v>
      </c>
      <c r="K1123" s="1" t="str">
        <f>VLOOKUP(D1123,products!A:D,2,FALSE)</f>
        <v>Home Appliances</v>
      </c>
      <c r="L1123" s="1" t="str">
        <f t="shared" si="35"/>
        <v>May-2025</v>
      </c>
    </row>
    <row r="1124" spans="1:12" x14ac:dyDescent="0.25">
      <c r="A1124" s="3" t="s">
        <v>1372</v>
      </c>
      <c r="B1124" s="6">
        <v>45895</v>
      </c>
      <c r="C1124" s="3" t="s">
        <v>16</v>
      </c>
      <c r="D1124" s="3" t="s">
        <v>126</v>
      </c>
      <c r="E1124" s="3" t="s">
        <v>186</v>
      </c>
      <c r="F1124" s="3">
        <v>1</v>
      </c>
      <c r="G1124" s="3">
        <v>0</v>
      </c>
      <c r="H1124" s="1">
        <f>VLOOKUP(D1124,products!A:D,4,FALSE)</f>
        <v>185000</v>
      </c>
      <c r="I1124" s="1" t="str">
        <f>VLOOKUP(C1124,branches!A:B,2,FALSE)</f>
        <v>Naija Mart Ikeja</v>
      </c>
      <c r="J1124" s="1">
        <f t="shared" si="34"/>
        <v>185000</v>
      </c>
      <c r="K1124" s="1" t="str">
        <f>VLOOKUP(D1124,products!A:D,2,FALSE)</f>
        <v>Electronics</v>
      </c>
      <c r="L1124" s="1" t="str">
        <f t="shared" si="35"/>
        <v>Aug-2025</v>
      </c>
    </row>
    <row r="1125" spans="1:12" x14ac:dyDescent="0.25">
      <c r="A1125" s="3" t="s">
        <v>1373</v>
      </c>
      <c r="B1125" s="6">
        <v>45731</v>
      </c>
      <c r="C1125" s="3" t="s">
        <v>16</v>
      </c>
      <c r="D1125" s="3" t="s">
        <v>51</v>
      </c>
      <c r="E1125" s="3" t="s">
        <v>134</v>
      </c>
      <c r="F1125" s="3">
        <v>1</v>
      </c>
      <c r="G1125" s="3">
        <v>20</v>
      </c>
      <c r="H1125" s="1">
        <f>VLOOKUP(D1125,products!A:D,4,FALSE)</f>
        <v>18000</v>
      </c>
      <c r="I1125" s="1" t="str">
        <f>VLOOKUP(C1125,branches!A:B,2,FALSE)</f>
        <v>Naija Mart Ikeja</v>
      </c>
      <c r="J1125" s="1">
        <f t="shared" si="34"/>
        <v>14400</v>
      </c>
      <c r="K1125" s="1" t="str">
        <f>VLOOKUP(D1125,products!A:D,2,FALSE)</f>
        <v>Small Gadgets</v>
      </c>
      <c r="L1125" s="1" t="str">
        <f t="shared" si="35"/>
        <v>Mar-2025</v>
      </c>
    </row>
    <row r="1126" spans="1:12" x14ac:dyDescent="0.25">
      <c r="A1126" s="3" t="s">
        <v>1374</v>
      </c>
      <c r="B1126" s="6">
        <v>45681</v>
      </c>
      <c r="C1126" s="3" t="s">
        <v>16</v>
      </c>
      <c r="D1126" s="3" t="s">
        <v>149</v>
      </c>
      <c r="E1126" s="3" t="s">
        <v>62</v>
      </c>
      <c r="F1126" s="3">
        <v>1</v>
      </c>
      <c r="G1126" s="3">
        <v>0</v>
      </c>
      <c r="H1126" s="1">
        <f>VLOOKUP(D1126,products!A:D,4,FALSE)</f>
        <v>6500</v>
      </c>
      <c r="I1126" s="1" t="str">
        <f>VLOOKUP(C1126,branches!A:B,2,FALSE)</f>
        <v>Naija Mart Ikeja</v>
      </c>
      <c r="J1126" s="1">
        <f t="shared" si="34"/>
        <v>6500</v>
      </c>
      <c r="K1126" s="1" t="str">
        <f>VLOOKUP(D1126,products!A:D,2,FALSE)</f>
        <v>Small Gadgets</v>
      </c>
      <c r="L1126" s="1" t="str">
        <f t="shared" si="35"/>
        <v>Jan-2025</v>
      </c>
    </row>
    <row r="1127" spans="1:12" x14ac:dyDescent="0.25">
      <c r="A1127" s="3" t="s">
        <v>1375</v>
      </c>
      <c r="B1127" s="6">
        <v>45762</v>
      </c>
      <c r="C1127" s="3" t="s">
        <v>8</v>
      </c>
      <c r="D1127" s="3" t="s">
        <v>43</v>
      </c>
      <c r="E1127" s="3" t="s">
        <v>809</v>
      </c>
      <c r="F1127" s="3">
        <v>1</v>
      </c>
      <c r="G1127" s="3">
        <v>0</v>
      </c>
      <c r="H1127" s="1">
        <f>VLOOKUP(D1127,products!A:D,4,FALSE)</f>
        <v>74000</v>
      </c>
      <c r="I1127" s="1" t="str">
        <f>VLOOKUP(C1127,branches!A:B,2,FALSE)</f>
        <v>Naija Mart GRA</v>
      </c>
      <c r="J1127" s="1">
        <f t="shared" si="34"/>
        <v>74000</v>
      </c>
      <c r="K1127" s="1" t="str">
        <f>VLOOKUP(D1127,products!A:D,2,FALSE)</f>
        <v>Home Appliances</v>
      </c>
      <c r="L1127" s="1" t="str">
        <f t="shared" si="35"/>
        <v>Apr-2025</v>
      </c>
    </row>
    <row r="1128" spans="1:12" x14ac:dyDescent="0.25">
      <c r="A1128" s="3" t="s">
        <v>1376</v>
      </c>
      <c r="B1128" s="6">
        <v>45689</v>
      </c>
      <c r="C1128" s="3" t="s">
        <v>12</v>
      </c>
      <c r="D1128" s="3" t="s">
        <v>13</v>
      </c>
      <c r="E1128" s="3" t="s">
        <v>297</v>
      </c>
      <c r="F1128" s="3">
        <v>1</v>
      </c>
      <c r="G1128" s="3">
        <v>0</v>
      </c>
      <c r="H1128" s="1">
        <f>VLOOKUP(D1128,products!A:D,4,FALSE)</f>
        <v>24000</v>
      </c>
      <c r="I1128" s="1" t="str">
        <f>VLOOKUP(C1128,branches!A:B,2,FALSE)</f>
        <v>Naija Mart Wuse</v>
      </c>
      <c r="J1128" s="1">
        <f t="shared" si="34"/>
        <v>24000</v>
      </c>
      <c r="K1128" s="1" t="str">
        <f>VLOOKUP(D1128,products!A:D,2,FALSE)</f>
        <v>Home Appliances</v>
      </c>
      <c r="L1128" s="1" t="str">
        <f t="shared" si="35"/>
        <v>Feb-2025</v>
      </c>
    </row>
    <row r="1129" spans="1:12" x14ac:dyDescent="0.25">
      <c r="A1129" s="3" t="s">
        <v>1377</v>
      </c>
      <c r="B1129" s="6">
        <v>45752</v>
      </c>
      <c r="C1129" s="3" t="s">
        <v>16</v>
      </c>
      <c r="D1129" s="3" t="s">
        <v>197</v>
      </c>
      <c r="E1129" s="3" t="s">
        <v>74</v>
      </c>
      <c r="F1129" s="3">
        <v>1</v>
      </c>
      <c r="G1129" s="3">
        <v>10</v>
      </c>
      <c r="H1129" s="1">
        <f>VLOOKUP(D1129,products!A:D,4,FALSE)</f>
        <v>78000</v>
      </c>
      <c r="I1129" s="1" t="str">
        <f>VLOOKUP(C1129,branches!A:B,2,FALSE)</f>
        <v>Naija Mart Ikeja</v>
      </c>
      <c r="J1129" s="1">
        <f t="shared" si="34"/>
        <v>70200</v>
      </c>
      <c r="K1129" s="1" t="str">
        <f>VLOOKUP(D1129,products!A:D,2,FALSE)</f>
        <v>Electronics</v>
      </c>
      <c r="L1129" s="1" t="str">
        <f t="shared" si="35"/>
        <v>Apr-2025</v>
      </c>
    </row>
    <row r="1130" spans="1:12" x14ac:dyDescent="0.25">
      <c r="A1130" s="3" t="s">
        <v>1378</v>
      </c>
      <c r="B1130" s="6">
        <v>45697</v>
      </c>
      <c r="C1130" s="3" t="s">
        <v>16</v>
      </c>
      <c r="D1130" s="3" t="s">
        <v>26</v>
      </c>
      <c r="E1130" s="3" t="s">
        <v>65</v>
      </c>
      <c r="F1130" s="3">
        <v>2</v>
      </c>
      <c r="G1130" s="3">
        <v>5</v>
      </c>
      <c r="H1130" s="1">
        <f>VLOOKUP(D1130,products!A:D,4,FALSE)</f>
        <v>145000</v>
      </c>
      <c r="I1130" s="1" t="str">
        <f>VLOOKUP(C1130,branches!A:B,2,FALSE)</f>
        <v>Naija Mart Ikeja</v>
      </c>
      <c r="J1130" s="1">
        <f t="shared" si="34"/>
        <v>275500</v>
      </c>
      <c r="K1130" s="1" t="str">
        <f>VLOOKUP(D1130,products!A:D,2,FALSE)</f>
        <v>Electronics</v>
      </c>
      <c r="L1130" s="1" t="str">
        <f t="shared" si="35"/>
        <v>Feb-2025</v>
      </c>
    </row>
    <row r="1131" spans="1:12" x14ac:dyDescent="0.25">
      <c r="A1131" s="3" t="s">
        <v>1379</v>
      </c>
      <c r="B1131" s="6">
        <v>45782</v>
      </c>
      <c r="C1131" s="3" t="s">
        <v>12</v>
      </c>
      <c r="D1131" s="3" t="s">
        <v>69</v>
      </c>
      <c r="E1131" s="3" t="s">
        <v>324</v>
      </c>
      <c r="F1131" s="3">
        <v>2</v>
      </c>
      <c r="G1131" s="3">
        <v>10</v>
      </c>
      <c r="H1131" s="1">
        <f>VLOOKUP(D1131,products!A:D,4,FALSE)</f>
        <v>45000</v>
      </c>
      <c r="I1131" s="1" t="str">
        <f>VLOOKUP(C1131,branches!A:B,2,FALSE)</f>
        <v>Naija Mart Wuse</v>
      </c>
      <c r="J1131" s="1">
        <f t="shared" si="34"/>
        <v>81000</v>
      </c>
      <c r="K1131" s="1" t="str">
        <f>VLOOKUP(D1131,products!A:D,2,FALSE)</f>
        <v>Electronics</v>
      </c>
      <c r="L1131" s="1" t="str">
        <f t="shared" si="35"/>
        <v>May-2025</v>
      </c>
    </row>
    <row r="1132" spans="1:12" x14ac:dyDescent="0.25">
      <c r="A1132" s="3" t="s">
        <v>1380</v>
      </c>
      <c r="B1132" s="6">
        <v>45731</v>
      </c>
      <c r="C1132" s="3" t="s">
        <v>12</v>
      </c>
      <c r="D1132" s="3" t="s">
        <v>258</v>
      </c>
      <c r="E1132" s="3" t="s">
        <v>623</v>
      </c>
      <c r="F1132" s="3">
        <v>1</v>
      </c>
      <c r="G1132" s="3">
        <v>0</v>
      </c>
      <c r="H1132" s="1">
        <f>VLOOKUP(D1132,products!A:D,4,FALSE)</f>
        <v>95000</v>
      </c>
      <c r="I1132" s="1" t="str">
        <f>VLOOKUP(C1132,branches!A:B,2,FALSE)</f>
        <v>Naija Mart Wuse</v>
      </c>
      <c r="J1132" s="1">
        <f t="shared" si="34"/>
        <v>95000</v>
      </c>
      <c r="K1132" s="1" t="str">
        <f>VLOOKUP(D1132,products!A:D,2,FALSE)</f>
        <v>Electronics</v>
      </c>
      <c r="L1132" s="1" t="str">
        <f t="shared" si="35"/>
        <v>Mar-2025</v>
      </c>
    </row>
    <row r="1133" spans="1:12" x14ac:dyDescent="0.25">
      <c r="A1133" s="3" t="s">
        <v>1381</v>
      </c>
      <c r="B1133" s="6">
        <v>45942</v>
      </c>
      <c r="C1133" s="3" t="s">
        <v>16</v>
      </c>
      <c r="D1133" s="3" t="s">
        <v>59</v>
      </c>
      <c r="E1133" s="3" t="s">
        <v>637</v>
      </c>
      <c r="F1133" s="3">
        <v>1</v>
      </c>
      <c r="G1133" s="3">
        <v>10</v>
      </c>
      <c r="H1133" s="1">
        <f>VLOOKUP(D1133,products!A:D,4,FALSE)</f>
        <v>15000</v>
      </c>
      <c r="I1133" s="1" t="str">
        <f>VLOOKUP(C1133,branches!A:B,2,FALSE)</f>
        <v>Naija Mart Ikeja</v>
      </c>
      <c r="J1133" s="1">
        <f t="shared" si="34"/>
        <v>13500</v>
      </c>
      <c r="K1133" s="1" t="str">
        <f>VLOOKUP(D1133,products!A:D,2,FALSE)</f>
        <v>Home Appliances</v>
      </c>
      <c r="L1133" s="1" t="str">
        <f t="shared" si="35"/>
        <v>Oct-2025</v>
      </c>
    </row>
    <row r="1134" spans="1:12" x14ac:dyDescent="0.25">
      <c r="A1134" s="3" t="s">
        <v>1382</v>
      </c>
      <c r="B1134" s="6">
        <v>45772</v>
      </c>
      <c r="C1134" s="3" t="s">
        <v>16</v>
      </c>
      <c r="D1134" s="3" t="s">
        <v>59</v>
      </c>
      <c r="E1134" s="3" t="s">
        <v>893</v>
      </c>
      <c r="F1134" s="3">
        <v>1</v>
      </c>
      <c r="G1134" s="3">
        <v>20</v>
      </c>
      <c r="H1134" s="1">
        <f>VLOOKUP(D1134,products!A:D,4,FALSE)</f>
        <v>15000</v>
      </c>
      <c r="I1134" s="1" t="str">
        <f>VLOOKUP(C1134,branches!A:B,2,FALSE)</f>
        <v>Naija Mart Ikeja</v>
      </c>
      <c r="J1134" s="1">
        <f t="shared" si="34"/>
        <v>12000</v>
      </c>
      <c r="K1134" s="1" t="str">
        <f>VLOOKUP(D1134,products!A:D,2,FALSE)</f>
        <v>Home Appliances</v>
      </c>
      <c r="L1134" s="1" t="str">
        <f t="shared" si="35"/>
        <v>Apr-2025</v>
      </c>
    </row>
    <row r="1135" spans="1:12" x14ac:dyDescent="0.25">
      <c r="A1135" s="3" t="s">
        <v>1383</v>
      </c>
      <c r="B1135" s="6">
        <v>46019</v>
      </c>
      <c r="C1135" s="3" t="s">
        <v>36</v>
      </c>
      <c r="D1135" s="3" t="s">
        <v>97</v>
      </c>
      <c r="E1135" s="3" t="s">
        <v>367</v>
      </c>
      <c r="F1135" s="3">
        <v>1</v>
      </c>
      <c r="G1135" s="3">
        <v>10</v>
      </c>
      <c r="H1135" s="1">
        <f>VLOOKUP(D1135,products!A:D,4,FALSE)</f>
        <v>21000</v>
      </c>
      <c r="I1135" s="1" t="str">
        <f>VLOOKUP(C1135,branches!A:B,2,FALSE)</f>
        <v>Naija Mart Sabon Gari</v>
      </c>
      <c r="J1135" s="1">
        <f t="shared" si="34"/>
        <v>18900</v>
      </c>
      <c r="K1135" s="1" t="str">
        <f>VLOOKUP(D1135,products!A:D,2,FALSE)</f>
        <v>Small Gadgets</v>
      </c>
      <c r="L1135" s="1" t="str">
        <f t="shared" si="35"/>
        <v>Dec-2025</v>
      </c>
    </row>
    <row r="1136" spans="1:12" x14ac:dyDescent="0.25">
      <c r="A1136" s="3" t="s">
        <v>1384</v>
      </c>
      <c r="B1136" s="6">
        <v>45978</v>
      </c>
      <c r="C1136" s="3" t="s">
        <v>16</v>
      </c>
      <c r="D1136" s="3" t="s">
        <v>80</v>
      </c>
      <c r="E1136" s="3" t="s">
        <v>415</v>
      </c>
      <c r="F1136" s="3">
        <v>1</v>
      </c>
      <c r="G1136" s="3">
        <v>5</v>
      </c>
      <c r="H1136" s="1">
        <f>VLOOKUP(D1136,products!A:D,4,FALSE)</f>
        <v>265000</v>
      </c>
      <c r="I1136" s="1" t="str">
        <f>VLOOKUP(C1136,branches!A:B,2,FALSE)</f>
        <v>Naija Mart Ikeja</v>
      </c>
      <c r="J1136" s="1">
        <f t="shared" si="34"/>
        <v>251750</v>
      </c>
      <c r="K1136" s="1" t="str">
        <f>VLOOKUP(D1136,products!A:D,2,FALSE)</f>
        <v>Home Appliances</v>
      </c>
      <c r="L1136" s="1" t="str">
        <f t="shared" si="35"/>
        <v>Nov-2025</v>
      </c>
    </row>
    <row r="1137" spans="1:12" x14ac:dyDescent="0.25">
      <c r="A1137" s="3" t="s">
        <v>1385</v>
      </c>
      <c r="B1137" s="6">
        <v>45895</v>
      </c>
      <c r="C1137" s="3" t="s">
        <v>16</v>
      </c>
      <c r="D1137" s="3" t="s">
        <v>17</v>
      </c>
      <c r="E1137" s="3" t="s">
        <v>60</v>
      </c>
      <c r="F1137" s="3">
        <v>1</v>
      </c>
      <c r="G1137" s="3">
        <v>10</v>
      </c>
      <c r="H1137" s="1">
        <f>VLOOKUP(D1137,products!A:D,4,FALSE)</f>
        <v>22000</v>
      </c>
      <c r="I1137" s="1" t="str">
        <f>VLOOKUP(C1137,branches!A:B,2,FALSE)</f>
        <v>Naija Mart Ikeja</v>
      </c>
      <c r="J1137" s="1">
        <f t="shared" si="34"/>
        <v>19800</v>
      </c>
      <c r="K1137" s="1" t="str">
        <f>VLOOKUP(D1137,products!A:D,2,FALSE)</f>
        <v>Home Appliances</v>
      </c>
      <c r="L1137" s="1" t="str">
        <f t="shared" si="35"/>
        <v>Aug-2025</v>
      </c>
    </row>
    <row r="1138" spans="1:12" x14ac:dyDescent="0.25">
      <c r="A1138" s="3" t="s">
        <v>1386</v>
      </c>
      <c r="B1138" s="6">
        <v>45708</v>
      </c>
      <c r="C1138" s="3" t="s">
        <v>16</v>
      </c>
      <c r="D1138" s="3" t="s">
        <v>46</v>
      </c>
      <c r="E1138" s="3" t="s">
        <v>715</v>
      </c>
      <c r="F1138" s="3">
        <v>1</v>
      </c>
      <c r="G1138" s="3">
        <v>0</v>
      </c>
      <c r="H1138" s="1">
        <f>VLOOKUP(D1138,products!A:D,4,FALSE)</f>
        <v>62000</v>
      </c>
      <c r="I1138" s="1" t="str">
        <f>VLOOKUP(C1138,branches!A:B,2,FALSE)</f>
        <v>Naija Mart Ikeja</v>
      </c>
      <c r="J1138" s="1">
        <f t="shared" si="34"/>
        <v>62000</v>
      </c>
      <c r="K1138" s="1" t="str">
        <f>VLOOKUP(D1138,products!A:D,2,FALSE)</f>
        <v>Home Appliances</v>
      </c>
      <c r="L1138" s="1" t="str">
        <f t="shared" si="35"/>
        <v>Feb-2025</v>
      </c>
    </row>
    <row r="1139" spans="1:12" x14ac:dyDescent="0.25">
      <c r="A1139" s="3" t="s">
        <v>1387</v>
      </c>
      <c r="B1139" s="6">
        <v>45766</v>
      </c>
      <c r="C1139" s="3" t="s">
        <v>12</v>
      </c>
      <c r="D1139" s="3" t="s">
        <v>197</v>
      </c>
      <c r="E1139" s="3" t="s">
        <v>743</v>
      </c>
      <c r="F1139" s="3">
        <v>1</v>
      </c>
      <c r="G1139" s="3">
        <v>0</v>
      </c>
      <c r="H1139" s="1">
        <f>VLOOKUP(D1139,products!A:D,4,FALSE)</f>
        <v>78000</v>
      </c>
      <c r="I1139" s="1" t="str">
        <f>VLOOKUP(C1139,branches!A:B,2,FALSE)</f>
        <v>Naija Mart Wuse</v>
      </c>
      <c r="J1139" s="1">
        <f t="shared" si="34"/>
        <v>78000</v>
      </c>
      <c r="K1139" s="1" t="str">
        <f>VLOOKUP(D1139,products!A:D,2,FALSE)</f>
        <v>Electronics</v>
      </c>
      <c r="L1139" s="1" t="str">
        <f t="shared" si="35"/>
        <v>Apr-2025</v>
      </c>
    </row>
    <row r="1140" spans="1:12" x14ac:dyDescent="0.25">
      <c r="A1140" s="3" t="s">
        <v>1388</v>
      </c>
      <c r="B1140" s="6">
        <v>45758</v>
      </c>
      <c r="C1140" s="3" t="s">
        <v>16</v>
      </c>
      <c r="D1140" s="3" t="s">
        <v>33</v>
      </c>
      <c r="E1140" s="3" t="s">
        <v>398</v>
      </c>
      <c r="F1140" s="3">
        <v>1</v>
      </c>
      <c r="G1140" s="3">
        <v>10</v>
      </c>
      <c r="H1140" s="1">
        <f>VLOOKUP(D1140,products!A:D,4,FALSE)</f>
        <v>245000</v>
      </c>
      <c r="I1140" s="1" t="str">
        <f>VLOOKUP(C1140,branches!A:B,2,FALSE)</f>
        <v>Naija Mart Ikeja</v>
      </c>
      <c r="J1140" s="1">
        <f t="shared" si="34"/>
        <v>220500</v>
      </c>
      <c r="K1140" s="1" t="str">
        <f>VLOOKUP(D1140,products!A:D,2,FALSE)</f>
        <v>Generators &amp; Power</v>
      </c>
      <c r="L1140" s="1" t="str">
        <f t="shared" si="35"/>
        <v>Apr-2025</v>
      </c>
    </row>
    <row r="1141" spans="1:12" x14ac:dyDescent="0.25">
      <c r="A1141" s="3" t="s">
        <v>1389</v>
      </c>
      <c r="B1141" s="6">
        <v>45925</v>
      </c>
      <c r="C1141" s="3" t="s">
        <v>8</v>
      </c>
      <c r="D1141" s="3" t="s">
        <v>23</v>
      </c>
      <c r="E1141" s="3" t="s">
        <v>295</v>
      </c>
      <c r="F1141" s="3">
        <v>2</v>
      </c>
      <c r="G1141" s="3">
        <v>20</v>
      </c>
      <c r="H1141" s="1">
        <f>VLOOKUP(D1141,products!A:D,4,FALSE)</f>
        <v>19500</v>
      </c>
      <c r="I1141" s="1" t="str">
        <f>VLOOKUP(C1141,branches!A:B,2,FALSE)</f>
        <v>Naija Mart GRA</v>
      </c>
      <c r="J1141" s="1">
        <f t="shared" si="34"/>
        <v>31200</v>
      </c>
      <c r="K1141" s="1" t="str">
        <f>VLOOKUP(D1141,products!A:D,2,FALSE)</f>
        <v>Home Appliances</v>
      </c>
      <c r="L1141" s="1" t="str">
        <f t="shared" si="35"/>
        <v>Sep-2025</v>
      </c>
    </row>
    <row r="1142" spans="1:12" x14ac:dyDescent="0.25">
      <c r="A1142" s="3" t="s">
        <v>1390</v>
      </c>
      <c r="B1142" s="6">
        <v>45674</v>
      </c>
      <c r="C1142" s="3" t="s">
        <v>16</v>
      </c>
      <c r="D1142" s="3" t="s">
        <v>13</v>
      </c>
      <c r="E1142" s="3" t="s">
        <v>335</v>
      </c>
      <c r="F1142" s="3">
        <v>1</v>
      </c>
      <c r="G1142" s="3">
        <v>10</v>
      </c>
      <c r="H1142" s="1">
        <f>VLOOKUP(D1142,products!A:D,4,FALSE)</f>
        <v>24000</v>
      </c>
      <c r="I1142" s="1" t="str">
        <f>VLOOKUP(C1142,branches!A:B,2,FALSE)</f>
        <v>Naija Mart Ikeja</v>
      </c>
      <c r="J1142" s="1">
        <f t="shared" si="34"/>
        <v>21600</v>
      </c>
      <c r="K1142" s="1" t="str">
        <f>VLOOKUP(D1142,products!A:D,2,FALSE)</f>
        <v>Home Appliances</v>
      </c>
      <c r="L1142" s="1" t="str">
        <f t="shared" si="35"/>
        <v>Jan-2025</v>
      </c>
    </row>
    <row r="1143" spans="1:12" x14ac:dyDescent="0.25">
      <c r="A1143" s="3" t="s">
        <v>1391</v>
      </c>
      <c r="B1143" s="6">
        <v>45802</v>
      </c>
      <c r="C1143" s="3" t="s">
        <v>12</v>
      </c>
      <c r="D1143" s="3" t="s">
        <v>37</v>
      </c>
      <c r="E1143" s="3" t="s">
        <v>102</v>
      </c>
      <c r="F1143" s="3">
        <v>2</v>
      </c>
      <c r="G1143" s="3">
        <v>0</v>
      </c>
      <c r="H1143" s="1">
        <f>VLOOKUP(D1143,products!A:D,4,FALSE)</f>
        <v>8500</v>
      </c>
      <c r="I1143" s="1" t="str">
        <f>VLOOKUP(C1143,branches!A:B,2,FALSE)</f>
        <v>Naija Mart Wuse</v>
      </c>
      <c r="J1143" s="1">
        <f t="shared" si="34"/>
        <v>17000</v>
      </c>
      <c r="K1143" s="1" t="str">
        <f>VLOOKUP(D1143,products!A:D,2,FALSE)</f>
        <v>Small Gadgets</v>
      </c>
      <c r="L1143" s="1" t="str">
        <f t="shared" si="35"/>
        <v>May-2025</v>
      </c>
    </row>
    <row r="1144" spans="1:12" x14ac:dyDescent="0.25">
      <c r="A1144" s="3" t="s">
        <v>1392</v>
      </c>
      <c r="B1144" s="6">
        <v>45972</v>
      </c>
      <c r="C1144" s="3" t="s">
        <v>12</v>
      </c>
      <c r="D1144" s="3" t="s">
        <v>51</v>
      </c>
      <c r="E1144" s="3" t="s">
        <v>153</v>
      </c>
      <c r="F1144" s="3">
        <v>1</v>
      </c>
      <c r="G1144" s="3">
        <v>0</v>
      </c>
      <c r="H1144" s="1">
        <f>VLOOKUP(D1144,products!A:D,4,FALSE)</f>
        <v>18000</v>
      </c>
      <c r="I1144" s="1" t="str">
        <f>VLOOKUP(C1144,branches!A:B,2,FALSE)</f>
        <v>Naija Mart Wuse</v>
      </c>
      <c r="J1144" s="1">
        <f t="shared" si="34"/>
        <v>18000</v>
      </c>
      <c r="K1144" s="1" t="str">
        <f>VLOOKUP(D1144,products!A:D,2,FALSE)</f>
        <v>Small Gadgets</v>
      </c>
      <c r="L1144" s="1" t="str">
        <f t="shared" si="35"/>
        <v>Nov-2025</v>
      </c>
    </row>
    <row r="1145" spans="1:12" x14ac:dyDescent="0.25">
      <c r="A1145" s="3" t="s">
        <v>1393</v>
      </c>
      <c r="B1145" s="6">
        <v>45916</v>
      </c>
      <c r="C1145" s="3" t="s">
        <v>12</v>
      </c>
      <c r="D1145" s="3" t="s">
        <v>51</v>
      </c>
      <c r="E1145" s="3" t="s">
        <v>461</v>
      </c>
      <c r="F1145" s="3">
        <v>5</v>
      </c>
      <c r="G1145" s="3">
        <v>0</v>
      </c>
      <c r="H1145" s="1">
        <f>VLOOKUP(D1145,products!A:D,4,FALSE)</f>
        <v>18000</v>
      </c>
      <c r="I1145" s="1" t="str">
        <f>VLOOKUP(C1145,branches!A:B,2,FALSE)</f>
        <v>Naija Mart Wuse</v>
      </c>
      <c r="J1145" s="1">
        <f t="shared" si="34"/>
        <v>90000</v>
      </c>
      <c r="K1145" s="1" t="str">
        <f>VLOOKUP(D1145,products!A:D,2,FALSE)</f>
        <v>Small Gadgets</v>
      </c>
      <c r="L1145" s="1" t="str">
        <f t="shared" si="35"/>
        <v>Sep-2025</v>
      </c>
    </row>
    <row r="1146" spans="1:12" x14ac:dyDescent="0.25">
      <c r="A1146" s="3" t="s">
        <v>1394</v>
      </c>
      <c r="B1146" s="6">
        <v>46019</v>
      </c>
      <c r="C1146" s="3" t="s">
        <v>12</v>
      </c>
      <c r="D1146" s="3" t="s">
        <v>26</v>
      </c>
      <c r="E1146" s="3" t="s">
        <v>38</v>
      </c>
      <c r="F1146" s="3">
        <v>1</v>
      </c>
      <c r="G1146" s="3">
        <v>10</v>
      </c>
      <c r="H1146" s="1">
        <f>VLOOKUP(D1146,products!A:D,4,FALSE)</f>
        <v>145000</v>
      </c>
      <c r="I1146" s="1" t="str">
        <f>VLOOKUP(C1146,branches!A:B,2,FALSE)</f>
        <v>Naija Mart Wuse</v>
      </c>
      <c r="J1146" s="1">
        <f t="shared" si="34"/>
        <v>130500</v>
      </c>
      <c r="K1146" s="1" t="str">
        <f>VLOOKUP(D1146,products!A:D,2,FALSE)</f>
        <v>Electronics</v>
      </c>
      <c r="L1146" s="1" t="str">
        <f t="shared" si="35"/>
        <v>Dec-2025</v>
      </c>
    </row>
    <row r="1147" spans="1:12" x14ac:dyDescent="0.25">
      <c r="A1147" s="3" t="s">
        <v>1395</v>
      </c>
      <c r="B1147" s="6">
        <v>45977</v>
      </c>
      <c r="C1147" s="3" t="s">
        <v>8</v>
      </c>
      <c r="D1147" s="3" t="s">
        <v>258</v>
      </c>
      <c r="E1147" s="3" t="s">
        <v>34</v>
      </c>
      <c r="F1147" s="3">
        <v>1</v>
      </c>
      <c r="G1147" s="3">
        <v>0</v>
      </c>
      <c r="H1147" s="1">
        <f>VLOOKUP(D1147,products!A:D,4,FALSE)</f>
        <v>95000</v>
      </c>
      <c r="I1147" s="1" t="str">
        <f>VLOOKUP(C1147,branches!A:B,2,FALSE)</f>
        <v>Naija Mart GRA</v>
      </c>
      <c r="J1147" s="1">
        <f t="shared" si="34"/>
        <v>95000</v>
      </c>
      <c r="K1147" s="1" t="str">
        <f>VLOOKUP(D1147,products!A:D,2,FALSE)</f>
        <v>Electronics</v>
      </c>
      <c r="L1147" s="1" t="str">
        <f t="shared" si="35"/>
        <v>Nov-2025</v>
      </c>
    </row>
    <row r="1148" spans="1:12" x14ac:dyDescent="0.25">
      <c r="A1148" s="3" t="s">
        <v>1396</v>
      </c>
      <c r="B1148" s="6">
        <v>45700</v>
      </c>
      <c r="C1148" s="3" t="s">
        <v>8</v>
      </c>
      <c r="D1148" s="3" t="s">
        <v>126</v>
      </c>
      <c r="E1148" s="3" t="s">
        <v>428</v>
      </c>
      <c r="F1148" s="3">
        <v>3</v>
      </c>
      <c r="G1148" s="3">
        <v>10</v>
      </c>
      <c r="H1148" s="1">
        <f>VLOOKUP(D1148,products!A:D,4,FALSE)</f>
        <v>185000</v>
      </c>
      <c r="I1148" s="1" t="str">
        <f>VLOOKUP(C1148,branches!A:B,2,FALSE)</f>
        <v>Naija Mart GRA</v>
      </c>
      <c r="J1148" s="1">
        <f t="shared" si="34"/>
        <v>499500</v>
      </c>
      <c r="K1148" s="1" t="str">
        <f>VLOOKUP(D1148,products!A:D,2,FALSE)</f>
        <v>Electronics</v>
      </c>
      <c r="L1148" s="1" t="str">
        <f t="shared" si="35"/>
        <v>Feb-2025</v>
      </c>
    </row>
    <row r="1149" spans="1:12" x14ac:dyDescent="0.25">
      <c r="A1149" s="3" t="s">
        <v>1397</v>
      </c>
      <c r="B1149" s="6">
        <v>45835</v>
      </c>
      <c r="C1149" s="3" t="s">
        <v>12</v>
      </c>
      <c r="D1149" s="3" t="s">
        <v>51</v>
      </c>
      <c r="E1149" s="3" t="s">
        <v>355</v>
      </c>
      <c r="F1149" s="3">
        <v>1</v>
      </c>
      <c r="G1149" s="3">
        <v>10</v>
      </c>
      <c r="H1149" s="1">
        <f>VLOOKUP(D1149,products!A:D,4,FALSE)</f>
        <v>18000</v>
      </c>
      <c r="I1149" s="1" t="str">
        <f>VLOOKUP(C1149,branches!A:B,2,FALSE)</f>
        <v>Naija Mart Wuse</v>
      </c>
      <c r="J1149" s="1">
        <f t="shared" si="34"/>
        <v>16200</v>
      </c>
      <c r="K1149" s="1" t="str">
        <f>VLOOKUP(D1149,products!A:D,2,FALSE)</f>
        <v>Small Gadgets</v>
      </c>
      <c r="L1149" s="1" t="str">
        <f t="shared" si="35"/>
        <v>Jun-2025</v>
      </c>
    </row>
    <row r="1150" spans="1:12" x14ac:dyDescent="0.25">
      <c r="A1150" s="3" t="s">
        <v>1398</v>
      </c>
      <c r="B1150" s="6">
        <v>46012</v>
      </c>
      <c r="C1150" s="3" t="s">
        <v>8</v>
      </c>
      <c r="D1150" s="3" t="s">
        <v>94</v>
      </c>
      <c r="E1150" s="3" t="s">
        <v>178</v>
      </c>
      <c r="F1150" s="3">
        <v>2</v>
      </c>
      <c r="G1150" s="3">
        <v>10</v>
      </c>
      <c r="H1150" s="1">
        <f>VLOOKUP(D1150,products!A:D,4,FALSE)</f>
        <v>320000</v>
      </c>
      <c r="I1150" s="1" t="str">
        <f>VLOOKUP(C1150,branches!A:B,2,FALSE)</f>
        <v>Naija Mart GRA</v>
      </c>
      <c r="J1150" s="1">
        <f t="shared" si="34"/>
        <v>576000</v>
      </c>
      <c r="K1150" s="1" t="str">
        <f>VLOOKUP(D1150,products!A:D,2,FALSE)</f>
        <v>Electronics</v>
      </c>
      <c r="L1150" s="1" t="str">
        <f t="shared" si="35"/>
        <v>Dec-2025</v>
      </c>
    </row>
    <row r="1151" spans="1:12" x14ac:dyDescent="0.25">
      <c r="A1151" s="3" t="s">
        <v>1399</v>
      </c>
      <c r="B1151" s="6">
        <v>45830</v>
      </c>
      <c r="C1151" s="3" t="s">
        <v>12</v>
      </c>
      <c r="D1151" s="3" t="s">
        <v>17</v>
      </c>
      <c r="E1151" s="3" t="s">
        <v>574</v>
      </c>
      <c r="F1151" s="3">
        <v>3</v>
      </c>
      <c r="G1151" s="3">
        <v>10</v>
      </c>
      <c r="H1151" s="1">
        <f>VLOOKUP(D1151,products!A:D,4,FALSE)</f>
        <v>22000</v>
      </c>
      <c r="I1151" s="1" t="str">
        <f>VLOOKUP(C1151,branches!A:B,2,FALSE)</f>
        <v>Naija Mart Wuse</v>
      </c>
      <c r="J1151" s="1">
        <f t="shared" si="34"/>
        <v>59400</v>
      </c>
      <c r="K1151" s="1" t="str">
        <f>VLOOKUP(D1151,products!A:D,2,FALSE)</f>
        <v>Home Appliances</v>
      </c>
      <c r="L1151" s="1" t="str">
        <f t="shared" si="35"/>
        <v>Jun-2025</v>
      </c>
    </row>
    <row r="1152" spans="1:12" x14ac:dyDescent="0.25">
      <c r="A1152" s="3" t="s">
        <v>1400</v>
      </c>
      <c r="B1152" s="6">
        <v>45894</v>
      </c>
      <c r="C1152" s="3" t="s">
        <v>12</v>
      </c>
      <c r="D1152" s="3" t="s">
        <v>97</v>
      </c>
      <c r="E1152" s="3" t="s">
        <v>819</v>
      </c>
      <c r="F1152" s="3">
        <v>1</v>
      </c>
      <c r="G1152" s="3">
        <v>0</v>
      </c>
      <c r="H1152" s="1">
        <f>VLOOKUP(D1152,products!A:D,4,FALSE)</f>
        <v>21000</v>
      </c>
      <c r="I1152" s="1" t="str">
        <f>VLOOKUP(C1152,branches!A:B,2,FALSE)</f>
        <v>Naija Mart Wuse</v>
      </c>
      <c r="J1152" s="1">
        <f t="shared" si="34"/>
        <v>21000</v>
      </c>
      <c r="K1152" s="1" t="str">
        <f>VLOOKUP(D1152,products!A:D,2,FALSE)</f>
        <v>Small Gadgets</v>
      </c>
      <c r="L1152" s="1" t="str">
        <f t="shared" si="35"/>
        <v>Aug-2025</v>
      </c>
    </row>
    <row r="1153" spans="1:12" x14ac:dyDescent="0.25">
      <c r="A1153" s="3" t="s">
        <v>1401</v>
      </c>
      <c r="B1153" s="6">
        <v>45844</v>
      </c>
      <c r="C1153" s="3" t="s">
        <v>8</v>
      </c>
      <c r="D1153" s="3" t="s">
        <v>258</v>
      </c>
      <c r="E1153" s="3" t="s">
        <v>83</v>
      </c>
      <c r="F1153" s="3">
        <v>1</v>
      </c>
      <c r="G1153" s="3">
        <v>0</v>
      </c>
      <c r="H1153" s="1">
        <f>VLOOKUP(D1153,products!A:D,4,FALSE)</f>
        <v>95000</v>
      </c>
      <c r="I1153" s="1" t="str">
        <f>VLOOKUP(C1153,branches!A:B,2,FALSE)</f>
        <v>Naija Mart GRA</v>
      </c>
      <c r="J1153" s="1">
        <f t="shared" si="34"/>
        <v>95000</v>
      </c>
      <c r="K1153" s="1" t="str">
        <f>VLOOKUP(D1153,products!A:D,2,FALSE)</f>
        <v>Electronics</v>
      </c>
      <c r="L1153" s="1" t="str">
        <f t="shared" si="35"/>
        <v>Jul-2025</v>
      </c>
    </row>
    <row r="1154" spans="1:12" x14ac:dyDescent="0.25">
      <c r="A1154" s="3" t="s">
        <v>1402</v>
      </c>
      <c r="B1154" s="6">
        <v>45853</v>
      </c>
      <c r="C1154" s="3" t="s">
        <v>16</v>
      </c>
      <c r="D1154" s="3" t="s">
        <v>97</v>
      </c>
      <c r="E1154" s="3" t="s">
        <v>308</v>
      </c>
      <c r="F1154" s="3">
        <v>2</v>
      </c>
      <c r="G1154" s="3">
        <v>0</v>
      </c>
      <c r="H1154" s="1">
        <f>VLOOKUP(D1154,products!A:D,4,FALSE)</f>
        <v>21000</v>
      </c>
      <c r="I1154" s="1" t="str">
        <f>VLOOKUP(C1154,branches!A:B,2,FALSE)</f>
        <v>Naija Mart Ikeja</v>
      </c>
      <c r="J1154" s="1">
        <f t="shared" si="34"/>
        <v>42000</v>
      </c>
      <c r="K1154" s="1" t="str">
        <f>VLOOKUP(D1154,products!A:D,2,FALSE)</f>
        <v>Small Gadgets</v>
      </c>
      <c r="L1154" s="1" t="str">
        <f t="shared" si="35"/>
        <v>Jul-2025</v>
      </c>
    </row>
    <row r="1155" spans="1:12" x14ac:dyDescent="0.25">
      <c r="A1155" s="3" t="s">
        <v>939</v>
      </c>
      <c r="B1155" s="6">
        <v>45876</v>
      </c>
      <c r="C1155" s="3" t="s">
        <v>16</v>
      </c>
      <c r="D1155" s="3" t="s">
        <v>126</v>
      </c>
      <c r="E1155" s="3" t="s">
        <v>134</v>
      </c>
      <c r="F1155" s="3">
        <v>3</v>
      </c>
      <c r="G1155" s="3">
        <v>5</v>
      </c>
      <c r="H1155" s="1">
        <f>VLOOKUP(D1155,products!A:D,4,FALSE)</f>
        <v>185000</v>
      </c>
      <c r="I1155" s="1" t="str">
        <f>VLOOKUP(C1155,branches!A:B,2,FALSE)</f>
        <v>Naija Mart Ikeja</v>
      </c>
      <c r="J1155" s="1">
        <f t="shared" ref="J1155:J1218" si="36">F1155*H1155*(1-G1155/100)</f>
        <v>527250</v>
      </c>
      <c r="K1155" s="1" t="str">
        <f>VLOOKUP(D1155,products!A:D,2,FALSE)</f>
        <v>Electronics</v>
      </c>
      <c r="L1155" s="1" t="str">
        <f t="shared" ref="L1155:L1218" si="37">TEXT(B1155,"mmm-yyyy")</f>
        <v>Aug-2025</v>
      </c>
    </row>
    <row r="1156" spans="1:12" x14ac:dyDescent="0.25">
      <c r="A1156" s="3" t="s">
        <v>1403</v>
      </c>
      <c r="B1156" s="6">
        <v>45914</v>
      </c>
      <c r="C1156" s="3" t="s">
        <v>8</v>
      </c>
      <c r="D1156" s="3" t="s">
        <v>56</v>
      </c>
      <c r="E1156" s="3" t="s">
        <v>953</v>
      </c>
      <c r="F1156" s="3">
        <v>2</v>
      </c>
      <c r="G1156" s="3">
        <v>10</v>
      </c>
      <c r="H1156" s="1">
        <f>VLOOKUP(D1156,products!A:D,4,FALSE)</f>
        <v>285000</v>
      </c>
      <c r="I1156" s="1" t="str">
        <f>VLOOKUP(C1156,branches!A:B,2,FALSE)</f>
        <v>Naija Mart GRA</v>
      </c>
      <c r="J1156" s="1">
        <f t="shared" si="36"/>
        <v>513000</v>
      </c>
      <c r="K1156" s="1" t="str">
        <f>VLOOKUP(D1156,products!A:D,2,FALSE)</f>
        <v>Home Appliances</v>
      </c>
      <c r="L1156" s="1" t="str">
        <f t="shared" si="37"/>
        <v>Sep-2025</v>
      </c>
    </row>
    <row r="1157" spans="1:12" x14ac:dyDescent="0.25">
      <c r="A1157" s="3" t="s">
        <v>1404</v>
      </c>
      <c r="B1157" s="6">
        <v>45780</v>
      </c>
      <c r="C1157" s="3" t="s">
        <v>16</v>
      </c>
      <c r="D1157" s="3" t="s">
        <v>17</v>
      </c>
      <c r="E1157" s="3" t="s">
        <v>1119</v>
      </c>
      <c r="F1157" s="3">
        <v>2</v>
      </c>
      <c r="G1157" s="3">
        <v>0</v>
      </c>
      <c r="H1157" s="1">
        <f>VLOOKUP(D1157,products!A:D,4,FALSE)</f>
        <v>22000</v>
      </c>
      <c r="I1157" s="1" t="str">
        <f>VLOOKUP(C1157,branches!A:B,2,FALSE)</f>
        <v>Naija Mart Ikeja</v>
      </c>
      <c r="J1157" s="1">
        <f t="shared" si="36"/>
        <v>44000</v>
      </c>
      <c r="K1157" s="1" t="str">
        <f>VLOOKUP(D1157,products!A:D,2,FALSE)</f>
        <v>Home Appliances</v>
      </c>
      <c r="L1157" s="1" t="str">
        <f t="shared" si="37"/>
        <v>May-2025</v>
      </c>
    </row>
    <row r="1158" spans="1:12" x14ac:dyDescent="0.25">
      <c r="A1158" s="3" t="s">
        <v>1405</v>
      </c>
      <c r="B1158" s="6">
        <v>45964</v>
      </c>
      <c r="C1158" s="3" t="s">
        <v>36</v>
      </c>
      <c r="D1158" s="3" t="s">
        <v>46</v>
      </c>
      <c r="E1158" s="3" t="s">
        <v>477</v>
      </c>
      <c r="F1158" s="3">
        <v>1</v>
      </c>
      <c r="G1158" s="3">
        <v>20</v>
      </c>
      <c r="H1158" s="1">
        <f>VLOOKUP(D1158,products!A:D,4,FALSE)</f>
        <v>62000</v>
      </c>
      <c r="I1158" s="1" t="str">
        <f>VLOOKUP(C1158,branches!A:B,2,FALSE)</f>
        <v>Naija Mart Sabon Gari</v>
      </c>
      <c r="J1158" s="1">
        <f t="shared" si="36"/>
        <v>49600</v>
      </c>
      <c r="K1158" s="1" t="str">
        <f>VLOOKUP(D1158,products!A:D,2,FALSE)</f>
        <v>Home Appliances</v>
      </c>
      <c r="L1158" s="1" t="str">
        <f t="shared" si="37"/>
        <v>Nov-2025</v>
      </c>
    </row>
    <row r="1159" spans="1:12" x14ac:dyDescent="0.25">
      <c r="A1159" s="3" t="s">
        <v>1406</v>
      </c>
      <c r="B1159" s="6">
        <v>45794</v>
      </c>
      <c r="C1159" s="3" t="s">
        <v>16</v>
      </c>
      <c r="D1159" s="3" t="s">
        <v>69</v>
      </c>
      <c r="E1159" s="3" t="s">
        <v>104</v>
      </c>
      <c r="F1159" s="3">
        <v>1</v>
      </c>
      <c r="G1159" s="3">
        <v>0</v>
      </c>
      <c r="H1159" s="1">
        <f>VLOOKUP(D1159,products!A:D,4,FALSE)</f>
        <v>45000</v>
      </c>
      <c r="I1159" s="1" t="str">
        <f>VLOOKUP(C1159,branches!A:B,2,FALSE)</f>
        <v>Naija Mart Ikeja</v>
      </c>
      <c r="J1159" s="1">
        <f t="shared" si="36"/>
        <v>45000</v>
      </c>
      <c r="K1159" s="1" t="str">
        <f>VLOOKUP(D1159,products!A:D,2,FALSE)</f>
        <v>Electronics</v>
      </c>
      <c r="L1159" s="1" t="str">
        <f t="shared" si="37"/>
        <v>May-2025</v>
      </c>
    </row>
    <row r="1160" spans="1:12" x14ac:dyDescent="0.25">
      <c r="A1160" s="3" t="s">
        <v>1407</v>
      </c>
      <c r="B1160" s="6">
        <v>45769</v>
      </c>
      <c r="C1160" s="3" t="s">
        <v>12</v>
      </c>
      <c r="D1160" s="3" t="s">
        <v>258</v>
      </c>
      <c r="E1160" s="3" t="s">
        <v>547</v>
      </c>
      <c r="F1160" s="3">
        <v>1</v>
      </c>
      <c r="G1160" s="3">
        <v>15</v>
      </c>
      <c r="H1160" s="1">
        <f>VLOOKUP(D1160,products!A:D,4,FALSE)</f>
        <v>95000</v>
      </c>
      <c r="I1160" s="1" t="str">
        <f>VLOOKUP(C1160,branches!A:B,2,FALSE)</f>
        <v>Naija Mart Wuse</v>
      </c>
      <c r="J1160" s="1">
        <f t="shared" si="36"/>
        <v>80750</v>
      </c>
      <c r="K1160" s="1" t="str">
        <f>VLOOKUP(D1160,products!A:D,2,FALSE)</f>
        <v>Electronics</v>
      </c>
      <c r="L1160" s="1" t="str">
        <f t="shared" si="37"/>
        <v>Apr-2025</v>
      </c>
    </row>
    <row r="1161" spans="1:12" x14ac:dyDescent="0.25">
      <c r="A1161" s="3" t="s">
        <v>1408</v>
      </c>
      <c r="B1161" s="6">
        <v>45824</v>
      </c>
      <c r="C1161" s="3" t="s">
        <v>16</v>
      </c>
      <c r="D1161" s="3" t="s">
        <v>26</v>
      </c>
      <c r="E1161" s="3" t="s">
        <v>112</v>
      </c>
      <c r="F1161" s="3">
        <v>1</v>
      </c>
      <c r="G1161" s="3">
        <v>0</v>
      </c>
      <c r="H1161" s="1">
        <f>VLOOKUP(D1161,products!A:D,4,FALSE)</f>
        <v>145000</v>
      </c>
      <c r="I1161" s="1" t="str">
        <f>VLOOKUP(C1161,branches!A:B,2,FALSE)</f>
        <v>Naija Mart Ikeja</v>
      </c>
      <c r="J1161" s="1">
        <f t="shared" si="36"/>
        <v>145000</v>
      </c>
      <c r="K1161" s="1" t="str">
        <f>VLOOKUP(D1161,products!A:D,2,FALSE)</f>
        <v>Electronics</v>
      </c>
      <c r="L1161" s="1" t="str">
        <f t="shared" si="37"/>
        <v>Jun-2025</v>
      </c>
    </row>
    <row r="1162" spans="1:12" x14ac:dyDescent="0.25">
      <c r="A1162" s="3" t="s">
        <v>1409</v>
      </c>
      <c r="B1162" s="6">
        <v>45784</v>
      </c>
      <c r="C1162" s="3" t="s">
        <v>12</v>
      </c>
      <c r="D1162" s="3" t="s">
        <v>37</v>
      </c>
      <c r="E1162" s="3" t="s">
        <v>491</v>
      </c>
      <c r="F1162" s="3">
        <v>1</v>
      </c>
      <c r="G1162" s="3">
        <v>0</v>
      </c>
      <c r="H1162" s="1">
        <f>VLOOKUP(D1162,products!A:D,4,FALSE)</f>
        <v>8500</v>
      </c>
      <c r="I1162" s="1" t="str">
        <f>VLOOKUP(C1162,branches!A:B,2,FALSE)</f>
        <v>Naija Mart Wuse</v>
      </c>
      <c r="J1162" s="1">
        <f t="shared" si="36"/>
        <v>8500</v>
      </c>
      <c r="K1162" s="1" t="str">
        <f>VLOOKUP(D1162,products!A:D,2,FALSE)</f>
        <v>Small Gadgets</v>
      </c>
      <c r="L1162" s="1" t="str">
        <f t="shared" si="37"/>
        <v>May-2025</v>
      </c>
    </row>
    <row r="1163" spans="1:12" x14ac:dyDescent="0.25">
      <c r="A1163" s="3" t="s">
        <v>1410</v>
      </c>
      <c r="B1163" s="6">
        <v>45682</v>
      </c>
      <c r="C1163" s="3" t="s">
        <v>16</v>
      </c>
      <c r="D1163" s="3" t="s">
        <v>69</v>
      </c>
      <c r="E1163" s="3" t="s">
        <v>29</v>
      </c>
      <c r="F1163" s="3">
        <v>2</v>
      </c>
      <c r="G1163" s="3">
        <v>20</v>
      </c>
      <c r="H1163" s="1">
        <f>VLOOKUP(D1163,products!A:D,4,FALSE)</f>
        <v>45000</v>
      </c>
      <c r="I1163" s="1" t="str">
        <f>VLOOKUP(C1163,branches!A:B,2,FALSE)</f>
        <v>Naija Mart Ikeja</v>
      </c>
      <c r="J1163" s="1">
        <f t="shared" si="36"/>
        <v>72000</v>
      </c>
      <c r="K1163" s="1" t="str">
        <f>VLOOKUP(D1163,products!A:D,2,FALSE)</f>
        <v>Electronics</v>
      </c>
      <c r="L1163" s="1" t="str">
        <f t="shared" si="37"/>
        <v>Jan-2025</v>
      </c>
    </row>
    <row r="1164" spans="1:12" x14ac:dyDescent="0.25">
      <c r="A1164" s="3" t="s">
        <v>1411</v>
      </c>
      <c r="B1164" s="6">
        <v>45789</v>
      </c>
      <c r="C1164" s="3" t="s">
        <v>8</v>
      </c>
      <c r="D1164" s="3" t="s">
        <v>37</v>
      </c>
      <c r="E1164" s="3" t="s">
        <v>1267</v>
      </c>
      <c r="F1164" s="3">
        <v>3</v>
      </c>
      <c r="G1164" s="3">
        <v>10</v>
      </c>
      <c r="H1164" s="1">
        <f>VLOOKUP(D1164,products!A:D,4,FALSE)</f>
        <v>8500</v>
      </c>
      <c r="I1164" s="1" t="str">
        <f>VLOOKUP(C1164,branches!A:B,2,FALSE)</f>
        <v>Naija Mart GRA</v>
      </c>
      <c r="J1164" s="1">
        <f t="shared" si="36"/>
        <v>22950</v>
      </c>
      <c r="K1164" s="1" t="str">
        <f>VLOOKUP(D1164,products!A:D,2,FALSE)</f>
        <v>Small Gadgets</v>
      </c>
      <c r="L1164" s="1" t="str">
        <f t="shared" si="37"/>
        <v>May-2025</v>
      </c>
    </row>
    <row r="1165" spans="1:12" x14ac:dyDescent="0.25">
      <c r="A1165" s="3" t="s">
        <v>1412</v>
      </c>
      <c r="B1165" s="6">
        <v>46008</v>
      </c>
      <c r="C1165" s="3" t="s">
        <v>8</v>
      </c>
      <c r="D1165" s="3" t="s">
        <v>149</v>
      </c>
      <c r="E1165" s="3" t="s">
        <v>138</v>
      </c>
      <c r="F1165" s="3">
        <v>1</v>
      </c>
      <c r="G1165" s="3">
        <v>5</v>
      </c>
      <c r="H1165" s="1">
        <f>VLOOKUP(D1165,products!A:D,4,FALSE)</f>
        <v>6500</v>
      </c>
      <c r="I1165" s="1" t="str">
        <f>VLOOKUP(C1165,branches!A:B,2,FALSE)</f>
        <v>Naija Mart GRA</v>
      </c>
      <c r="J1165" s="1">
        <f t="shared" si="36"/>
        <v>6175</v>
      </c>
      <c r="K1165" s="1" t="str">
        <f>VLOOKUP(D1165,products!A:D,2,FALSE)</f>
        <v>Small Gadgets</v>
      </c>
      <c r="L1165" s="1" t="str">
        <f t="shared" si="37"/>
        <v>Dec-2025</v>
      </c>
    </row>
    <row r="1166" spans="1:12" x14ac:dyDescent="0.25">
      <c r="A1166" s="3" t="s">
        <v>1413</v>
      </c>
      <c r="B1166" s="6">
        <v>46011</v>
      </c>
      <c r="C1166" s="3" t="s">
        <v>12</v>
      </c>
      <c r="D1166" s="3" t="s">
        <v>51</v>
      </c>
      <c r="E1166" s="3" t="s">
        <v>219</v>
      </c>
      <c r="F1166" s="3">
        <v>1</v>
      </c>
      <c r="G1166" s="3">
        <v>10</v>
      </c>
      <c r="H1166" s="1">
        <f>VLOOKUP(D1166,products!A:D,4,FALSE)</f>
        <v>18000</v>
      </c>
      <c r="I1166" s="1" t="str">
        <f>VLOOKUP(C1166,branches!A:B,2,FALSE)</f>
        <v>Naija Mart Wuse</v>
      </c>
      <c r="J1166" s="1">
        <f t="shared" si="36"/>
        <v>16200</v>
      </c>
      <c r="K1166" s="1" t="str">
        <f>VLOOKUP(D1166,products!A:D,2,FALSE)</f>
        <v>Small Gadgets</v>
      </c>
      <c r="L1166" s="1" t="str">
        <f t="shared" si="37"/>
        <v>Dec-2025</v>
      </c>
    </row>
    <row r="1167" spans="1:12" x14ac:dyDescent="0.25">
      <c r="A1167" s="3" t="s">
        <v>1414</v>
      </c>
      <c r="B1167" s="6">
        <v>45792</v>
      </c>
      <c r="C1167" s="3" t="s">
        <v>8</v>
      </c>
      <c r="D1167" s="3" t="s">
        <v>9</v>
      </c>
      <c r="E1167" s="3" t="s">
        <v>67</v>
      </c>
      <c r="F1167" s="3">
        <v>2</v>
      </c>
      <c r="G1167" s="3">
        <v>0</v>
      </c>
      <c r="H1167" s="1">
        <f>VLOOKUP(D1167,products!A:D,4,FALSE)</f>
        <v>410000</v>
      </c>
      <c r="I1167" s="1" t="str">
        <f>VLOOKUP(C1167,branches!A:B,2,FALSE)</f>
        <v>Naija Mart GRA</v>
      </c>
      <c r="J1167" s="1">
        <f t="shared" si="36"/>
        <v>820000</v>
      </c>
      <c r="K1167" s="1" t="str">
        <f>VLOOKUP(D1167,products!A:D,2,FALSE)</f>
        <v>Home Appliances</v>
      </c>
      <c r="L1167" s="1" t="str">
        <f t="shared" si="37"/>
        <v>May-2025</v>
      </c>
    </row>
    <row r="1168" spans="1:12" x14ac:dyDescent="0.25">
      <c r="A1168" s="3" t="s">
        <v>1415</v>
      </c>
      <c r="B1168" s="6">
        <v>45937</v>
      </c>
      <c r="C1168" s="3" t="s">
        <v>16</v>
      </c>
      <c r="D1168" s="3" t="s">
        <v>37</v>
      </c>
      <c r="E1168" s="3" t="s">
        <v>480</v>
      </c>
      <c r="F1168" s="3">
        <v>2</v>
      </c>
      <c r="G1168" s="3">
        <v>5</v>
      </c>
      <c r="H1168" s="1">
        <f>VLOOKUP(D1168,products!A:D,4,FALSE)</f>
        <v>8500</v>
      </c>
      <c r="I1168" s="1" t="str">
        <f>VLOOKUP(C1168,branches!A:B,2,FALSE)</f>
        <v>Naija Mart Ikeja</v>
      </c>
      <c r="J1168" s="1">
        <f t="shared" si="36"/>
        <v>16150</v>
      </c>
      <c r="K1168" s="1" t="str">
        <f>VLOOKUP(D1168,products!A:D,2,FALSE)</f>
        <v>Small Gadgets</v>
      </c>
      <c r="L1168" s="1" t="str">
        <f t="shared" si="37"/>
        <v>Oct-2025</v>
      </c>
    </row>
    <row r="1169" spans="1:12" x14ac:dyDescent="0.25">
      <c r="A1169" s="3" t="s">
        <v>1416</v>
      </c>
      <c r="B1169" s="6">
        <v>45846</v>
      </c>
      <c r="C1169" s="3" t="s">
        <v>36</v>
      </c>
      <c r="D1169" s="3" t="s">
        <v>97</v>
      </c>
      <c r="E1169" s="3" t="s">
        <v>472</v>
      </c>
      <c r="F1169" s="3">
        <v>1</v>
      </c>
      <c r="G1169" s="3">
        <v>10</v>
      </c>
      <c r="H1169" s="1">
        <f>VLOOKUP(D1169,products!A:D,4,FALSE)</f>
        <v>21000</v>
      </c>
      <c r="I1169" s="1" t="str">
        <f>VLOOKUP(C1169,branches!A:B,2,FALSE)</f>
        <v>Naija Mart Sabon Gari</v>
      </c>
      <c r="J1169" s="1">
        <f t="shared" si="36"/>
        <v>18900</v>
      </c>
      <c r="K1169" s="1" t="str">
        <f>VLOOKUP(D1169,products!A:D,2,FALSE)</f>
        <v>Small Gadgets</v>
      </c>
      <c r="L1169" s="1" t="str">
        <f t="shared" si="37"/>
        <v>Jul-2025</v>
      </c>
    </row>
    <row r="1170" spans="1:12" x14ac:dyDescent="0.25">
      <c r="A1170" s="3" t="s">
        <v>1417</v>
      </c>
      <c r="B1170" s="6">
        <v>45673</v>
      </c>
      <c r="C1170" s="3" t="s">
        <v>16</v>
      </c>
      <c r="D1170" s="3" t="s">
        <v>126</v>
      </c>
      <c r="E1170" s="3" t="s">
        <v>537</v>
      </c>
      <c r="F1170" s="3">
        <v>2</v>
      </c>
      <c r="G1170" s="3">
        <v>15</v>
      </c>
      <c r="H1170" s="1">
        <f>VLOOKUP(D1170,products!A:D,4,FALSE)</f>
        <v>185000</v>
      </c>
      <c r="I1170" s="1" t="str">
        <f>VLOOKUP(C1170,branches!A:B,2,FALSE)</f>
        <v>Naija Mart Ikeja</v>
      </c>
      <c r="J1170" s="1">
        <f t="shared" si="36"/>
        <v>314500</v>
      </c>
      <c r="K1170" s="1" t="str">
        <f>VLOOKUP(D1170,products!A:D,2,FALSE)</f>
        <v>Electronics</v>
      </c>
      <c r="L1170" s="1" t="str">
        <f t="shared" si="37"/>
        <v>Jan-2025</v>
      </c>
    </row>
    <row r="1171" spans="1:12" x14ac:dyDescent="0.25">
      <c r="A1171" s="3" t="s">
        <v>1418</v>
      </c>
      <c r="B1171" s="6">
        <v>45849</v>
      </c>
      <c r="C1171" s="3" t="s">
        <v>8</v>
      </c>
      <c r="D1171" s="3" t="s">
        <v>94</v>
      </c>
      <c r="E1171" s="3" t="s">
        <v>1119</v>
      </c>
      <c r="F1171" s="3">
        <v>1</v>
      </c>
      <c r="G1171" s="3">
        <v>5</v>
      </c>
      <c r="H1171" s="1">
        <f>VLOOKUP(D1171,products!A:D,4,FALSE)</f>
        <v>320000</v>
      </c>
      <c r="I1171" s="1" t="str">
        <f>VLOOKUP(C1171,branches!A:B,2,FALSE)</f>
        <v>Naija Mart GRA</v>
      </c>
      <c r="J1171" s="1">
        <f t="shared" si="36"/>
        <v>304000</v>
      </c>
      <c r="K1171" s="1" t="str">
        <f>VLOOKUP(D1171,products!A:D,2,FALSE)</f>
        <v>Electronics</v>
      </c>
      <c r="L1171" s="1" t="str">
        <f t="shared" si="37"/>
        <v>Jul-2025</v>
      </c>
    </row>
    <row r="1172" spans="1:12" x14ac:dyDescent="0.25">
      <c r="A1172" s="3" t="s">
        <v>1419</v>
      </c>
      <c r="B1172" s="6">
        <v>45988</v>
      </c>
      <c r="C1172" s="3" t="s">
        <v>8</v>
      </c>
      <c r="D1172" s="3" t="s">
        <v>51</v>
      </c>
      <c r="E1172" s="3" t="s">
        <v>379</v>
      </c>
      <c r="F1172" s="3">
        <v>1</v>
      </c>
      <c r="G1172" s="3">
        <v>0</v>
      </c>
      <c r="H1172" s="1">
        <f>VLOOKUP(D1172,products!A:D,4,FALSE)</f>
        <v>18000</v>
      </c>
      <c r="I1172" s="1" t="str">
        <f>VLOOKUP(C1172,branches!A:B,2,FALSE)</f>
        <v>Naija Mart GRA</v>
      </c>
      <c r="J1172" s="1">
        <f t="shared" si="36"/>
        <v>18000</v>
      </c>
      <c r="K1172" s="1" t="str">
        <f>VLOOKUP(D1172,products!A:D,2,FALSE)</f>
        <v>Small Gadgets</v>
      </c>
      <c r="L1172" s="1" t="str">
        <f t="shared" si="37"/>
        <v>Nov-2025</v>
      </c>
    </row>
    <row r="1173" spans="1:12" x14ac:dyDescent="0.25">
      <c r="A1173" s="3" t="s">
        <v>1420</v>
      </c>
      <c r="B1173" s="6">
        <v>45945</v>
      </c>
      <c r="C1173" s="3" t="s">
        <v>12</v>
      </c>
      <c r="D1173" s="3" t="s">
        <v>43</v>
      </c>
      <c r="E1173" s="3" t="s">
        <v>116</v>
      </c>
      <c r="F1173" s="3">
        <v>1</v>
      </c>
      <c r="G1173" s="3">
        <v>0</v>
      </c>
      <c r="H1173" s="1">
        <f>VLOOKUP(D1173,products!A:D,4,FALSE)</f>
        <v>74000</v>
      </c>
      <c r="I1173" s="1" t="str">
        <f>VLOOKUP(C1173,branches!A:B,2,FALSE)</f>
        <v>Naija Mart Wuse</v>
      </c>
      <c r="J1173" s="1">
        <f t="shared" si="36"/>
        <v>74000</v>
      </c>
      <c r="K1173" s="1" t="str">
        <f>VLOOKUP(D1173,products!A:D,2,FALSE)</f>
        <v>Home Appliances</v>
      </c>
      <c r="L1173" s="1" t="str">
        <f t="shared" si="37"/>
        <v>Oct-2025</v>
      </c>
    </row>
    <row r="1174" spans="1:12" x14ac:dyDescent="0.25">
      <c r="A1174" s="3" t="s">
        <v>1421</v>
      </c>
      <c r="B1174" s="6">
        <v>45951</v>
      </c>
      <c r="C1174" s="3" t="s">
        <v>8</v>
      </c>
      <c r="D1174" s="3" t="s">
        <v>126</v>
      </c>
      <c r="E1174" s="3" t="s">
        <v>430</v>
      </c>
      <c r="F1174" s="3">
        <v>3</v>
      </c>
      <c r="G1174" s="3">
        <v>0</v>
      </c>
      <c r="H1174" s="1">
        <f>VLOOKUP(D1174,products!A:D,4,FALSE)</f>
        <v>185000</v>
      </c>
      <c r="I1174" s="1" t="str">
        <f>VLOOKUP(C1174,branches!A:B,2,FALSE)</f>
        <v>Naija Mart GRA</v>
      </c>
      <c r="J1174" s="1">
        <f t="shared" si="36"/>
        <v>555000</v>
      </c>
      <c r="K1174" s="1" t="str">
        <f>VLOOKUP(D1174,products!A:D,2,FALSE)</f>
        <v>Electronics</v>
      </c>
      <c r="L1174" s="1" t="str">
        <f t="shared" si="37"/>
        <v>Oct-2025</v>
      </c>
    </row>
    <row r="1175" spans="1:12" x14ac:dyDescent="0.25">
      <c r="A1175" s="3" t="s">
        <v>1422</v>
      </c>
      <c r="B1175" s="6">
        <v>45942</v>
      </c>
      <c r="C1175" s="3" t="s">
        <v>12</v>
      </c>
      <c r="D1175" s="3" t="s">
        <v>56</v>
      </c>
      <c r="E1175" s="3" t="s">
        <v>430</v>
      </c>
      <c r="F1175" s="3">
        <v>1</v>
      </c>
      <c r="G1175" s="3">
        <v>0</v>
      </c>
      <c r="H1175" s="1">
        <f>VLOOKUP(D1175,products!A:D,4,FALSE)</f>
        <v>285000</v>
      </c>
      <c r="I1175" s="1" t="str">
        <f>VLOOKUP(C1175,branches!A:B,2,FALSE)</f>
        <v>Naija Mart Wuse</v>
      </c>
      <c r="J1175" s="1">
        <f t="shared" si="36"/>
        <v>285000</v>
      </c>
      <c r="K1175" s="1" t="str">
        <f>VLOOKUP(D1175,products!A:D,2,FALSE)</f>
        <v>Home Appliances</v>
      </c>
      <c r="L1175" s="1" t="str">
        <f t="shared" si="37"/>
        <v>Oct-2025</v>
      </c>
    </row>
    <row r="1176" spans="1:12" x14ac:dyDescent="0.25">
      <c r="A1176" s="3" t="s">
        <v>1423</v>
      </c>
      <c r="B1176" s="6">
        <v>45784</v>
      </c>
      <c r="C1176" s="3" t="s">
        <v>16</v>
      </c>
      <c r="D1176" s="3" t="s">
        <v>91</v>
      </c>
      <c r="E1176" s="3" t="s">
        <v>219</v>
      </c>
      <c r="F1176" s="3">
        <v>1</v>
      </c>
      <c r="G1176" s="3">
        <v>10</v>
      </c>
      <c r="H1176" s="1">
        <f>VLOOKUP(D1176,products!A:D,4,FALSE)</f>
        <v>5200</v>
      </c>
      <c r="I1176" s="1" t="str">
        <f>VLOOKUP(C1176,branches!A:B,2,FALSE)</f>
        <v>Naija Mart Ikeja</v>
      </c>
      <c r="J1176" s="1">
        <f t="shared" si="36"/>
        <v>4680</v>
      </c>
      <c r="K1176" s="1" t="str">
        <f>VLOOKUP(D1176,products!A:D,2,FALSE)</f>
        <v>Small Gadgets</v>
      </c>
      <c r="L1176" s="1" t="str">
        <f t="shared" si="37"/>
        <v>May-2025</v>
      </c>
    </row>
    <row r="1177" spans="1:12" x14ac:dyDescent="0.25">
      <c r="A1177" s="3" t="s">
        <v>1424</v>
      </c>
      <c r="B1177" s="6">
        <v>45813</v>
      </c>
      <c r="C1177" s="3" t="s">
        <v>8</v>
      </c>
      <c r="D1177" s="3" t="s">
        <v>149</v>
      </c>
      <c r="E1177" s="3" t="s">
        <v>493</v>
      </c>
      <c r="F1177" s="3">
        <v>1</v>
      </c>
      <c r="G1177" s="3">
        <v>0</v>
      </c>
      <c r="H1177" s="1">
        <f>VLOOKUP(D1177,products!A:D,4,FALSE)</f>
        <v>6500</v>
      </c>
      <c r="I1177" s="1" t="str">
        <f>VLOOKUP(C1177,branches!A:B,2,FALSE)</f>
        <v>Naija Mart GRA</v>
      </c>
      <c r="J1177" s="1">
        <f t="shared" si="36"/>
        <v>6500</v>
      </c>
      <c r="K1177" s="1" t="str">
        <f>VLOOKUP(D1177,products!A:D,2,FALSE)</f>
        <v>Small Gadgets</v>
      </c>
      <c r="L1177" s="1" t="str">
        <f t="shared" si="37"/>
        <v>Jun-2025</v>
      </c>
    </row>
    <row r="1178" spans="1:12" x14ac:dyDescent="0.25">
      <c r="A1178" s="3" t="s">
        <v>1425</v>
      </c>
      <c r="B1178" s="6">
        <v>45758</v>
      </c>
      <c r="C1178" s="3" t="s">
        <v>8</v>
      </c>
      <c r="D1178" s="3" t="s">
        <v>94</v>
      </c>
      <c r="E1178" s="3" t="s">
        <v>256</v>
      </c>
      <c r="F1178" s="3">
        <v>1</v>
      </c>
      <c r="G1178" s="3">
        <v>15</v>
      </c>
      <c r="H1178" s="1">
        <f>VLOOKUP(D1178,products!A:D,4,FALSE)</f>
        <v>320000</v>
      </c>
      <c r="I1178" s="1" t="str">
        <f>VLOOKUP(C1178,branches!A:B,2,FALSE)</f>
        <v>Naija Mart GRA</v>
      </c>
      <c r="J1178" s="1">
        <f t="shared" si="36"/>
        <v>272000</v>
      </c>
      <c r="K1178" s="1" t="str">
        <f>VLOOKUP(D1178,products!A:D,2,FALSE)</f>
        <v>Electronics</v>
      </c>
      <c r="L1178" s="1" t="str">
        <f t="shared" si="37"/>
        <v>Apr-2025</v>
      </c>
    </row>
    <row r="1179" spans="1:12" x14ac:dyDescent="0.25">
      <c r="A1179" s="3" t="s">
        <v>1426</v>
      </c>
      <c r="B1179" s="6">
        <v>45782</v>
      </c>
      <c r="C1179" s="3" t="s">
        <v>16</v>
      </c>
      <c r="D1179" s="3" t="s">
        <v>26</v>
      </c>
      <c r="E1179" s="3" t="s">
        <v>234</v>
      </c>
      <c r="F1179" s="3">
        <v>1</v>
      </c>
      <c r="G1179" s="3">
        <v>5</v>
      </c>
      <c r="H1179" s="1">
        <f>VLOOKUP(D1179,products!A:D,4,FALSE)</f>
        <v>145000</v>
      </c>
      <c r="I1179" s="1" t="str">
        <f>VLOOKUP(C1179,branches!A:B,2,FALSE)</f>
        <v>Naija Mart Ikeja</v>
      </c>
      <c r="J1179" s="1">
        <f t="shared" si="36"/>
        <v>137750</v>
      </c>
      <c r="K1179" s="1" t="str">
        <f>VLOOKUP(D1179,products!A:D,2,FALSE)</f>
        <v>Electronics</v>
      </c>
      <c r="L1179" s="1" t="str">
        <f t="shared" si="37"/>
        <v>May-2025</v>
      </c>
    </row>
    <row r="1180" spans="1:12" x14ac:dyDescent="0.25">
      <c r="A1180" s="3" t="s">
        <v>1427</v>
      </c>
      <c r="B1180" s="6">
        <v>45684</v>
      </c>
      <c r="C1180" s="3" t="s">
        <v>16</v>
      </c>
      <c r="D1180" s="3" t="s">
        <v>13</v>
      </c>
      <c r="E1180" s="3" t="s">
        <v>551</v>
      </c>
      <c r="F1180" s="3">
        <v>1</v>
      </c>
      <c r="G1180" s="3">
        <v>0</v>
      </c>
      <c r="H1180" s="1">
        <f>VLOOKUP(D1180,products!A:D,4,FALSE)</f>
        <v>24000</v>
      </c>
      <c r="I1180" s="1" t="str">
        <f>VLOOKUP(C1180,branches!A:B,2,FALSE)</f>
        <v>Naija Mart Ikeja</v>
      </c>
      <c r="J1180" s="1">
        <f t="shared" si="36"/>
        <v>24000</v>
      </c>
      <c r="K1180" s="1" t="str">
        <f>VLOOKUP(D1180,products!A:D,2,FALSE)</f>
        <v>Home Appliances</v>
      </c>
      <c r="L1180" s="1" t="str">
        <f t="shared" si="37"/>
        <v>Jan-2025</v>
      </c>
    </row>
    <row r="1181" spans="1:12" x14ac:dyDescent="0.25">
      <c r="A1181" s="3" t="s">
        <v>1428</v>
      </c>
      <c r="B1181" s="6">
        <v>45689</v>
      </c>
      <c r="C1181" s="3" t="s">
        <v>36</v>
      </c>
      <c r="D1181" s="3" t="s">
        <v>23</v>
      </c>
      <c r="E1181" s="3" t="s">
        <v>519</v>
      </c>
      <c r="F1181" s="3">
        <v>1</v>
      </c>
      <c r="G1181" s="3">
        <v>0</v>
      </c>
      <c r="H1181" s="1">
        <f>VLOOKUP(D1181,products!A:D,4,FALSE)</f>
        <v>19500</v>
      </c>
      <c r="I1181" s="1" t="str">
        <f>VLOOKUP(C1181,branches!A:B,2,FALSE)</f>
        <v>Naija Mart Sabon Gari</v>
      </c>
      <c r="J1181" s="1">
        <f t="shared" si="36"/>
        <v>19500</v>
      </c>
      <c r="K1181" s="1" t="str">
        <f>VLOOKUP(D1181,products!A:D,2,FALSE)</f>
        <v>Home Appliances</v>
      </c>
      <c r="L1181" s="1" t="str">
        <f t="shared" si="37"/>
        <v>Feb-2025</v>
      </c>
    </row>
    <row r="1182" spans="1:12" x14ac:dyDescent="0.25">
      <c r="A1182" s="3" t="s">
        <v>1429</v>
      </c>
      <c r="B1182" s="6">
        <v>45878</v>
      </c>
      <c r="C1182" s="3" t="s">
        <v>16</v>
      </c>
      <c r="D1182" s="3" t="s">
        <v>23</v>
      </c>
      <c r="E1182" s="3" t="s">
        <v>24</v>
      </c>
      <c r="F1182" s="3">
        <v>1</v>
      </c>
      <c r="G1182" s="3">
        <v>0</v>
      </c>
      <c r="H1182" s="1">
        <f>VLOOKUP(D1182,products!A:D,4,FALSE)</f>
        <v>19500</v>
      </c>
      <c r="I1182" s="1" t="str">
        <f>VLOOKUP(C1182,branches!A:B,2,FALSE)</f>
        <v>Naija Mart Ikeja</v>
      </c>
      <c r="J1182" s="1">
        <f t="shared" si="36"/>
        <v>19500</v>
      </c>
      <c r="K1182" s="1" t="str">
        <f>VLOOKUP(D1182,products!A:D,2,FALSE)</f>
        <v>Home Appliances</v>
      </c>
      <c r="L1182" s="1" t="str">
        <f t="shared" si="37"/>
        <v>Aug-2025</v>
      </c>
    </row>
    <row r="1183" spans="1:12" x14ac:dyDescent="0.25">
      <c r="A1183" s="3" t="s">
        <v>1430</v>
      </c>
      <c r="B1183" s="6">
        <v>45896</v>
      </c>
      <c r="C1183" s="3" t="s">
        <v>12</v>
      </c>
      <c r="D1183" s="3" t="s">
        <v>51</v>
      </c>
      <c r="E1183" s="3" t="s">
        <v>353</v>
      </c>
      <c r="F1183" s="3">
        <v>1</v>
      </c>
      <c r="G1183" s="3">
        <v>0</v>
      </c>
      <c r="H1183" s="1">
        <f>VLOOKUP(D1183,products!A:D,4,FALSE)</f>
        <v>18000</v>
      </c>
      <c r="I1183" s="1" t="str">
        <f>VLOOKUP(C1183,branches!A:B,2,FALSE)</f>
        <v>Naija Mart Wuse</v>
      </c>
      <c r="J1183" s="1">
        <f t="shared" si="36"/>
        <v>18000</v>
      </c>
      <c r="K1183" s="1" t="str">
        <f>VLOOKUP(D1183,products!A:D,2,FALSE)</f>
        <v>Small Gadgets</v>
      </c>
      <c r="L1183" s="1" t="str">
        <f t="shared" si="37"/>
        <v>Aug-2025</v>
      </c>
    </row>
    <row r="1184" spans="1:12" x14ac:dyDescent="0.25">
      <c r="A1184" s="3" t="s">
        <v>1431</v>
      </c>
      <c r="B1184" s="6">
        <v>45916</v>
      </c>
      <c r="C1184" s="3" t="s">
        <v>16</v>
      </c>
      <c r="D1184" s="3" t="s">
        <v>46</v>
      </c>
      <c r="E1184" s="3" t="s">
        <v>491</v>
      </c>
      <c r="F1184" s="3">
        <v>1</v>
      </c>
      <c r="G1184" s="3">
        <v>0</v>
      </c>
      <c r="H1184" s="1">
        <f>VLOOKUP(D1184,products!A:D,4,FALSE)</f>
        <v>62000</v>
      </c>
      <c r="I1184" s="1" t="str">
        <f>VLOOKUP(C1184,branches!A:B,2,FALSE)</f>
        <v>Naija Mart Ikeja</v>
      </c>
      <c r="J1184" s="1">
        <f t="shared" si="36"/>
        <v>62000</v>
      </c>
      <c r="K1184" s="1" t="str">
        <f>VLOOKUP(D1184,products!A:D,2,FALSE)</f>
        <v>Home Appliances</v>
      </c>
      <c r="L1184" s="1" t="str">
        <f t="shared" si="37"/>
        <v>Sep-2025</v>
      </c>
    </row>
    <row r="1185" spans="1:12" x14ac:dyDescent="0.25">
      <c r="A1185" s="3" t="s">
        <v>1432</v>
      </c>
      <c r="B1185" s="6">
        <v>46018</v>
      </c>
      <c r="C1185" s="3" t="s">
        <v>8</v>
      </c>
      <c r="D1185" s="3" t="s">
        <v>23</v>
      </c>
      <c r="E1185" s="3" t="s">
        <v>324</v>
      </c>
      <c r="F1185" s="3">
        <v>5</v>
      </c>
      <c r="G1185" s="3">
        <v>10</v>
      </c>
      <c r="H1185" s="1">
        <f>VLOOKUP(D1185,products!A:D,4,FALSE)</f>
        <v>19500</v>
      </c>
      <c r="I1185" s="1" t="str">
        <f>VLOOKUP(C1185,branches!A:B,2,FALSE)</f>
        <v>Naija Mart GRA</v>
      </c>
      <c r="J1185" s="1">
        <f t="shared" si="36"/>
        <v>87750</v>
      </c>
      <c r="K1185" s="1" t="str">
        <f>VLOOKUP(D1185,products!A:D,2,FALSE)</f>
        <v>Home Appliances</v>
      </c>
      <c r="L1185" s="1" t="str">
        <f t="shared" si="37"/>
        <v>Dec-2025</v>
      </c>
    </row>
    <row r="1186" spans="1:12" x14ac:dyDescent="0.25">
      <c r="A1186" s="3" t="s">
        <v>1433</v>
      </c>
      <c r="B1186" s="6">
        <v>45934</v>
      </c>
      <c r="C1186" s="3" t="s">
        <v>8</v>
      </c>
      <c r="D1186" s="3" t="s">
        <v>37</v>
      </c>
      <c r="E1186" s="3" t="s">
        <v>524</v>
      </c>
      <c r="F1186" s="3">
        <v>1</v>
      </c>
      <c r="G1186" s="3">
        <v>0</v>
      </c>
      <c r="H1186" s="1">
        <f>VLOOKUP(D1186,products!A:D,4,FALSE)</f>
        <v>8500</v>
      </c>
      <c r="I1186" s="1" t="str">
        <f>VLOOKUP(C1186,branches!A:B,2,FALSE)</f>
        <v>Naija Mart GRA</v>
      </c>
      <c r="J1186" s="1">
        <f t="shared" si="36"/>
        <v>8500</v>
      </c>
      <c r="K1186" s="1" t="str">
        <f>VLOOKUP(D1186,products!A:D,2,FALSE)</f>
        <v>Small Gadgets</v>
      </c>
      <c r="L1186" s="1" t="str">
        <f t="shared" si="37"/>
        <v>Oct-2025</v>
      </c>
    </row>
    <row r="1187" spans="1:12" x14ac:dyDescent="0.25">
      <c r="A1187" s="3" t="s">
        <v>1434</v>
      </c>
      <c r="B1187" s="6">
        <v>45986</v>
      </c>
      <c r="C1187" s="3" t="s">
        <v>8</v>
      </c>
      <c r="D1187" s="3" t="s">
        <v>69</v>
      </c>
      <c r="E1187" s="3" t="s">
        <v>650</v>
      </c>
      <c r="F1187" s="3">
        <v>1</v>
      </c>
      <c r="G1187" s="3">
        <v>15</v>
      </c>
      <c r="H1187" s="1">
        <f>VLOOKUP(D1187,products!A:D,4,FALSE)</f>
        <v>45000</v>
      </c>
      <c r="I1187" s="1" t="str">
        <f>VLOOKUP(C1187,branches!A:B,2,FALSE)</f>
        <v>Naija Mart GRA</v>
      </c>
      <c r="J1187" s="1">
        <f t="shared" si="36"/>
        <v>38250</v>
      </c>
      <c r="K1187" s="1" t="str">
        <f>VLOOKUP(D1187,products!A:D,2,FALSE)</f>
        <v>Electronics</v>
      </c>
      <c r="L1187" s="1" t="str">
        <f t="shared" si="37"/>
        <v>Nov-2025</v>
      </c>
    </row>
    <row r="1188" spans="1:12" x14ac:dyDescent="0.25">
      <c r="A1188" s="3" t="s">
        <v>1435</v>
      </c>
      <c r="B1188" s="6">
        <v>45852</v>
      </c>
      <c r="C1188" s="3" t="s">
        <v>8</v>
      </c>
      <c r="D1188" s="3" t="s">
        <v>20</v>
      </c>
      <c r="E1188" s="3" t="s">
        <v>178</v>
      </c>
      <c r="F1188" s="3">
        <v>1</v>
      </c>
      <c r="G1188" s="3">
        <v>0</v>
      </c>
      <c r="H1188" s="1">
        <f>VLOOKUP(D1188,products!A:D,4,FALSE)</f>
        <v>38000</v>
      </c>
      <c r="I1188" s="1" t="str">
        <f>VLOOKUP(C1188,branches!A:B,2,FALSE)</f>
        <v>Naija Mart GRA</v>
      </c>
      <c r="J1188" s="1">
        <f t="shared" si="36"/>
        <v>38000</v>
      </c>
      <c r="K1188" s="1" t="str">
        <f>VLOOKUP(D1188,products!A:D,2,FALSE)</f>
        <v>Electronics</v>
      </c>
      <c r="L1188" s="1" t="str">
        <f t="shared" si="37"/>
        <v>Jul-2025</v>
      </c>
    </row>
    <row r="1189" spans="1:12" x14ac:dyDescent="0.25">
      <c r="A1189" s="3" t="s">
        <v>1436</v>
      </c>
      <c r="B1189" s="6">
        <v>45999</v>
      </c>
      <c r="C1189" s="3" t="s">
        <v>12</v>
      </c>
      <c r="D1189" s="3" t="s">
        <v>9</v>
      </c>
      <c r="E1189" s="3" t="s">
        <v>52</v>
      </c>
      <c r="F1189" s="3">
        <v>2</v>
      </c>
      <c r="G1189" s="3">
        <v>25</v>
      </c>
      <c r="H1189" s="1">
        <f>VLOOKUP(D1189,products!A:D,4,FALSE)</f>
        <v>410000</v>
      </c>
      <c r="I1189" s="1" t="str">
        <f>VLOOKUP(C1189,branches!A:B,2,FALSE)</f>
        <v>Naija Mart Wuse</v>
      </c>
      <c r="J1189" s="1">
        <f t="shared" si="36"/>
        <v>615000</v>
      </c>
      <c r="K1189" s="1" t="str">
        <f>VLOOKUP(D1189,products!A:D,2,FALSE)</f>
        <v>Home Appliances</v>
      </c>
      <c r="L1189" s="1" t="str">
        <f t="shared" si="37"/>
        <v>Dec-2025</v>
      </c>
    </row>
    <row r="1190" spans="1:12" x14ac:dyDescent="0.25">
      <c r="A1190" s="3" t="s">
        <v>1437</v>
      </c>
      <c r="B1190" s="6">
        <v>45984</v>
      </c>
      <c r="C1190" s="3" t="s">
        <v>16</v>
      </c>
      <c r="D1190" s="3" t="s">
        <v>9</v>
      </c>
      <c r="E1190" s="3" t="s">
        <v>211</v>
      </c>
      <c r="F1190" s="3">
        <v>2</v>
      </c>
      <c r="G1190" s="3">
        <v>0</v>
      </c>
      <c r="H1190" s="1">
        <f>VLOOKUP(D1190,products!A:D,4,FALSE)</f>
        <v>410000</v>
      </c>
      <c r="I1190" s="1" t="str">
        <f>VLOOKUP(C1190,branches!A:B,2,FALSE)</f>
        <v>Naija Mart Ikeja</v>
      </c>
      <c r="J1190" s="1">
        <f t="shared" si="36"/>
        <v>820000</v>
      </c>
      <c r="K1190" s="1" t="str">
        <f>VLOOKUP(D1190,products!A:D,2,FALSE)</f>
        <v>Home Appliances</v>
      </c>
      <c r="L1190" s="1" t="str">
        <f t="shared" si="37"/>
        <v>Nov-2025</v>
      </c>
    </row>
    <row r="1191" spans="1:12" x14ac:dyDescent="0.25">
      <c r="A1191" s="3" t="s">
        <v>1438</v>
      </c>
      <c r="B1191" s="6">
        <v>45756</v>
      </c>
      <c r="C1191" s="3" t="s">
        <v>8</v>
      </c>
      <c r="D1191" s="3" t="s">
        <v>126</v>
      </c>
      <c r="E1191" s="3" t="s">
        <v>182</v>
      </c>
      <c r="F1191" s="3">
        <v>1</v>
      </c>
      <c r="G1191" s="3">
        <v>0</v>
      </c>
      <c r="H1191" s="1">
        <f>VLOOKUP(D1191,products!A:D,4,FALSE)</f>
        <v>185000</v>
      </c>
      <c r="I1191" s="1" t="str">
        <f>VLOOKUP(C1191,branches!A:B,2,FALSE)</f>
        <v>Naija Mart GRA</v>
      </c>
      <c r="J1191" s="1">
        <f t="shared" si="36"/>
        <v>185000</v>
      </c>
      <c r="K1191" s="1" t="str">
        <f>VLOOKUP(D1191,products!A:D,2,FALSE)</f>
        <v>Electronics</v>
      </c>
      <c r="L1191" s="1" t="str">
        <f t="shared" si="37"/>
        <v>Apr-2025</v>
      </c>
    </row>
    <row r="1192" spans="1:12" x14ac:dyDescent="0.25">
      <c r="A1192" s="3" t="s">
        <v>1439</v>
      </c>
      <c r="B1192" s="6">
        <v>45889</v>
      </c>
      <c r="C1192" s="3" t="s">
        <v>16</v>
      </c>
      <c r="D1192" s="3" t="s">
        <v>26</v>
      </c>
      <c r="E1192" s="3" t="s">
        <v>100</v>
      </c>
      <c r="F1192" s="3">
        <v>1</v>
      </c>
      <c r="G1192" s="3">
        <v>0</v>
      </c>
      <c r="H1192" s="1">
        <f>VLOOKUP(D1192,products!A:D,4,FALSE)</f>
        <v>145000</v>
      </c>
      <c r="I1192" s="1" t="str">
        <f>VLOOKUP(C1192,branches!A:B,2,FALSE)</f>
        <v>Naija Mart Ikeja</v>
      </c>
      <c r="J1192" s="1">
        <f t="shared" si="36"/>
        <v>145000</v>
      </c>
      <c r="K1192" s="1" t="str">
        <f>VLOOKUP(D1192,products!A:D,2,FALSE)</f>
        <v>Electronics</v>
      </c>
      <c r="L1192" s="1" t="str">
        <f t="shared" si="37"/>
        <v>Aug-2025</v>
      </c>
    </row>
    <row r="1193" spans="1:12" x14ac:dyDescent="0.25">
      <c r="A1193" s="3" t="s">
        <v>1440</v>
      </c>
      <c r="B1193" s="6">
        <v>45946</v>
      </c>
      <c r="C1193" s="3" t="s">
        <v>12</v>
      </c>
      <c r="D1193" s="3" t="s">
        <v>51</v>
      </c>
      <c r="E1193" s="3" t="s">
        <v>52</v>
      </c>
      <c r="F1193" s="3">
        <v>1</v>
      </c>
      <c r="G1193" s="3">
        <v>5</v>
      </c>
      <c r="H1193" s="1">
        <f>VLOOKUP(D1193,products!A:D,4,FALSE)</f>
        <v>18000</v>
      </c>
      <c r="I1193" s="1" t="str">
        <f>VLOOKUP(C1193,branches!A:B,2,FALSE)</f>
        <v>Naija Mart Wuse</v>
      </c>
      <c r="J1193" s="1">
        <f t="shared" si="36"/>
        <v>17100</v>
      </c>
      <c r="K1193" s="1" t="str">
        <f>VLOOKUP(D1193,products!A:D,2,FALSE)</f>
        <v>Small Gadgets</v>
      </c>
      <c r="L1193" s="1" t="str">
        <f t="shared" si="37"/>
        <v>Oct-2025</v>
      </c>
    </row>
    <row r="1194" spans="1:12" x14ac:dyDescent="0.25">
      <c r="A1194" s="3" t="s">
        <v>1441</v>
      </c>
      <c r="B1194" s="6">
        <v>46007</v>
      </c>
      <c r="C1194" s="3" t="s">
        <v>16</v>
      </c>
      <c r="D1194" s="3" t="s">
        <v>94</v>
      </c>
      <c r="E1194" s="3" t="s">
        <v>605</v>
      </c>
      <c r="F1194" s="3">
        <v>1</v>
      </c>
      <c r="G1194" s="3">
        <v>10</v>
      </c>
      <c r="H1194" s="1">
        <f>VLOOKUP(D1194,products!A:D,4,FALSE)</f>
        <v>320000</v>
      </c>
      <c r="I1194" s="1" t="str">
        <f>VLOOKUP(C1194,branches!A:B,2,FALSE)</f>
        <v>Naija Mart Ikeja</v>
      </c>
      <c r="J1194" s="1">
        <f t="shared" si="36"/>
        <v>288000</v>
      </c>
      <c r="K1194" s="1" t="str">
        <f>VLOOKUP(D1194,products!A:D,2,FALSE)</f>
        <v>Electronics</v>
      </c>
      <c r="L1194" s="1" t="str">
        <f t="shared" si="37"/>
        <v>Dec-2025</v>
      </c>
    </row>
    <row r="1195" spans="1:12" x14ac:dyDescent="0.25">
      <c r="A1195" s="3" t="s">
        <v>1442</v>
      </c>
      <c r="B1195" s="6">
        <v>45659</v>
      </c>
      <c r="C1195" s="3" t="s">
        <v>12</v>
      </c>
      <c r="D1195" s="3" t="s">
        <v>46</v>
      </c>
      <c r="E1195" s="3" t="s">
        <v>861</v>
      </c>
      <c r="F1195" s="3">
        <v>1</v>
      </c>
      <c r="G1195" s="3">
        <v>0</v>
      </c>
      <c r="H1195" s="1">
        <f>VLOOKUP(D1195,products!A:D,4,FALSE)</f>
        <v>62000</v>
      </c>
      <c r="I1195" s="1" t="str">
        <f>VLOOKUP(C1195,branches!A:B,2,FALSE)</f>
        <v>Naija Mart Wuse</v>
      </c>
      <c r="J1195" s="1">
        <f t="shared" si="36"/>
        <v>62000</v>
      </c>
      <c r="K1195" s="1" t="str">
        <f>VLOOKUP(D1195,products!A:D,2,FALSE)</f>
        <v>Home Appliances</v>
      </c>
      <c r="L1195" s="1" t="str">
        <f t="shared" si="37"/>
        <v>Jan-2025</v>
      </c>
    </row>
    <row r="1196" spans="1:12" x14ac:dyDescent="0.25">
      <c r="A1196" s="3" t="s">
        <v>1443</v>
      </c>
      <c r="B1196" s="6">
        <v>45795</v>
      </c>
      <c r="C1196" s="3" t="s">
        <v>16</v>
      </c>
      <c r="D1196" s="3" t="s">
        <v>43</v>
      </c>
      <c r="E1196" s="3" t="s">
        <v>302</v>
      </c>
      <c r="F1196" s="3">
        <v>1</v>
      </c>
      <c r="G1196" s="3">
        <v>0</v>
      </c>
      <c r="H1196" s="1">
        <f>VLOOKUP(D1196,products!A:D,4,FALSE)</f>
        <v>74000</v>
      </c>
      <c r="I1196" s="1" t="str">
        <f>VLOOKUP(C1196,branches!A:B,2,FALSE)</f>
        <v>Naija Mart Ikeja</v>
      </c>
      <c r="J1196" s="1">
        <f t="shared" si="36"/>
        <v>74000</v>
      </c>
      <c r="K1196" s="1" t="str">
        <f>VLOOKUP(D1196,products!A:D,2,FALSE)</f>
        <v>Home Appliances</v>
      </c>
      <c r="L1196" s="1" t="str">
        <f t="shared" si="37"/>
        <v>May-2025</v>
      </c>
    </row>
    <row r="1197" spans="1:12" x14ac:dyDescent="0.25">
      <c r="A1197" s="3" t="s">
        <v>1444</v>
      </c>
      <c r="B1197" s="6">
        <v>45739</v>
      </c>
      <c r="C1197" s="3" t="s">
        <v>16</v>
      </c>
      <c r="D1197" s="3" t="s">
        <v>13</v>
      </c>
      <c r="E1197" s="3" t="s">
        <v>29</v>
      </c>
      <c r="F1197" s="3">
        <v>1</v>
      </c>
      <c r="G1197" s="3">
        <v>0</v>
      </c>
      <c r="H1197" s="1">
        <f>VLOOKUP(D1197,products!A:D,4,FALSE)</f>
        <v>24000</v>
      </c>
      <c r="I1197" s="1" t="str">
        <f>VLOOKUP(C1197,branches!A:B,2,FALSE)</f>
        <v>Naija Mart Ikeja</v>
      </c>
      <c r="J1197" s="1">
        <f t="shared" si="36"/>
        <v>24000</v>
      </c>
      <c r="K1197" s="1" t="str">
        <f>VLOOKUP(D1197,products!A:D,2,FALSE)</f>
        <v>Home Appliances</v>
      </c>
      <c r="L1197" s="1" t="str">
        <f t="shared" si="37"/>
        <v>Mar-2025</v>
      </c>
    </row>
    <row r="1198" spans="1:12" x14ac:dyDescent="0.25">
      <c r="A1198" s="3" t="s">
        <v>1445</v>
      </c>
      <c r="B1198" s="6">
        <v>45787</v>
      </c>
      <c r="C1198" s="3" t="s">
        <v>16</v>
      </c>
      <c r="D1198" s="3" t="s">
        <v>40</v>
      </c>
      <c r="E1198" s="3" t="s">
        <v>1090</v>
      </c>
      <c r="F1198" s="3">
        <v>1</v>
      </c>
      <c r="G1198" s="3">
        <v>10</v>
      </c>
      <c r="H1198" s="1">
        <f>VLOOKUP(D1198,products!A:D,4,FALSE)</f>
        <v>195000</v>
      </c>
      <c r="I1198" s="1" t="str">
        <f>VLOOKUP(C1198,branches!A:B,2,FALSE)</f>
        <v>Naija Mart Ikeja</v>
      </c>
      <c r="J1198" s="1">
        <f t="shared" si="36"/>
        <v>175500</v>
      </c>
      <c r="K1198" s="1" t="str">
        <f>VLOOKUP(D1198,products!A:D,2,FALSE)</f>
        <v>Generators &amp; Power</v>
      </c>
      <c r="L1198" s="1" t="str">
        <f t="shared" si="37"/>
        <v>May-2025</v>
      </c>
    </row>
    <row r="1199" spans="1:12" x14ac:dyDescent="0.25">
      <c r="A1199" s="3" t="s">
        <v>1446</v>
      </c>
      <c r="B1199" s="6">
        <v>46019</v>
      </c>
      <c r="C1199" s="3" t="s">
        <v>8</v>
      </c>
      <c r="D1199" s="3" t="s">
        <v>26</v>
      </c>
      <c r="E1199" s="3" t="s">
        <v>528</v>
      </c>
      <c r="F1199" s="3">
        <v>1</v>
      </c>
      <c r="G1199" s="3">
        <v>10</v>
      </c>
      <c r="H1199" s="1">
        <f>VLOOKUP(D1199,products!A:D,4,FALSE)</f>
        <v>145000</v>
      </c>
      <c r="I1199" s="1" t="str">
        <f>VLOOKUP(C1199,branches!A:B,2,FALSE)</f>
        <v>Naija Mart GRA</v>
      </c>
      <c r="J1199" s="1">
        <f t="shared" si="36"/>
        <v>130500</v>
      </c>
      <c r="K1199" s="1" t="str">
        <f>VLOOKUP(D1199,products!A:D,2,FALSE)</f>
        <v>Electronics</v>
      </c>
      <c r="L1199" s="1" t="str">
        <f t="shared" si="37"/>
        <v>Dec-2025</v>
      </c>
    </row>
    <row r="1200" spans="1:12" x14ac:dyDescent="0.25">
      <c r="A1200" s="3" t="s">
        <v>1447</v>
      </c>
      <c r="B1200" s="6">
        <v>45728</v>
      </c>
      <c r="C1200" s="3" t="s">
        <v>16</v>
      </c>
      <c r="D1200" s="3" t="s">
        <v>37</v>
      </c>
      <c r="E1200" s="3" t="s">
        <v>367</v>
      </c>
      <c r="F1200" s="3">
        <v>1</v>
      </c>
      <c r="G1200" s="3">
        <v>15</v>
      </c>
      <c r="H1200" s="1">
        <f>VLOOKUP(D1200,products!A:D,4,FALSE)</f>
        <v>8500</v>
      </c>
      <c r="I1200" s="1" t="str">
        <f>VLOOKUP(C1200,branches!A:B,2,FALSE)</f>
        <v>Naija Mart Ikeja</v>
      </c>
      <c r="J1200" s="1">
        <f t="shared" si="36"/>
        <v>7225</v>
      </c>
      <c r="K1200" s="1" t="str">
        <f>VLOOKUP(D1200,products!A:D,2,FALSE)</f>
        <v>Small Gadgets</v>
      </c>
      <c r="L1200" s="1" t="str">
        <f t="shared" si="37"/>
        <v>Mar-2025</v>
      </c>
    </row>
    <row r="1201" spans="1:12" x14ac:dyDescent="0.25">
      <c r="A1201" s="3" t="s">
        <v>1448</v>
      </c>
      <c r="B1201" s="6">
        <v>45894</v>
      </c>
      <c r="C1201" s="3" t="s">
        <v>16</v>
      </c>
      <c r="D1201" s="3" t="s">
        <v>258</v>
      </c>
      <c r="E1201" s="3" t="s">
        <v>387</v>
      </c>
      <c r="F1201" s="3">
        <v>1</v>
      </c>
      <c r="G1201" s="3">
        <v>5</v>
      </c>
      <c r="H1201" s="1">
        <f>VLOOKUP(D1201,products!A:D,4,FALSE)</f>
        <v>95000</v>
      </c>
      <c r="I1201" s="1" t="str">
        <f>VLOOKUP(C1201,branches!A:B,2,FALSE)</f>
        <v>Naija Mart Ikeja</v>
      </c>
      <c r="J1201" s="1">
        <f t="shared" si="36"/>
        <v>90250</v>
      </c>
      <c r="K1201" s="1" t="str">
        <f>VLOOKUP(D1201,products!A:D,2,FALSE)</f>
        <v>Electronics</v>
      </c>
      <c r="L1201" s="1" t="str">
        <f t="shared" si="37"/>
        <v>Aug-2025</v>
      </c>
    </row>
    <row r="1202" spans="1:12" x14ac:dyDescent="0.25">
      <c r="A1202" s="3" t="s">
        <v>1449</v>
      </c>
      <c r="B1202" s="6">
        <v>45772</v>
      </c>
      <c r="C1202" s="3" t="s">
        <v>12</v>
      </c>
      <c r="D1202" s="3" t="s">
        <v>9</v>
      </c>
      <c r="E1202" s="3" t="s">
        <v>353</v>
      </c>
      <c r="F1202" s="3">
        <v>1</v>
      </c>
      <c r="G1202" s="3">
        <v>0</v>
      </c>
      <c r="H1202" s="1">
        <f>VLOOKUP(D1202,products!A:D,4,FALSE)</f>
        <v>410000</v>
      </c>
      <c r="I1202" s="1" t="str">
        <f>VLOOKUP(C1202,branches!A:B,2,FALSE)</f>
        <v>Naija Mart Wuse</v>
      </c>
      <c r="J1202" s="1">
        <f t="shared" si="36"/>
        <v>410000</v>
      </c>
      <c r="K1202" s="1" t="str">
        <f>VLOOKUP(D1202,products!A:D,2,FALSE)</f>
        <v>Home Appliances</v>
      </c>
      <c r="L1202" s="1" t="str">
        <f t="shared" si="37"/>
        <v>Apr-2025</v>
      </c>
    </row>
    <row r="1203" spans="1:12" x14ac:dyDescent="0.25">
      <c r="A1203" s="3" t="s">
        <v>1450</v>
      </c>
      <c r="B1203" s="6">
        <v>45850</v>
      </c>
      <c r="C1203" s="3" t="s">
        <v>36</v>
      </c>
      <c r="D1203" s="3" t="s">
        <v>51</v>
      </c>
      <c r="E1203" s="3" t="s">
        <v>618</v>
      </c>
      <c r="F1203" s="3">
        <v>2</v>
      </c>
      <c r="G1203" s="3">
        <v>0</v>
      </c>
      <c r="H1203" s="1">
        <f>VLOOKUP(D1203,products!A:D,4,FALSE)</f>
        <v>18000</v>
      </c>
      <c r="I1203" s="1" t="str">
        <f>VLOOKUP(C1203,branches!A:B,2,FALSE)</f>
        <v>Naija Mart Sabon Gari</v>
      </c>
      <c r="J1203" s="1">
        <f t="shared" si="36"/>
        <v>36000</v>
      </c>
      <c r="K1203" s="1" t="str">
        <f>VLOOKUP(D1203,products!A:D,2,FALSE)</f>
        <v>Small Gadgets</v>
      </c>
      <c r="L1203" s="1" t="str">
        <f t="shared" si="37"/>
        <v>Jul-2025</v>
      </c>
    </row>
    <row r="1204" spans="1:12" x14ac:dyDescent="0.25">
      <c r="A1204" s="3" t="s">
        <v>1451</v>
      </c>
      <c r="B1204" s="6">
        <v>45766</v>
      </c>
      <c r="C1204" s="3" t="s">
        <v>8</v>
      </c>
      <c r="D1204" s="3" t="s">
        <v>94</v>
      </c>
      <c r="E1204" s="3" t="s">
        <v>65</v>
      </c>
      <c r="F1204" s="3">
        <v>5</v>
      </c>
      <c r="G1204" s="3">
        <v>0</v>
      </c>
      <c r="H1204" s="1">
        <f>VLOOKUP(D1204,products!A:D,4,FALSE)</f>
        <v>320000</v>
      </c>
      <c r="I1204" s="1" t="str">
        <f>VLOOKUP(C1204,branches!A:B,2,FALSE)</f>
        <v>Naija Mart GRA</v>
      </c>
      <c r="J1204" s="1">
        <f t="shared" si="36"/>
        <v>1600000</v>
      </c>
      <c r="K1204" s="1" t="str">
        <f>VLOOKUP(D1204,products!A:D,2,FALSE)</f>
        <v>Electronics</v>
      </c>
      <c r="L1204" s="1" t="str">
        <f t="shared" si="37"/>
        <v>Apr-2025</v>
      </c>
    </row>
    <row r="1205" spans="1:12" x14ac:dyDescent="0.25">
      <c r="A1205" s="3" t="s">
        <v>1452</v>
      </c>
      <c r="B1205" s="6">
        <v>45753</v>
      </c>
      <c r="C1205" s="3" t="s">
        <v>16</v>
      </c>
      <c r="D1205" s="3" t="s">
        <v>9</v>
      </c>
      <c r="E1205" s="3" t="s">
        <v>207</v>
      </c>
      <c r="F1205" s="3">
        <v>1</v>
      </c>
      <c r="G1205" s="3">
        <v>0</v>
      </c>
      <c r="H1205" s="1">
        <f>VLOOKUP(D1205,products!A:D,4,FALSE)</f>
        <v>410000</v>
      </c>
      <c r="I1205" s="1" t="str">
        <f>VLOOKUP(C1205,branches!A:B,2,FALSE)</f>
        <v>Naija Mart Ikeja</v>
      </c>
      <c r="J1205" s="1">
        <f t="shared" si="36"/>
        <v>410000</v>
      </c>
      <c r="K1205" s="1" t="str">
        <f>VLOOKUP(D1205,products!A:D,2,FALSE)</f>
        <v>Home Appliances</v>
      </c>
      <c r="L1205" s="1" t="str">
        <f t="shared" si="37"/>
        <v>Apr-2025</v>
      </c>
    </row>
    <row r="1206" spans="1:12" x14ac:dyDescent="0.25">
      <c r="A1206" s="3" t="s">
        <v>1453</v>
      </c>
      <c r="B1206" s="6">
        <v>45666</v>
      </c>
      <c r="C1206" s="3" t="s">
        <v>8</v>
      </c>
      <c r="D1206" s="3" t="s">
        <v>20</v>
      </c>
      <c r="E1206" s="3" t="s">
        <v>349</v>
      </c>
      <c r="F1206" s="3">
        <v>1</v>
      </c>
      <c r="G1206" s="3">
        <v>5</v>
      </c>
      <c r="H1206" s="1">
        <f>VLOOKUP(D1206,products!A:D,4,FALSE)</f>
        <v>38000</v>
      </c>
      <c r="I1206" s="1" t="str">
        <f>VLOOKUP(C1206,branches!A:B,2,FALSE)</f>
        <v>Naija Mart GRA</v>
      </c>
      <c r="J1206" s="1">
        <f t="shared" si="36"/>
        <v>36100</v>
      </c>
      <c r="K1206" s="1" t="str">
        <f>VLOOKUP(D1206,products!A:D,2,FALSE)</f>
        <v>Electronics</v>
      </c>
      <c r="L1206" s="1" t="str">
        <f t="shared" si="37"/>
        <v>Jan-2025</v>
      </c>
    </row>
    <row r="1207" spans="1:12" x14ac:dyDescent="0.25">
      <c r="A1207" s="3" t="s">
        <v>1454</v>
      </c>
      <c r="B1207" s="6">
        <v>45828</v>
      </c>
      <c r="C1207" s="3" t="s">
        <v>16</v>
      </c>
      <c r="D1207" s="3" t="s">
        <v>20</v>
      </c>
      <c r="E1207" s="3" t="s">
        <v>322</v>
      </c>
      <c r="F1207" s="3">
        <v>1</v>
      </c>
      <c r="G1207" s="3">
        <v>20</v>
      </c>
      <c r="H1207" s="1">
        <f>VLOOKUP(D1207,products!A:D,4,FALSE)</f>
        <v>38000</v>
      </c>
      <c r="I1207" s="1" t="str">
        <f>VLOOKUP(C1207,branches!A:B,2,FALSE)</f>
        <v>Naija Mart Ikeja</v>
      </c>
      <c r="J1207" s="1">
        <f t="shared" si="36"/>
        <v>30400</v>
      </c>
      <c r="K1207" s="1" t="str">
        <f>VLOOKUP(D1207,products!A:D,2,FALSE)</f>
        <v>Electronics</v>
      </c>
      <c r="L1207" s="1" t="str">
        <f t="shared" si="37"/>
        <v>Jun-2025</v>
      </c>
    </row>
    <row r="1208" spans="1:12" x14ac:dyDescent="0.25">
      <c r="A1208" s="3" t="s">
        <v>1455</v>
      </c>
      <c r="B1208" s="6">
        <v>45962</v>
      </c>
      <c r="C1208" s="3" t="s">
        <v>16</v>
      </c>
      <c r="D1208" s="3" t="s">
        <v>149</v>
      </c>
      <c r="E1208" s="3" t="s">
        <v>469</v>
      </c>
      <c r="F1208" s="3">
        <v>1</v>
      </c>
      <c r="G1208" s="3">
        <v>0</v>
      </c>
      <c r="H1208" s="1">
        <f>VLOOKUP(D1208,products!A:D,4,FALSE)</f>
        <v>6500</v>
      </c>
      <c r="I1208" s="1" t="str">
        <f>VLOOKUP(C1208,branches!A:B,2,FALSE)</f>
        <v>Naija Mart Ikeja</v>
      </c>
      <c r="J1208" s="1">
        <f t="shared" si="36"/>
        <v>6500</v>
      </c>
      <c r="K1208" s="1" t="str">
        <f>VLOOKUP(D1208,products!A:D,2,FALSE)</f>
        <v>Small Gadgets</v>
      </c>
      <c r="L1208" s="1" t="str">
        <f t="shared" si="37"/>
        <v>Nov-2025</v>
      </c>
    </row>
    <row r="1209" spans="1:12" x14ac:dyDescent="0.25">
      <c r="A1209" s="3" t="s">
        <v>1456</v>
      </c>
      <c r="B1209" s="6">
        <v>45912</v>
      </c>
      <c r="C1209" s="3" t="s">
        <v>16</v>
      </c>
      <c r="D1209" s="3" t="s">
        <v>91</v>
      </c>
      <c r="E1209" s="3" t="s">
        <v>516</v>
      </c>
      <c r="F1209" s="3">
        <v>1</v>
      </c>
      <c r="G1209" s="3">
        <v>20</v>
      </c>
      <c r="H1209" s="1">
        <f>VLOOKUP(D1209,products!A:D,4,FALSE)</f>
        <v>5200</v>
      </c>
      <c r="I1209" s="1" t="str">
        <f>VLOOKUP(C1209,branches!A:B,2,FALSE)</f>
        <v>Naija Mart Ikeja</v>
      </c>
      <c r="J1209" s="1">
        <f t="shared" si="36"/>
        <v>4160</v>
      </c>
      <c r="K1209" s="1" t="str">
        <f>VLOOKUP(D1209,products!A:D,2,FALSE)</f>
        <v>Small Gadgets</v>
      </c>
      <c r="L1209" s="1" t="str">
        <f t="shared" si="37"/>
        <v>Sep-2025</v>
      </c>
    </row>
    <row r="1210" spans="1:12" x14ac:dyDescent="0.25">
      <c r="A1210" s="3" t="s">
        <v>1457</v>
      </c>
      <c r="B1210" s="6">
        <v>45885</v>
      </c>
      <c r="C1210" s="3" t="s">
        <v>16</v>
      </c>
      <c r="D1210" s="3" t="s">
        <v>94</v>
      </c>
      <c r="E1210" s="3" t="s">
        <v>693</v>
      </c>
      <c r="F1210" s="3">
        <v>2</v>
      </c>
      <c r="G1210" s="3">
        <v>20</v>
      </c>
      <c r="H1210" s="1">
        <f>VLOOKUP(D1210,products!A:D,4,FALSE)</f>
        <v>320000</v>
      </c>
      <c r="I1210" s="1" t="str">
        <f>VLOOKUP(C1210,branches!A:B,2,FALSE)</f>
        <v>Naija Mart Ikeja</v>
      </c>
      <c r="J1210" s="1">
        <f t="shared" si="36"/>
        <v>512000</v>
      </c>
      <c r="K1210" s="1" t="str">
        <f>VLOOKUP(D1210,products!A:D,2,FALSE)</f>
        <v>Electronics</v>
      </c>
      <c r="L1210" s="1" t="str">
        <f t="shared" si="37"/>
        <v>Aug-2025</v>
      </c>
    </row>
    <row r="1211" spans="1:12" x14ac:dyDescent="0.25">
      <c r="A1211" s="3" t="s">
        <v>1458</v>
      </c>
      <c r="B1211" s="6">
        <v>45996</v>
      </c>
      <c r="C1211" s="3" t="s">
        <v>12</v>
      </c>
      <c r="D1211" s="3" t="s">
        <v>258</v>
      </c>
      <c r="E1211" s="3" t="s">
        <v>823</v>
      </c>
      <c r="F1211" s="3">
        <v>1</v>
      </c>
      <c r="G1211" s="3">
        <v>0</v>
      </c>
      <c r="H1211" s="1">
        <f>VLOOKUP(D1211,products!A:D,4,FALSE)</f>
        <v>95000</v>
      </c>
      <c r="I1211" s="1" t="str">
        <f>VLOOKUP(C1211,branches!A:B,2,FALSE)</f>
        <v>Naija Mart Wuse</v>
      </c>
      <c r="J1211" s="1">
        <f t="shared" si="36"/>
        <v>95000</v>
      </c>
      <c r="K1211" s="1" t="str">
        <f>VLOOKUP(D1211,products!A:D,2,FALSE)</f>
        <v>Electronics</v>
      </c>
      <c r="L1211" s="1" t="str">
        <f t="shared" si="37"/>
        <v>Dec-2025</v>
      </c>
    </row>
    <row r="1212" spans="1:12" x14ac:dyDescent="0.25">
      <c r="A1212" s="3" t="s">
        <v>1459</v>
      </c>
      <c r="B1212" s="6">
        <v>45677</v>
      </c>
      <c r="C1212" s="3" t="s">
        <v>8</v>
      </c>
      <c r="D1212" s="3" t="s">
        <v>33</v>
      </c>
      <c r="E1212" s="3" t="s">
        <v>477</v>
      </c>
      <c r="F1212" s="3">
        <v>1</v>
      </c>
      <c r="G1212" s="3">
        <v>0</v>
      </c>
      <c r="H1212" s="1">
        <f>VLOOKUP(D1212,products!A:D,4,FALSE)</f>
        <v>245000</v>
      </c>
      <c r="I1212" s="1" t="str">
        <f>VLOOKUP(C1212,branches!A:B,2,FALSE)</f>
        <v>Naija Mart GRA</v>
      </c>
      <c r="J1212" s="1">
        <f t="shared" si="36"/>
        <v>245000</v>
      </c>
      <c r="K1212" s="1" t="str">
        <f>VLOOKUP(D1212,products!A:D,2,FALSE)</f>
        <v>Generators &amp; Power</v>
      </c>
      <c r="L1212" s="1" t="str">
        <f t="shared" si="37"/>
        <v>Jan-2025</v>
      </c>
    </row>
    <row r="1213" spans="1:12" x14ac:dyDescent="0.25">
      <c r="A1213" s="3" t="s">
        <v>1460</v>
      </c>
      <c r="B1213" s="6">
        <v>45902</v>
      </c>
      <c r="C1213" s="3" t="s">
        <v>36</v>
      </c>
      <c r="D1213" s="3" t="s">
        <v>56</v>
      </c>
      <c r="E1213" s="3" t="s">
        <v>207</v>
      </c>
      <c r="F1213" s="3">
        <v>1</v>
      </c>
      <c r="G1213" s="3">
        <v>0</v>
      </c>
      <c r="H1213" s="1">
        <f>VLOOKUP(D1213,products!A:D,4,FALSE)</f>
        <v>285000</v>
      </c>
      <c r="I1213" s="1" t="str">
        <f>VLOOKUP(C1213,branches!A:B,2,FALSE)</f>
        <v>Naija Mart Sabon Gari</v>
      </c>
      <c r="J1213" s="1">
        <f t="shared" si="36"/>
        <v>285000</v>
      </c>
      <c r="K1213" s="1" t="str">
        <f>VLOOKUP(D1213,products!A:D,2,FALSE)</f>
        <v>Home Appliances</v>
      </c>
      <c r="L1213" s="1" t="str">
        <f t="shared" si="37"/>
        <v>Sep-2025</v>
      </c>
    </row>
    <row r="1214" spans="1:12" x14ac:dyDescent="0.25">
      <c r="A1214" s="3" t="s">
        <v>1461</v>
      </c>
      <c r="B1214" s="6">
        <v>45726</v>
      </c>
      <c r="C1214" s="3" t="s">
        <v>16</v>
      </c>
      <c r="D1214" s="3" t="s">
        <v>40</v>
      </c>
      <c r="E1214" s="3" t="s">
        <v>574</v>
      </c>
      <c r="F1214" s="3">
        <v>5</v>
      </c>
      <c r="G1214" s="3">
        <v>0</v>
      </c>
      <c r="H1214" s="1">
        <f>VLOOKUP(D1214,products!A:D,4,FALSE)</f>
        <v>195000</v>
      </c>
      <c r="I1214" s="1" t="str">
        <f>VLOOKUP(C1214,branches!A:B,2,FALSE)</f>
        <v>Naija Mart Ikeja</v>
      </c>
      <c r="J1214" s="1">
        <f t="shared" si="36"/>
        <v>975000</v>
      </c>
      <c r="K1214" s="1" t="str">
        <f>VLOOKUP(D1214,products!A:D,2,FALSE)</f>
        <v>Generators &amp; Power</v>
      </c>
      <c r="L1214" s="1" t="str">
        <f t="shared" si="37"/>
        <v>Mar-2025</v>
      </c>
    </row>
    <row r="1215" spans="1:12" x14ac:dyDescent="0.25">
      <c r="A1215" s="3" t="s">
        <v>1462</v>
      </c>
      <c r="B1215" s="6">
        <v>46014</v>
      </c>
      <c r="C1215" s="3" t="s">
        <v>16</v>
      </c>
      <c r="D1215" s="3" t="s">
        <v>51</v>
      </c>
      <c r="E1215" s="3" t="s">
        <v>21</v>
      </c>
      <c r="F1215" s="3">
        <v>2</v>
      </c>
      <c r="G1215" s="3">
        <v>5</v>
      </c>
      <c r="H1215" s="1">
        <f>VLOOKUP(D1215,products!A:D,4,FALSE)</f>
        <v>18000</v>
      </c>
      <c r="I1215" s="1" t="str">
        <f>VLOOKUP(C1215,branches!A:B,2,FALSE)</f>
        <v>Naija Mart Ikeja</v>
      </c>
      <c r="J1215" s="1">
        <f t="shared" si="36"/>
        <v>34200</v>
      </c>
      <c r="K1215" s="1" t="str">
        <f>VLOOKUP(D1215,products!A:D,2,FALSE)</f>
        <v>Small Gadgets</v>
      </c>
      <c r="L1215" s="1" t="str">
        <f t="shared" si="37"/>
        <v>Dec-2025</v>
      </c>
    </row>
    <row r="1216" spans="1:12" x14ac:dyDescent="0.25">
      <c r="A1216" s="3" t="s">
        <v>1463</v>
      </c>
      <c r="B1216" s="6">
        <v>45834</v>
      </c>
      <c r="C1216" s="3" t="s">
        <v>16</v>
      </c>
      <c r="D1216" s="3" t="s">
        <v>59</v>
      </c>
      <c r="E1216" s="3" t="s">
        <v>217</v>
      </c>
      <c r="F1216" s="3">
        <v>1</v>
      </c>
      <c r="G1216" s="3">
        <v>10</v>
      </c>
      <c r="H1216" s="1">
        <f>VLOOKUP(D1216,products!A:D,4,FALSE)</f>
        <v>15000</v>
      </c>
      <c r="I1216" s="1" t="str">
        <f>VLOOKUP(C1216,branches!A:B,2,FALSE)</f>
        <v>Naija Mart Ikeja</v>
      </c>
      <c r="J1216" s="1">
        <f t="shared" si="36"/>
        <v>13500</v>
      </c>
      <c r="K1216" s="1" t="str">
        <f>VLOOKUP(D1216,products!A:D,2,FALSE)</f>
        <v>Home Appliances</v>
      </c>
      <c r="L1216" s="1" t="str">
        <f t="shared" si="37"/>
        <v>Jun-2025</v>
      </c>
    </row>
    <row r="1217" spans="1:12" x14ac:dyDescent="0.25">
      <c r="A1217" s="3" t="s">
        <v>1464</v>
      </c>
      <c r="B1217" s="6">
        <v>45831</v>
      </c>
      <c r="C1217" s="3" t="s">
        <v>12</v>
      </c>
      <c r="D1217" s="3" t="s">
        <v>80</v>
      </c>
      <c r="E1217" s="3" t="s">
        <v>791</v>
      </c>
      <c r="F1217" s="3">
        <v>1</v>
      </c>
      <c r="G1217" s="3">
        <v>0</v>
      </c>
      <c r="H1217" s="1">
        <f>VLOOKUP(D1217,products!A:D,4,FALSE)</f>
        <v>265000</v>
      </c>
      <c r="I1217" s="1" t="str">
        <f>VLOOKUP(C1217,branches!A:B,2,FALSE)</f>
        <v>Naija Mart Wuse</v>
      </c>
      <c r="J1217" s="1">
        <f t="shared" si="36"/>
        <v>265000</v>
      </c>
      <c r="K1217" s="1" t="str">
        <f>VLOOKUP(D1217,products!A:D,2,FALSE)</f>
        <v>Home Appliances</v>
      </c>
      <c r="L1217" s="1" t="str">
        <f t="shared" si="37"/>
        <v>Jun-2025</v>
      </c>
    </row>
    <row r="1218" spans="1:12" x14ac:dyDescent="0.25">
      <c r="A1218" s="3" t="s">
        <v>1465</v>
      </c>
      <c r="B1218" s="6">
        <v>45925</v>
      </c>
      <c r="C1218" s="3" t="s">
        <v>16</v>
      </c>
      <c r="D1218" s="3" t="s">
        <v>13</v>
      </c>
      <c r="E1218" s="3" t="s">
        <v>659</v>
      </c>
      <c r="F1218" s="3">
        <v>1</v>
      </c>
      <c r="G1218" s="3">
        <v>15</v>
      </c>
      <c r="H1218" s="1">
        <f>VLOOKUP(D1218,products!A:D,4,FALSE)</f>
        <v>24000</v>
      </c>
      <c r="I1218" s="1" t="str">
        <f>VLOOKUP(C1218,branches!A:B,2,FALSE)</f>
        <v>Naija Mart Ikeja</v>
      </c>
      <c r="J1218" s="1">
        <f t="shared" si="36"/>
        <v>20400</v>
      </c>
      <c r="K1218" s="1" t="str">
        <f>VLOOKUP(D1218,products!A:D,2,FALSE)</f>
        <v>Home Appliances</v>
      </c>
      <c r="L1218" s="1" t="str">
        <f t="shared" si="37"/>
        <v>Sep-2025</v>
      </c>
    </row>
    <row r="1219" spans="1:12" x14ac:dyDescent="0.25">
      <c r="A1219" s="3" t="s">
        <v>1466</v>
      </c>
      <c r="B1219" s="6">
        <v>45782</v>
      </c>
      <c r="C1219" s="3" t="s">
        <v>16</v>
      </c>
      <c r="D1219" s="3" t="s">
        <v>97</v>
      </c>
      <c r="E1219" s="3" t="s">
        <v>60</v>
      </c>
      <c r="F1219" s="3">
        <v>1</v>
      </c>
      <c r="G1219" s="3">
        <v>15</v>
      </c>
      <c r="H1219" s="1">
        <f>VLOOKUP(D1219,products!A:D,4,FALSE)</f>
        <v>21000</v>
      </c>
      <c r="I1219" s="1" t="str">
        <f>VLOOKUP(C1219,branches!A:B,2,FALSE)</f>
        <v>Naija Mart Ikeja</v>
      </c>
      <c r="J1219" s="1">
        <f t="shared" ref="J1219:J1282" si="38">F1219*H1219*(1-G1219/100)</f>
        <v>17850</v>
      </c>
      <c r="K1219" s="1" t="str">
        <f>VLOOKUP(D1219,products!A:D,2,FALSE)</f>
        <v>Small Gadgets</v>
      </c>
      <c r="L1219" s="1" t="str">
        <f t="shared" ref="L1219:L1282" si="39">TEXT(B1219,"mmm-yyyy")</f>
        <v>May-2025</v>
      </c>
    </row>
    <row r="1220" spans="1:12" x14ac:dyDescent="0.25">
      <c r="A1220" s="3" t="s">
        <v>1467</v>
      </c>
      <c r="B1220" s="6">
        <v>45721</v>
      </c>
      <c r="C1220" s="3" t="s">
        <v>16</v>
      </c>
      <c r="D1220" s="3" t="s">
        <v>40</v>
      </c>
      <c r="E1220" s="3" t="s">
        <v>60</v>
      </c>
      <c r="F1220" s="3">
        <v>2</v>
      </c>
      <c r="G1220" s="3">
        <v>5</v>
      </c>
      <c r="H1220" s="1">
        <f>VLOOKUP(D1220,products!A:D,4,FALSE)</f>
        <v>195000</v>
      </c>
      <c r="I1220" s="1" t="str">
        <f>VLOOKUP(C1220,branches!A:B,2,FALSE)</f>
        <v>Naija Mart Ikeja</v>
      </c>
      <c r="J1220" s="1">
        <f t="shared" si="38"/>
        <v>370500</v>
      </c>
      <c r="K1220" s="1" t="str">
        <f>VLOOKUP(D1220,products!A:D,2,FALSE)</f>
        <v>Generators &amp; Power</v>
      </c>
      <c r="L1220" s="1" t="str">
        <f t="shared" si="39"/>
        <v>Mar-2025</v>
      </c>
    </row>
    <row r="1221" spans="1:12" x14ac:dyDescent="0.25">
      <c r="A1221" s="3" t="s">
        <v>1468</v>
      </c>
      <c r="B1221" s="6">
        <v>45862</v>
      </c>
      <c r="C1221" s="3" t="s">
        <v>16</v>
      </c>
      <c r="D1221" s="3" t="s">
        <v>37</v>
      </c>
      <c r="E1221" s="3" t="s">
        <v>475</v>
      </c>
      <c r="F1221" s="3">
        <v>2</v>
      </c>
      <c r="G1221" s="3">
        <v>0</v>
      </c>
      <c r="H1221" s="1">
        <f>VLOOKUP(D1221,products!A:D,4,FALSE)</f>
        <v>8500</v>
      </c>
      <c r="I1221" s="1" t="str">
        <f>VLOOKUP(C1221,branches!A:B,2,FALSE)</f>
        <v>Naija Mart Ikeja</v>
      </c>
      <c r="J1221" s="1">
        <f t="shared" si="38"/>
        <v>17000</v>
      </c>
      <c r="K1221" s="1" t="str">
        <f>VLOOKUP(D1221,products!A:D,2,FALSE)</f>
        <v>Small Gadgets</v>
      </c>
      <c r="L1221" s="1" t="str">
        <f t="shared" si="39"/>
        <v>Jul-2025</v>
      </c>
    </row>
    <row r="1222" spans="1:12" x14ac:dyDescent="0.25">
      <c r="A1222" s="3" t="s">
        <v>1469</v>
      </c>
      <c r="B1222" s="6">
        <v>45946</v>
      </c>
      <c r="C1222" s="3" t="s">
        <v>16</v>
      </c>
      <c r="D1222" s="3" t="s">
        <v>64</v>
      </c>
      <c r="E1222" s="3" t="s">
        <v>650</v>
      </c>
      <c r="F1222" s="3">
        <v>1</v>
      </c>
      <c r="G1222" s="3">
        <v>0</v>
      </c>
      <c r="H1222" s="1">
        <f>VLOOKUP(D1222,products!A:D,4,FALSE)</f>
        <v>175000</v>
      </c>
      <c r="I1222" s="1" t="str">
        <f>VLOOKUP(C1222,branches!A:B,2,FALSE)</f>
        <v>Naija Mart Ikeja</v>
      </c>
      <c r="J1222" s="1">
        <f t="shared" si="38"/>
        <v>175000</v>
      </c>
      <c r="K1222" s="1" t="str">
        <f>VLOOKUP(D1222,products!A:D,2,FALSE)</f>
        <v>Generators &amp; Power</v>
      </c>
      <c r="L1222" s="1" t="str">
        <f t="shared" si="39"/>
        <v>Oct-2025</v>
      </c>
    </row>
    <row r="1223" spans="1:12" x14ac:dyDescent="0.25">
      <c r="A1223" s="3" t="s">
        <v>1470</v>
      </c>
      <c r="B1223" s="6">
        <v>45716</v>
      </c>
      <c r="C1223" s="3" t="s">
        <v>36</v>
      </c>
      <c r="D1223" s="3" t="s">
        <v>258</v>
      </c>
      <c r="E1223" s="3" t="s">
        <v>138</v>
      </c>
      <c r="F1223" s="3">
        <v>1</v>
      </c>
      <c r="G1223" s="3">
        <v>0</v>
      </c>
      <c r="H1223" s="1">
        <f>VLOOKUP(D1223,products!A:D,4,FALSE)</f>
        <v>95000</v>
      </c>
      <c r="I1223" s="1" t="str">
        <f>VLOOKUP(C1223,branches!A:B,2,FALSE)</f>
        <v>Naija Mart Sabon Gari</v>
      </c>
      <c r="J1223" s="1">
        <f t="shared" si="38"/>
        <v>95000</v>
      </c>
      <c r="K1223" s="1" t="str">
        <f>VLOOKUP(D1223,products!A:D,2,FALSE)</f>
        <v>Electronics</v>
      </c>
      <c r="L1223" s="1" t="str">
        <f t="shared" si="39"/>
        <v>Feb-2025</v>
      </c>
    </row>
    <row r="1224" spans="1:12" x14ac:dyDescent="0.25">
      <c r="A1224" s="3" t="s">
        <v>1471</v>
      </c>
      <c r="B1224" s="6">
        <v>45696</v>
      </c>
      <c r="C1224" s="3" t="s">
        <v>16</v>
      </c>
      <c r="D1224" s="3" t="s">
        <v>46</v>
      </c>
      <c r="E1224" s="3" t="s">
        <v>343</v>
      </c>
      <c r="F1224" s="3">
        <v>1</v>
      </c>
      <c r="G1224" s="3">
        <v>0</v>
      </c>
      <c r="H1224" s="1">
        <f>VLOOKUP(D1224,products!A:D,4,FALSE)</f>
        <v>62000</v>
      </c>
      <c r="I1224" s="1" t="str">
        <f>VLOOKUP(C1224,branches!A:B,2,FALSE)</f>
        <v>Naija Mart Ikeja</v>
      </c>
      <c r="J1224" s="1">
        <f t="shared" si="38"/>
        <v>62000</v>
      </c>
      <c r="K1224" s="1" t="str">
        <f>VLOOKUP(D1224,products!A:D,2,FALSE)</f>
        <v>Home Appliances</v>
      </c>
      <c r="L1224" s="1" t="str">
        <f t="shared" si="39"/>
        <v>Feb-2025</v>
      </c>
    </row>
    <row r="1225" spans="1:12" x14ac:dyDescent="0.25">
      <c r="A1225" s="3" t="s">
        <v>1472</v>
      </c>
      <c r="B1225" s="6">
        <v>45789</v>
      </c>
      <c r="C1225" s="3" t="s">
        <v>36</v>
      </c>
      <c r="D1225" s="3" t="s">
        <v>69</v>
      </c>
      <c r="E1225" s="3" t="s">
        <v>371</v>
      </c>
      <c r="F1225" s="3">
        <v>1</v>
      </c>
      <c r="G1225" s="3">
        <v>10</v>
      </c>
      <c r="H1225" s="1">
        <f>VLOOKUP(D1225,products!A:D,4,FALSE)</f>
        <v>45000</v>
      </c>
      <c r="I1225" s="1" t="str">
        <f>VLOOKUP(C1225,branches!A:B,2,FALSE)</f>
        <v>Naija Mart Sabon Gari</v>
      </c>
      <c r="J1225" s="1">
        <f t="shared" si="38"/>
        <v>40500</v>
      </c>
      <c r="K1225" s="1" t="str">
        <f>VLOOKUP(D1225,products!A:D,2,FALSE)</f>
        <v>Electronics</v>
      </c>
      <c r="L1225" s="1" t="str">
        <f t="shared" si="39"/>
        <v>May-2025</v>
      </c>
    </row>
    <row r="1226" spans="1:12" x14ac:dyDescent="0.25">
      <c r="A1226" s="3" t="s">
        <v>1473</v>
      </c>
      <c r="B1226" s="6">
        <v>46009</v>
      </c>
      <c r="C1226" s="3" t="s">
        <v>8</v>
      </c>
      <c r="D1226" s="3" t="s">
        <v>46</v>
      </c>
      <c r="E1226" s="3" t="s">
        <v>54</v>
      </c>
      <c r="F1226" s="3">
        <v>1</v>
      </c>
      <c r="G1226" s="3">
        <v>10</v>
      </c>
      <c r="H1226" s="1">
        <f>VLOOKUP(D1226,products!A:D,4,FALSE)</f>
        <v>62000</v>
      </c>
      <c r="I1226" s="1" t="str">
        <f>VLOOKUP(C1226,branches!A:B,2,FALSE)</f>
        <v>Naija Mart GRA</v>
      </c>
      <c r="J1226" s="1">
        <f t="shared" si="38"/>
        <v>55800</v>
      </c>
      <c r="K1226" s="1" t="str">
        <f>VLOOKUP(D1226,products!A:D,2,FALSE)</f>
        <v>Home Appliances</v>
      </c>
      <c r="L1226" s="1" t="str">
        <f t="shared" si="39"/>
        <v>Dec-2025</v>
      </c>
    </row>
    <row r="1227" spans="1:12" x14ac:dyDescent="0.25">
      <c r="A1227" s="3" t="s">
        <v>1474</v>
      </c>
      <c r="B1227" s="6">
        <v>45850</v>
      </c>
      <c r="C1227" s="3" t="s">
        <v>8</v>
      </c>
      <c r="D1227" s="3" t="s">
        <v>97</v>
      </c>
      <c r="E1227" s="3" t="s">
        <v>122</v>
      </c>
      <c r="F1227" s="3">
        <v>2</v>
      </c>
      <c r="G1227" s="3">
        <v>10</v>
      </c>
      <c r="H1227" s="1">
        <f>VLOOKUP(D1227,products!A:D,4,FALSE)</f>
        <v>21000</v>
      </c>
      <c r="I1227" s="1" t="str">
        <f>VLOOKUP(C1227,branches!A:B,2,FALSE)</f>
        <v>Naija Mart GRA</v>
      </c>
      <c r="J1227" s="1">
        <f t="shared" si="38"/>
        <v>37800</v>
      </c>
      <c r="K1227" s="1" t="str">
        <f>VLOOKUP(D1227,products!A:D,2,FALSE)</f>
        <v>Small Gadgets</v>
      </c>
      <c r="L1227" s="1" t="str">
        <f t="shared" si="39"/>
        <v>Jul-2025</v>
      </c>
    </row>
    <row r="1228" spans="1:12" x14ac:dyDescent="0.25">
      <c r="A1228" s="3" t="s">
        <v>1475</v>
      </c>
      <c r="B1228" s="6">
        <v>45735</v>
      </c>
      <c r="C1228" s="3" t="s">
        <v>8</v>
      </c>
      <c r="D1228" s="3" t="s">
        <v>91</v>
      </c>
      <c r="E1228" s="3" t="s">
        <v>738</v>
      </c>
      <c r="F1228" s="3">
        <v>1</v>
      </c>
      <c r="G1228" s="3">
        <v>0</v>
      </c>
      <c r="H1228" s="1">
        <f>VLOOKUP(D1228,products!A:D,4,FALSE)</f>
        <v>5200</v>
      </c>
      <c r="I1228" s="1" t="str">
        <f>VLOOKUP(C1228,branches!A:B,2,FALSE)</f>
        <v>Naija Mart GRA</v>
      </c>
      <c r="J1228" s="1">
        <f t="shared" si="38"/>
        <v>5200</v>
      </c>
      <c r="K1228" s="1" t="str">
        <f>VLOOKUP(D1228,products!A:D,2,FALSE)</f>
        <v>Small Gadgets</v>
      </c>
      <c r="L1228" s="1" t="str">
        <f t="shared" si="39"/>
        <v>Mar-2025</v>
      </c>
    </row>
    <row r="1229" spans="1:12" x14ac:dyDescent="0.25">
      <c r="A1229" s="3" t="s">
        <v>1476</v>
      </c>
      <c r="B1229" s="6">
        <v>45935</v>
      </c>
      <c r="C1229" s="3" t="s">
        <v>8</v>
      </c>
      <c r="D1229" s="3" t="s">
        <v>20</v>
      </c>
      <c r="E1229" s="3" t="s">
        <v>324</v>
      </c>
      <c r="F1229" s="3">
        <v>1</v>
      </c>
      <c r="G1229" s="3">
        <v>0</v>
      </c>
      <c r="H1229" s="1">
        <f>VLOOKUP(D1229,products!A:D,4,FALSE)</f>
        <v>38000</v>
      </c>
      <c r="I1229" s="1" t="str">
        <f>VLOOKUP(C1229,branches!A:B,2,FALSE)</f>
        <v>Naija Mart GRA</v>
      </c>
      <c r="J1229" s="1">
        <f t="shared" si="38"/>
        <v>38000</v>
      </c>
      <c r="K1229" s="1" t="str">
        <f>VLOOKUP(D1229,products!A:D,2,FALSE)</f>
        <v>Electronics</v>
      </c>
      <c r="L1229" s="1" t="str">
        <f t="shared" si="39"/>
        <v>Oct-2025</v>
      </c>
    </row>
    <row r="1230" spans="1:12" x14ac:dyDescent="0.25">
      <c r="A1230" s="3" t="s">
        <v>1477</v>
      </c>
      <c r="B1230" s="6">
        <v>46010</v>
      </c>
      <c r="C1230" s="3" t="s">
        <v>12</v>
      </c>
      <c r="D1230" s="3" t="s">
        <v>94</v>
      </c>
      <c r="E1230" s="3" t="s">
        <v>70</v>
      </c>
      <c r="F1230" s="3">
        <v>1</v>
      </c>
      <c r="G1230" s="3">
        <v>25</v>
      </c>
      <c r="H1230" s="1">
        <f>VLOOKUP(D1230,products!A:D,4,FALSE)</f>
        <v>320000</v>
      </c>
      <c r="I1230" s="1" t="str">
        <f>VLOOKUP(C1230,branches!A:B,2,FALSE)</f>
        <v>Naija Mart Wuse</v>
      </c>
      <c r="J1230" s="1">
        <f t="shared" si="38"/>
        <v>240000</v>
      </c>
      <c r="K1230" s="1" t="str">
        <f>VLOOKUP(D1230,products!A:D,2,FALSE)</f>
        <v>Electronics</v>
      </c>
      <c r="L1230" s="1" t="str">
        <f t="shared" si="39"/>
        <v>Dec-2025</v>
      </c>
    </row>
    <row r="1231" spans="1:12" x14ac:dyDescent="0.25">
      <c r="A1231" s="3" t="s">
        <v>1478</v>
      </c>
      <c r="B1231" s="6">
        <v>45836</v>
      </c>
      <c r="C1231" s="3" t="s">
        <v>16</v>
      </c>
      <c r="D1231" s="3" t="s">
        <v>46</v>
      </c>
      <c r="E1231" s="3" t="s">
        <v>650</v>
      </c>
      <c r="F1231" s="3">
        <v>1</v>
      </c>
      <c r="G1231" s="3">
        <v>0</v>
      </c>
      <c r="H1231" s="1">
        <f>VLOOKUP(D1231,products!A:D,4,FALSE)</f>
        <v>62000</v>
      </c>
      <c r="I1231" s="1" t="str">
        <f>VLOOKUP(C1231,branches!A:B,2,FALSE)</f>
        <v>Naija Mart Ikeja</v>
      </c>
      <c r="J1231" s="1">
        <f t="shared" si="38"/>
        <v>62000</v>
      </c>
      <c r="K1231" s="1" t="str">
        <f>VLOOKUP(D1231,products!A:D,2,FALSE)</f>
        <v>Home Appliances</v>
      </c>
      <c r="L1231" s="1" t="str">
        <f t="shared" si="39"/>
        <v>Jun-2025</v>
      </c>
    </row>
    <row r="1232" spans="1:12" x14ac:dyDescent="0.25">
      <c r="A1232" s="3" t="s">
        <v>1479</v>
      </c>
      <c r="B1232" s="6">
        <v>45980</v>
      </c>
      <c r="C1232" s="3" t="s">
        <v>36</v>
      </c>
      <c r="D1232" s="3" t="s">
        <v>23</v>
      </c>
      <c r="E1232" s="3" t="s">
        <v>279</v>
      </c>
      <c r="F1232" s="3">
        <v>1</v>
      </c>
      <c r="G1232" s="3">
        <v>5</v>
      </c>
      <c r="H1232" s="1">
        <f>VLOOKUP(D1232,products!A:D,4,FALSE)</f>
        <v>19500</v>
      </c>
      <c r="I1232" s="1" t="str">
        <f>VLOOKUP(C1232,branches!A:B,2,FALSE)</f>
        <v>Naija Mart Sabon Gari</v>
      </c>
      <c r="J1232" s="1">
        <f t="shared" si="38"/>
        <v>18525</v>
      </c>
      <c r="K1232" s="1" t="str">
        <f>VLOOKUP(D1232,products!A:D,2,FALSE)</f>
        <v>Home Appliances</v>
      </c>
      <c r="L1232" s="1" t="str">
        <f t="shared" si="39"/>
        <v>Nov-2025</v>
      </c>
    </row>
    <row r="1233" spans="1:12" x14ac:dyDescent="0.25">
      <c r="A1233" s="3" t="s">
        <v>1480</v>
      </c>
      <c r="B1233" s="6">
        <v>45701</v>
      </c>
      <c r="C1233" s="3" t="s">
        <v>16</v>
      </c>
      <c r="D1233" s="3" t="s">
        <v>51</v>
      </c>
      <c r="E1233" s="3" t="s">
        <v>469</v>
      </c>
      <c r="F1233" s="3">
        <v>2</v>
      </c>
      <c r="G1233" s="3">
        <v>0</v>
      </c>
      <c r="H1233" s="1">
        <f>VLOOKUP(D1233,products!A:D,4,FALSE)</f>
        <v>18000</v>
      </c>
      <c r="I1233" s="1" t="str">
        <f>VLOOKUP(C1233,branches!A:B,2,FALSE)</f>
        <v>Naija Mart Ikeja</v>
      </c>
      <c r="J1233" s="1">
        <f t="shared" si="38"/>
        <v>36000</v>
      </c>
      <c r="K1233" s="1" t="str">
        <f>VLOOKUP(D1233,products!A:D,2,FALSE)</f>
        <v>Small Gadgets</v>
      </c>
      <c r="L1233" s="1" t="str">
        <f t="shared" si="39"/>
        <v>Feb-2025</v>
      </c>
    </row>
    <row r="1234" spans="1:12" x14ac:dyDescent="0.25">
      <c r="A1234" s="3" t="s">
        <v>1481</v>
      </c>
      <c r="B1234" s="6">
        <v>45792</v>
      </c>
      <c r="C1234" s="3" t="s">
        <v>36</v>
      </c>
      <c r="D1234" s="3" t="s">
        <v>94</v>
      </c>
      <c r="E1234" s="3" t="s">
        <v>491</v>
      </c>
      <c r="F1234" s="3">
        <v>1</v>
      </c>
      <c r="G1234" s="3">
        <v>0</v>
      </c>
      <c r="H1234" s="1">
        <f>VLOOKUP(D1234,products!A:D,4,FALSE)</f>
        <v>320000</v>
      </c>
      <c r="I1234" s="1" t="str">
        <f>VLOOKUP(C1234,branches!A:B,2,FALSE)</f>
        <v>Naija Mart Sabon Gari</v>
      </c>
      <c r="J1234" s="1">
        <f t="shared" si="38"/>
        <v>320000</v>
      </c>
      <c r="K1234" s="1" t="str">
        <f>VLOOKUP(D1234,products!A:D,2,FALSE)</f>
        <v>Electronics</v>
      </c>
      <c r="L1234" s="1" t="str">
        <f t="shared" si="39"/>
        <v>May-2025</v>
      </c>
    </row>
    <row r="1235" spans="1:12" x14ac:dyDescent="0.25">
      <c r="A1235" s="3" t="s">
        <v>1482</v>
      </c>
      <c r="B1235" s="6">
        <v>45741</v>
      </c>
      <c r="C1235" s="3" t="s">
        <v>16</v>
      </c>
      <c r="D1235" s="3" t="s">
        <v>46</v>
      </c>
      <c r="E1235" s="3" t="s">
        <v>663</v>
      </c>
      <c r="F1235" s="3">
        <v>2</v>
      </c>
      <c r="G1235" s="3">
        <v>0</v>
      </c>
      <c r="H1235" s="1">
        <f>VLOOKUP(D1235,products!A:D,4,FALSE)</f>
        <v>62000</v>
      </c>
      <c r="I1235" s="1" t="str">
        <f>VLOOKUP(C1235,branches!A:B,2,FALSE)</f>
        <v>Naija Mart Ikeja</v>
      </c>
      <c r="J1235" s="1">
        <f t="shared" si="38"/>
        <v>124000</v>
      </c>
      <c r="K1235" s="1" t="str">
        <f>VLOOKUP(D1235,products!A:D,2,FALSE)</f>
        <v>Home Appliances</v>
      </c>
      <c r="L1235" s="1" t="str">
        <f t="shared" si="39"/>
        <v>Mar-2025</v>
      </c>
    </row>
    <row r="1236" spans="1:12" x14ac:dyDescent="0.25">
      <c r="A1236" s="3" t="s">
        <v>1483</v>
      </c>
      <c r="B1236" s="6">
        <v>45675</v>
      </c>
      <c r="C1236" s="3" t="s">
        <v>16</v>
      </c>
      <c r="D1236" s="3" t="s">
        <v>126</v>
      </c>
      <c r="E1236" s="3" t="s">
        <v>400</v>
      </c>
      <c r="F1236" s="3">
        <v>2</v>
      </c>
      <c r="G1236" s="3">
        <v>10</v>
      </c>
      <c r="H1236" s="1">
        <f>VLOOKUP(D1236,products!A:D,4,FALSE)</f>
        <v>185000</v>
      </c>
      <c r="I1236" s="1" t="str">
        <f>VLOOKUP(C1236,branches!A:B,2,FALSE)</f>
        <v>Naija Mart Ikeja</v>
      </c>
      <c r="J1236" s="1">
        <f t="shared" si="38"/>
        <v>333000</v>
      </c>
      <c r="K1236" s="1" t="str">
        <f>VLOOKUP(D1236,products!A:D,2,FALSE)</f>
        <v>Electronics</v>
      </c>
      <c r="L1236" s="1" t="str">
        <f t="shared" si="39"/>
        <v>Jan-2025</v>
      </c>
    </row>
    <row r="1237" spans="1:12" x14ac:dyDescent="0.25">
      <c r="A1237" s="3" t="s">
        <v>1484</v>
      </c>
      <c r="B1237" s="6">
        <v>45700</v>
      </c>
      <c r="C1237" s="3" t="s">
        <v>16</v>
      </c>
      <c r="D1237" s="3" t="s">
        <v>69</v>
      </c>
      <c r="E1237" s="3" t="s">
        <v>238</v>
      </c>
      <c r="F1237" s="3">
        <v>1</v>
      </c>
      <c r="G1237" s="3">
        <v>10</v>
      </c>
      <c r="H1237" s="1">
        <f>VLOOKUP(D1237,products!A:D,4,FALSE)</f>
        <v>45000</v>
      </c>
      <c r="I1237" s="1" t="str">
        <f>VLOOKUP(C1237,branches!A:B,2,FALSE)</f>
        <v>Naija Mart Ikeja</v>
      </c>
      <c r="J1237" s="1">
        <f t="shared" si="38"/>
        <v>40500</v>
      </c>
      <c r="K1237" s="1" t="str">
        <f>VLOOKUP(D1237,products!A:D,2,FALSE)</f>
        <v>Electronics</v>
      </c>
      <c r="L1237" s="1" t="str">
        <f t="shared" si="39"/>
        <v>Feb-2025</v>
      </c>
    </row>
    <row r="1238" spans="1:12" x14ac:dyDescent="0.25">
      <c r="A1238" s="3" t="s">
        <v>1485</v>
      </c>
      <c r="B1238" s="6">
        <v>45774</v>
      </c>
      <c r="C1238" s="3" t="s">
        <v>36</v>
      </c>
      <c r="D1238" s="3" t="s">
        <v>97</v>
      </c>
      <c r="E1238" s="3" t="s">
        <v>120</v>
      </c>
      <c r="F1238" s="3">
        <v>5</v>
      </c>
      <c r="G1238" s="3">
        <v>0</v>
      </c>
      <c r="H1238" s="1">
        <f>VLOOKUP(D1238,products!A:D,4,FALSE)</f>
        <v>21000</v>
      </c>
      <c r="I1238" s="1" t="str">
        <f>VLOOKUP(C1238,branches!A:B,2,FALSE)</f>
        <v>Naija Mart Sabon Gari</v>
      </c>
      <c r="J1238" s="1">
        <f t="shared" si="38"/>
        <v>105000</v>
      </c>
      <c r="K1238" s="1" t="str">
        <f>VLOOKUP(D1238,products!A:D,2,FALSE)</f>
        <v>Small Gadgets</v>
      </c>
      <c r="L1238" s="1" t="str">
        <f t="shared" si="39"/>
        <v>Apr-2025</v>
      </c>
    </row>
    <row r="1239" spans="1:12" x14ac:dyDescent="0.25">
      <c r="A1239" s="3" t="s">
        <v>1486</v>
      </c>
      <c r="B1239" s="6">
        <v>45760</v>
      </c>
      <c r="C1239" s="3" t="s">
        <v>16</v>
      </c>
      <c r="D1239" s="3" t="s">
        <v>33</v>
      </c>
      <c r="E1239" s="3" t="s">
        <v>387</v>
      </c>
      <c r="F1239" s="3">
        <v>2</v>
      </c>
      <c r="G1239" s="3">
        <v>0</v>
      </c>
      <c r="H1239" s="1">
        <f>VLOOKUP(D1239,products!A:D,4,FALSE)</f>
        <v>245000</v>
      </c>
      <c r="I1239" s="1" t="str">
        <f>VLOOKUP(C1239,branches!A:B,2,FALSE)</f>
        <v>Naija Mart Ikeja</v>
      </c>
      <c r="J1239" s="1">
        <f t="shared" si="38"/>
        <v>490000</v>
      </c>
      <c r="K1239" s="1" t="str">
        <f>VLOOKUP(D1239,products!A:D,2,FALSE)</f>
        <v>Generators &amp; Power</v>
      </c>
      <c r="L1239" s="1" t="str">
        <f t="shared" si="39"/>
        <v>Apr-2025</v>
      </c>
    </row>
    <row r="1240" spans="1:12" x14ac:dyDescent="0.25">
      <c r="A1240" s="3" t="s">
        <v>1487</v>
      </c>
      <c r="B1240" s="6">
        <v>45934</v>
      </c>
      <c r="C1240" s="3" t="s">
        <v>8</v>
      </c>
      <c r="D1240" s="3" t="s">
        <v>56</v>
      </c>
      <c r="E1240" s="3" t="s">
        <v>118</v>
      </c>
      <c r="F1240" s="3">
        <v>2</v>
      </c>
      <c r="G1240" s="3">
        <v>15</v>
      </c>
      <c r="H1240" s="1">
        <f>VLOOKUP(D1240,products!A:D,4,FALSE)</f>
        <v>285000</v>
      </c>
      <c r="I1240" s="1" t="str">
        <f>VLOOKUP(C1240,branches!A:B,2,FALSE)</f>
        <v>Naija Mart GRA</v>
      </c>
      <c r="J1240" s="1">
        <f t="shared" si="38"/>
        <v>484500</v>
      </c>
      <c r="K1240" s="1" t="str">
        <f>VLOOKUP(D1240,products!A:D,2,FALSE)</f>
        <v>Home Appliances</v>
      </c>
      <c r="L1240" s="1" t="str">
        <f t="shared" si="39"/>
        <v>Oct-2025</v>
      </c>
    </row>
    <row r="1241" spans="1:12" x14ac:dyDescent="0.25">
      <c r="A1241" s="3" t="s">
        <v>1488</v>
      </c>
      <c r="B1241" s="6">
        <v>45673</v>
      </c>
      <c r="C1241" s="3" t="s">
        <v>16</v>
      </c>
      <c r="D1241" s="3" t="s">
        <v>197</v>
      </c>
      <c r="E1241" s="3" t="s">
        <v>76</v>
      </c>
      <c r="F1241" s="3">
        <v>1</v>
      </c>
      <c r="G1241" s="3">
        <v>10</v>
      </c>
      <c r="H1241" s="1">
        <f>VLOOKUP(D1241,products!A:D,4,FALSE)</f>
        <v>78000</v>
      </c>
      <c r="I1241" s="1" t="str">
        <f>VLOOKUP(C1241,branches!A:B,2,FALSE)</f>
        <v>Naija Mart Ikeja</v>
      </c>
      <c r="J1241" s="1">
        <f t="shared" si="38"/>
        <v>70200</v>
      </c>
      <c r="K1241" s="1" t="str">
        <f>VLOOKUP(D1241,products!A:D,2,FALSE)</f>
        <v>Electronics</v>
      </c>
      <c r="L1241" s="1" t="str">
        <f t="shared" si="39"/>
        <v>Jan-2025</v>
      </c>
    </row>
    <row r="1242" spans="1:12" x14ac:dyDescent="0.25">
      <c r="A1242" s="3" t="s">
        <v>1489</v>
      </c>
      <c r="B1242" s="6">
        <v>45709</v>
      </c>
      <c r="C1242" s="3" t="s">
        <v>16</v>
      </c>
      <c r="D1242" s="3" t="s">
        <v>9</v>
      </c>
      <c r="E1242" s="3" t="s">
        <v>302</v>
      </c>
      <c r="F1242" s="3">
        <v>1</v>
      </c>
      <c r="G1242" s="3">
        <v>0</v>
      </c>
      <c r="H1242" s="1">
        <f>VLOOKUP(D1242,products!A:D,4,FALSE)</f>
        <v>410000</v>
      </c>
      <c r="I1242" s="1" t="str">
        <f>VLOOKUP(C1242,branches!A:B,2,FALSE)</f>
        <v>Naija Mart Ikeja</v>
      </c>
      <c r="J1242" s="1">
        <f t="shared" si="38"/>
        <v>410000</v>
      </c>
      <c r="K1242" s="1" t="str">
        <f>VLOOKUP(D1242,products!A:D,2,FALSE)</f>
        <v>Home Appliances</v>
      </c>
      <c r="L1242" s="1" t="str">
        <f t="shared" si="39"/>
        <v>Feb-2025</v>
      </c>
    </row>
    <row r="1243" spans="1:12" x14ac:dyDescent="0.25">
      <c r="A1243" s="3" t="s">
        <v>1490</v>
      </c>
      <c r="B1243" s="6">
        <v>45727</v>
      </c>
      <c r="C1243" s="3" t="s">
        <v>12</v>
      </c>
      <c r="D1243" s="3" t="s">
        <v>69</v>
      </c>
      <c r="E1243" s="3" t="s">
        <v>44</v>
      </c>
      <c r="F1243" s="3">
        <v>1</v>
      </c>
      <c r="G1243" s="3">
        <v>0</v>
      </c>
      <c r="H1243" s="1">
        <f>VLOOKUP(D1243,products!A:D,4,FALSE)</f>
        <v>45000</v>
      </c>
      <c r="I1243" s="1" t="str">
        <f>VLOOKUP(C1243,branches!A:B,2,FALSE)</f>
        <v>Naija Mart Wuse</v>
      </c>
      <c r="J1243" s="1">
        <f t="shared" si="38"/>
        <v>45000</v>
      </c>
      <c r="K1243" s="1" t="str">
        <f>VLOOKUP(D1243,products!A:D,2,FALSE)</f>
        <v>Electronics</v>
      </c>
      <c r="L1243" s="1" t="str">
        <f t="shared" si="39"/>
        <v>Mar-2025</v>
      </c>
    </row>
    <row r="1244" spans="1:12" x14ac:dyDescent="0.25">
      <c r="A1244" s="3" t="s">
        <v>1491</v>
      </c>
      <c r="B1244" s="6">
        <v>45957</v>
      </c>
      <c r="C1244" s="3" t="s">
        <v>16</v>
      </c>
      <c r="D1244" s="3" t="s">
        <v>64</v>
      </c>
      <c r="E1244" s="3" t="s">
        <v>163</v>
      </c>
      <c r="F1244" s="3">
        <v>1</v>
      </c>
      <c r="G1244" s="3">
        <v>15</v>
      </c>
      <c r="H1244" s="1">
        <f>VLOOKUP(D1244,products!A:D,4,FALSE)</f>
        <v>175000</v>
      </c>
      <c r="I1244" s="1" t="str">
        <f>VLOOKUP(C1244,branches!A:B,2,FALSE)</f>
        <v>Naija Mart Ikeja</v>
      </c>
      <c r="J1244" s="1">
        <f t="shared" si="38"/>
        <v>148750</v>
      </c>
      <c r="K1244" s="1" t="str">
        <f>VLOOKUP(D1244,products!A:D,2,FALSE)</f>
        <v>Generators &amp; Power</v>
      </c>
      <c r="L1244" s="1" t="str">
        <f t="shared" si="39"/>
        <v>Oct-2025</v>
      </c>
    </row>
    <row r="1245" spans="1:12" x14ac:dyDescent="0.25">
      <c r="A1245" s="3" t="s">
        <v>1492</v>
      </c>
      <c r="B1245" s="6">
        <v>46014</v>
      </c>
      <c r="C1245" s="3" t="s">
        <v>16</v>
      </c>
      <c r="D1245" s="3" t="s">
        <v>126</v>
      </c>
      <c r="E1245" s="3" t="s">
        <v>205</v>
      </c>
      <c r="F1245" s="3">
        <v>3</v>
      </c>
      <c r="G1245" s="3">
        <v>5</v>
      </c>
      <c r="H1245" s="1">
        <f>VLOOKUP(D1245,products!A:D,4,FALSE)</f>
        <v>185000</v>
      </c>
      <c r="I1245" s="1" t="str">
        <f>VLOOKUP(C1245,branches!A:B,2,FALSE)</f>
        <v>Naija Mart Ikeja</v>
      </c>
      <c r="J1245" s="1">
        <f t="shared" si="38"/>
        <v>527250</v>
      </c>
      <c r="K1245" s="1" t="str">
        <f>VLOOKUP(D1245,products!A:D,2,FALSE)</f>
        <v>Electronics</v>
      </c>
      <c r="L1245" s="1" t="str">
        <f t="shared" si="39"/>
        <v>Dec-2025</v>
      </c>
    </row>
    <row r="1246" spans="1:12" x14ac:dyDescent="0.25">
      <c r="A1246" s="3" t="s">
        <v>1493</v>
      </c>
      <c r="B1246" s="6">
        <v>45713</v>
      </c>
      <c r="C1246" s="3" t="s">
        <v>36</v>
      </c>
      <c r="D1246" s="3" t="s">
        <v>40</v>
      </c>
      <c r="E1246" s="3" t="s">
        <v>136</v>
      </c>
      <c r="F1246" s="3">
        <v>1</v>
      </c>
      <c r="G1246" s="3">
        <v>0</v>
      </c>
      <c r="H1246" s="1">
        <f>VLOOKUP(D1246,products!A:D,4,FALSE)</f>
        <v>195000</v>
      </c>
      <c r="I1246" s="1" t="str">
        <f>VLOOKUP(C1246,branches!A:B,2,FALSE)</f>
        <v>Naija Mart Sabon Gari</v>
      </c>
      <c r="J1246" s="1">
        <f t="shared" si="38"/>
        <v>195000</v>
      </c>
      <c r="K1246" s="1" t="str">
        <f>VLOOKUP(D1246,products!A:D,2,FALSE)</f>
        <v>Generators &amp; Power</v>
      </c>
      <c r="L1246" s="1" t="str">
        <f t="shared" si="39"/>
        <v>Feb-2025</v>
      </c>
    </row>
    <row r="1247" spans="1:12" x14ac:dyDescent="0.25">
      <c r="A1247" s="3" t="s">
        <v>1494</v>
      </c>
      <c r="B1247" s="6">
        <v>45941</v>
      </c>
      <c r="C1247" s="3" t="s">
        <v>16</v>
      </c>
      <c r="D1247" s="3" t="s">
        <v>91</v>
      </c>
      <c r="E1247" s="3" t="s">
        <v>120</v>
      </c>
      <c r="F1247" s="3">
        <v>1</v>
      </c>
      <c r="G1247" s="3">
        <v>0</v>
      </c>
      <c r="H1247" s="1">
        <f>VLOOKUP(D1247,products!A:D,4,FALSE)</f>
        <v>5200</v>
      </c>
      <c r="I1247" s="1" t="str">
        <f>VLOOKUP(C1247,branches!A:B,2,FALSE)</f>
        <v>Naija Mart Ikeja</v>
      </c>
      <c r="J1247" s="1">
        <f t="shared" si="38"/>
        <v>5200</v>
      </c>
      <c r="K1247" s="1" t="str">
        <f>VLOOKUP(D1247,products!A:D,2,FALSE)</f>
        <v>Small Gadgets</v>
      </c>
      <c r="L1247" s="1" t="str">
        <f t="shared" si="39"/>
        <v>Oct-2025</v>
      </c>
    </row>
    <row r="1248" spans="1:12" x14ac:dyDescent="0.25">
      <c r="A1248" s="3" t="s">
        <v>1495</v>
      </c>
      <c r="B1248" s="6">
        <v>45782</v>
      </c>
      <c r="C1248" s="3" t="s">
        <v>16</v>
      </c>
      <c r="D1248" s="3" t="s">
        <v>20</v>
      </c>
      <c r="E1248" s="3" t="s">
        <v>733</v>
      </c>
      <c r="F1248" s="3">
        <v>2</v>
      </c>
      <c r="G1248" s="3">
        <v>5</v>
      </c>
      <c r="H1248" s="1">
        <f>VLOOKUP(D1248,products!A:D,4,FALSE)</f>
        <v>38000</v>
      </c>
      <c r="I1248" s="1" t="str">
        <f>VLOOKUP(C1248,branches!A:B,2,FALSE)</f>
        <v>Naija Mart Ikeja</v>
      </c>
      <c r="J1248" s="1">
        <f t="shared" si="38"/>
        <v>72200</v>
      </c>
      <c r="K1248" s="1" t="str">
        <f>VLOOKUP(D1248,products!A:D,2,FALSE)</f>
        <v>Electronics</v>
      </c>
      <c r="L1248" s="1" t="str">
        <f t="shared" si="39"/>
        <v>May-2025</v>
      </c>
    </row>
    <row r="1249" spans="1:12" x14ac:dyDescent="0.25">
      <c r="A1249" s="3" t="s">
        <v>1496</v>
      </c>
      <c r="B1249" s="6">
        <v>45815</v>
      </c>
      <c r="C1249" s="3" t="s">
        <v>16</v>
      </c>
      <c r="D1249" s="3" t="s">
        <v>49</v>
      </c>
      <c r="E1249" s="3" t="s">
        <v>57</v>
      </c>
      <c r="F1249" s="3">
        <v>1</v>
      </c>
      <c r="G1249" s="3">
        <v>5</v>
      </c>
      <c r="H1249" s="1">
        <f>VLOOKUP(D1249,products!A:D,4,FALSE)</f>
        <v>28000</v>
      </c>
      <c r="I1249" s="1" t="str">
        <f>VLOOKUP(C1249,branches!A:B,2,FALSE)</f>
        <v>Naija Mart Ikeja</v>
      </c>
      <c r="J1249" s="1">
        <f t="shared" si="38"/>
        <v>26600</v>
      </c>
      <c r="K1249" s="1" t="str">
        <f>VLOOKUP(D1249,products!A:D,2,FALSE)</f>
        <v>Home Appliances</v>
      </c>
      <c r="L1249" s="1" t="str">
        <f t="shared" si="39"/>
        <v>Jun-2025</v>
      </c>
    </row>
    <row r="1250" spans="1:12" x14ac:dyDescent="0.25">
      <c r="A1250" s="3" t="s">
        <v>1497</v>
      </c>
      <c r="B1250" s="6">
        <v>45713</v>
      </c>
      <c r="C1250" s="3" t="s">
        <v>16</v>
      </c>
      <c r="D1250" s="3" t="s">
        <v>126</v>
      </c>
      <c r="E1250" s="3" t="s">
        <v>650</v>
      </c>
      <c r="F1250" s="3">
        <v>1</v>
      </c>
      <c r="G1250" s="3">
        <v>0</v>
      </c>
      <c r="H1250" s="1">
        <f>VLOOKUP(D1250,products!A:D,4,FALSE)</f>
        <v>185000</v>
      </c>
      <c r="I1250" s="1" t="str">
        <f>VLOOKUP(C1250,branches!A:B,2,FALSE)</f>
        <v>Naija Mart Ikeja</v>
      </c>
      <c r="J1250" s="1">
        <f t="shared" si="38"/>
        <v>185000</v>
      </c>
      <c r="K1250" s="1" t="str">
        <f>VLOOKUP(D1250,products!A:D,2,FALSE)</f>
        <v>Electronics</v>
      </c>
      <c r="L1250" s="1" t="str">
        <f t="shared" si="39"/>
        <v>Feb-2025</v>
      </c>
    </row>
    <row r="1251" spans="1:12" x14ac:dyDescent="0.25">
      <c r="A1251" s="3" t="s">
        <v>1498</v>
      </c>
      <c r="B1251" s="6">
        <v>45706</v>
      </c>
      <c r="C1251" s="3" t="s">
        <v>16</v>
      </c>
      <c r="D1251" s="3" t="s">
        <v>51</v>
      </c>
      <c r="E1251" s="3" t="s">
        <v>74</v>
      </c>
      <c r="F1251" s="3">
        <v>1</v>
      </c>
      <c r="G1251" s="3">
        <v>0</v>
      </c>
      <c r="H1251" s="1">
        <f>VLOOKUP(D1251,products!A:D,4,FALSE)</f>
        <v>18000</v>
      </c>
      <c r="I1251" s="1" t="str">
        <f>VLOOKUP(C1251,branches!A:B,2,FALSE)</f>
        <v>Naija Mart Ikeja</v>
      </c>
      <c r="J1251" s="1">
        <f t="shared" si="38"/>
        <v>18000</v>
      </c>
      <c r="K1251" s="1" t="str">
        <f>VLOOKUP(D1251,products!A:D,2,FALSE)</f>
        <v>Small Gadgets</v>
      </c>
      <c r="L1251" s="1" t="str">
        <f t="shared" si="39"/>
        <v>Feb-2025</v>
      </c>
    </row>
    <row r="1252" spans="1:12" x14ac:dyDescent="0.25">
      <c r="A1252" s="3" t="s">
        <v>1499</v>
      </c>
      <c r="B1252" s="6">
        <v>45774</v>
      </c>
      <c r="C1252" s="3" t="s">
        <v>16</v>
      </c>
      <c r="D1252" s="3" t="s">
        <v>80</v>
      </c>
      <c r="E1252" s="3" t="s">
        <v>209</v>
      </c>
      <c r="F1252" s="3">
        <v>3</v>
      </c>
      <c r="G1252" s="3">
        <v>0</v>
      </c>
      <c r="H1252" s="1">
        <f>VLOOKUP(D1252,products!A:D,4,FALSE)</f>
        <v>265000</v>
      </c>
      <c r="I1252" s="1" t="str">
        <f>VLOOKUP(C1252,branches!A:B,2,FALSE)</f>
        <v>Naija Mart Ikeja</v>
      </c>
      <c r="J1252" s="1">
        <f t="shared" si="38"/>
        <v>795000</v>
      </c>
      <c r="K1252" s="1" t="str">
        <f>VLOOKUP(D1252,products!A:D,2,FALSE)</f>
        <v>Home Appliances</v>
      </c>
      <c r="L1252" s="1" t="str">
        <f t="shared" si="39"/>
        <v>Apr-2025</v>
      </c>
    </row>
    <row r="1253" spans="1:12" x14ac:dyDescent="0.25">
      <c r="A1253" s="3" t="s">
        <v>1500</v>
      </c>
      <c r="B1253" s="6">
        <v>45732</v>
      </c>
      <c r="C1253" s="3" t="s">
        <v>16</v>
      </c>
      <c r="D1253" s="3" t="s">
        <v>17</v>
      </c>
      <c r="E1253" s="3" t="s">
        <v>110</v>
      </c>
      <c r="F1253" s="3">
        <v>1</v>
      </c>
      <c r="G1253" s="3">
        <v>0</v>
      </c>
      <c r="H1253" s="1">
        <f>VLOOKUP(D1253,products!A:D,4,FALSE)</f>
        <v>22000</v>
      </c>
      <c r="I1253" s="1" t="str">
        <f>VLOOKUP(C1253,branches!A:B,2,FALSE)</f>
        <v>Naija Mart Ikeja</v>
      </c>
      <c r="J1253" s="1">
        <f t="shared" si="38"/>
        <v>22000</v>
      </c>
      <c r="K1253" s="1" t="str">
        <f>VLOOKUP(D1253,products!A:D,2,FALSE)</f>
        <v>Home Appliances</v>
      </c>
      <c r="L1253" s="1" t="str">
        <f t="shared" si="39"/>
        <v>Mar-2025</v>
      </c>
    </row>
    <row r="1254" spans="1:12" x14ac:dyDescent="0.25">
      <c r="A1254" s="3" t="s">
        <v>1501</v>
      </c>
      <c r="B1254" s="6">
        <v>45679</v>
      </c>
      <c r="C1254" s="3" t="s">
        <v>12</v>
      </c>
      <c r="D1254" s="3" t="s">
        <v>59</v>
      </c>
      <c r="E1254" s="3" t="s">
        <v>102</v>
      </c>
      <c r="F1254" s="3">
        <v>1</v>
      </c>
      <c r="G1254" s="3">
        <v>10</v>
      </c>
      <c r="H1254" s="1">
        <f>VLOOKUP(D1254,products!A:D,4,FALSE)</f>
        <v>15000</v>
      </c>
      <c r="I1254" s="1" t="str">
        <f>VLOOKUP(C1254,branches!A:B,2,FALSE)</f>
        <v>Naija Mart Wuse</v>
      </c>
      <c r="J1254" s="1">
        <f t="shared" si="38"/>
        <v>13500</v>
      </c>
      <c r="K1254" s="1" t="str">
        <f>VLOOKUP(D1254,products!A:D,2,FALSE)</f>
        <v>Home Appliances</v>
      </c>
      <c r="L1254" s="1" t="str">
        <f t="shared" si="39"/>
        <v>Jan-2025</v>
      </c>
    </row>
    <row r="1255" spans="1:12" x14ac:dyDescent="0.25">
      <c r="A1255" s="3" t="s">
        <v>1502</v>
      </c>
      <c r="B1255" s="6">
        <v>45914</v>
      </c>
      <c r="C1255" s="3" t="s">
        <v>12</v>
      </c>
      <c r="D1255" s="3" t="s">
        <v>258</v>
      </c>
      <c r="E1255" s="3" t="s">
        <v>234</v>
      </c>
      <c r="F1255" s="3">
        <v>1</v>
      </c>
      <c r="G1255" s="3">
        <v>0</v>
      </c>
      <c r="H1255" s="1">
        <f>VLOOKUP(D1255,products!A:D,4,FALSE)</f>
        <v>95000</v>
      </c>
      <c r="I1255" s="1" t="str">
        <f>VLOOKUP(C1255,branches!A:B,2,FALSE)</f>
        <v>Naija Mart Wuse</v>
      </c>
      <c r="J1255" s="1">
        <f t="shared" si="38"/>
        <v>95000</v>
      </c>
      <c r="K1255" s="1" t="str">
        <f>VLOOKUP(D1255,products!A:D,2,FALSE)</f>
        <v>Electronics</v>
      </c>
      <c r="L1255" s="1" t="str">
        <f t="shared" si="39"/>
        <v>Sep-2025</v>
      </c>
    </row>
    <row r="1256" spans="1:12" x14ac:dyDescent="0.25">
      <c r="A1256" s="3" t="s">
        <v>1503</v>
      </c>
      <c r="B1256" s="6">
        <v>45997</v>
      </c>
      <c r="C1256" s="3" t="s">
        <v>16</v>
      </c>
      <c r="D1256" s="3" t="s">
        <v>43</v>
      </c>
      <c r="E1256" s="3" t="s">
        <v>637</v>
      </c>
      <c r="F1256" s="3">
        <v>2</v>
      </c>
      <c r="G1256" s="3">
        <v>0</v>
      </c>
      <c r="H1256" s="1">
        <f>VLOOKUP(D1256,products!A:D,4,FALSE)</f>
        <v>74000</v>
      </c>
      <c r="I1256" s="1" t="str">
        <f>VLOOKUP(C1256,branches!A:B,2,FALSE)</f>
        <v>Naija Mart Ikeja</v>
      </c>
      <c r="J1256" s="1">
        <f t="shared" si="38"/>
        <v>148000</v>
      </c>
      <c r="K1256" s="1" t="str">
        <f>VLOOKUP(D1256,products!A:D,2,FALSE)</f>
        <v>Home Appliances</v>
      </c>
      <c r="L1256" s="1" t="str">
        <f t="shared" si="39"/>
        <v>Dec-2025</v>
      </c>
    </row>
    <row r="1257" spans="1:12" x14ac:dyDescent="0.25">
      <c r="A1257" s="3" t="s">
        <v>1504</v>
      </c>
      <c r="B1257" s="6">
        <v>45812</v>
      </c>
      <c r="C1257" s="3" t="s">
        <v>16</v>
      </c>
      <c r="D1257" s="3" t="s">
        <v>69</v>
      </c>
      <c r="E1257" s="3" t="s">
        <v>322</v>
      </c>
      <c r="F1257" s="3">
        <v>2</v>
      </c>
      <c r="G1257" s="3">
        <v>15</v>
      </c>
      <c r="H1257" s="1">
        <f>VLOOKUP(D1257,products!A:D,4,FALSE)</f>
        <v>45000</v>
      </c>
      <c r="I1257" s="1" t="str">
        <f>VLOOKUP(C1257,branches!A:B,2,FALSE)</f>
        <v>Naija Mart Ikeja</v>
      </c>
      <c r="J1257" s="1">
        <f t="shared" si="38"/>
        <v>76500</v>
      </c>
      <c r="K1257" s="1" t="str">
        <f>VLOOKUP(D1257,products!A:D,2,FALSE)</f>
        <v>Electronics</v>
      </c>
      <c r="L1257" s="1" t="str">
        <f t="shared" si="39"/>
        <v>Jun-2025</v>
      </c>
    </row>
    <row r="1258" spans="1:12" x14ac:dyDescent="0.25">
      <c r="A1258" s="3" t="s">
        <v>1505</v>
      </c>
      <c r="B1258" s="6">
        <v>45994</v>
      </c>
      <c r="C1258" s="3" t="s">
        <v>16</v>
      </c>
      <c r="D1258" s="3" t="s">
        <v>56</v>
      </c>
      <c r="E1258" s="3" t="s">
        <v>480</v>
      </c>
      <c r="F1258" s="3">
        <v>2</v>
      </c>
      <c r="G1258" s="3">
        <v>0</v>
      </c>
      <c r="H1258" s="1">
        <f>VLOOKUP(D1258,products!A:D,4,FALSE)</f>
        <v>285000</v>
      </c>
      <c r="I1258" s="1" t="str">
        <f>VLOOKUP(C1258,branches!A:B,2,FALSE)</f>
        <v>Naija Mart Ikeja</v>
      </c>
      <c r="J1258" s="1">
        <f t="shared" si="38"/>
        <v>570000</v>
      </c>
      <c r="K1258" s="1" t="str">
        <f>VLOOKUP(D1258,products!A:D,2,FALSE)</f>
        <v>Home Appliances</v>
      </c>
      <c r="L1258" s="1" t="str">
        <f t="shared" si="39"/>
        <v>Dec-2025</v>
      </c>
    </row>
    <row r="1259" spans="1:12" x14ac:dyDescent="0.25">
      <c r="A1259" s="3" t="s">
        <v>1506</v>
      </c>
      <c r="B1259" s="6">
        <v>45732</v>
      </c>
      <c r="C1259" s="3" t="s">
        <v>36</v>
      </c>
      <c r="D1259" s="3" t="s">
        <v>33</v>
      </c>
      <c r="E1259" s="3" t="s">
        <v>176</v>
      </c>
      <c r="F1259" s="3">
        <v>1</v>
      </c>
      <c r="G1259" s="3">
        <v>20</v>
      </c>
      <c r="H1259" s="1">
        <f>VLOOKUP(D1259,products!A:D,4,FALSE)</f>
        <v>245000</v>
      </c>
      <c r="I1259" s="1" t="str">
        <f>VLOOKUP(C1259,branches!A:B,2,FALSE)</f>
        <v>Naija Mart Sabon Gari</v>
      </c>
      <c r="J1259" s="1">
        <f t="shared" si="38"/>
        <v>196000</v>
      </c>
      <c r="K1259" s="1" t="str">
        <f>VLOOKUP(D1259,products!A:D,2,FALSE)</f>
        <v>Generators &amp; Power</v>
      </c>
      <c r="L1259" s="1" t="str">
        <f t="shared" si="39"/>
        <v>Mar-2025</v>
      </c>
    </row>
    <row r="1260" spans="1:12" x14ac:dyDescent="0.25">
      <c r="A1260" s="3" t="s">
        <v>1507</v>
      </c>
      <c r="B1260" s="6">
        <v>45668</v>
      </c>
      <c r="C1260" s="3" t="s">
        <v>16</v>
      </c>
      <c r="D1260" s="3" t="s">
        <v>37</v>
      </c>
      <c r="E1260" s="3" t="s">
        <v>448</v>
      </c>
      <c r="F1260" s="3">
        <v>2</v>
      </c>
      <c r="G1260" s="3">
        <v>10</v>
      </c>
      <c r="H1260" s="1">
        <f>VLOOKUP(D1260,products!A:D,4,FALSE)</f>
        <v>8500</v>
      </c>
      <c r="I1260" s="1" t="str">
        <f>VLOOKUP(C1260,branches!A:B,2,FALSE)</f>
        <v>Naija Mart Ikeja</v>
      </c>
      <c r="J1260" s="1">
        <f t="shared" si="38"/>
        <v>15300</v>
      </c>
      <c r="K1260" s="1" t="str">
        <f>VLOOKUP(D1260,products!A:D,2,FALSE)</f>
        <v>Small Gadgets</v>
      </c>
      <c r="L1260" s="1" t="str">
        <f t="shared" si="39"/>
        <v>Jan-2025</v>
      </c>
    </row>
    <row r="1261" spans="1:12" x14ac:dyDescent="0.25">
      <c r="A1261" s="3" t="s">
        <v>1508</v>
      </c>
      <c r="B1261" s="6">
        <v>45679</v>
      </c>
      <c r="C1261" s="3" t="s">
        <v>36</v>
      </c>
      <c r="D1261" s="3" t="s">
        <v>46</v>
      </c>
      <c r="E1261" s="3" t="s">
        <v>868</v>
      </c>
      <c r="F1261" s="3">
        <v>1</v>
      </c>
      <c r="G1261" s="3">
        <v>0</v>
      </c>
      <c r="H1261" s="1">
        <f>VLOOKUP(D1261,products!A:D,4,FALSE)</f>
        <v>62000</v>
      </c>
      <c r="I1261" s="1" t="str">
        <f>VLOOKUP(C1261,branches!A:B,2,FALSE)</f>
        <v>Naija Mart Sabon Gari</v>
      </c>
      <c r="J1261" s="1">
        <f t="shared" si="38"/>
        <v>62000</v>
      </c>
      <c r="K1261" s="1" t="str">
        <f>VLOOKUP(D1261,products!A:D,2,FALSE)</f>
        <v>Home Appliances</v>
      </c>
      <c r="L1261" s="1" t="str">
        <f t="shared" si="39"/>
        <v>Jan-2025</v>
      </c>
    </row>
    <row r="1262" spans="1:12" x14ac:dyDescent="0.25">
      <c r="A1262" s="3" t="s">
        <v>1509</v>
      </c>
      <c r="B1262" s="6">
        <v>45779</v>
      </c>
      <c r="C1262" s="3" t="s">
        <v>12</v>
      </c>
      <c r="D1262" s="3" t="s">
        <v>258</v>
      </c>
      <c r="E1262" s="3" t="s">
        <v>557</v>
      </c>
      <c r="F1262" s="3">
        <v>1</v>
      </c>
      <c r="G1262" s="3">
        <v>0</v>
      </c>
      <c r="H1262" s="1">
        <f>VLOOKUP(D1262,products!A:D,4,FALSE)</f>
        <v>95000</v>
      </c>
      <c r="I1262" s="1" t="str">
        <f>VLOOKUP(C1262,branches!A:B,2,FALSE)</f>
        <v>Naija Mart Wuse</v>
      </c>
      <c r="J1262" s="1">
        <f t="shared" si="38"/>
        <v>95000</v>
      </c>
      <c r="K1262" s="1" t="str">
        <f>VLOOKUP(D1262,products!A:D,2,FALSE)</f>
        <v>Electronics</v>
      </c>
      <c r="L1262" s="1" t="str">
        <f t="shared" si="39"/>
        <v>May-2025</v>
      </c>
    </row>
    <row r="1263" spans="1:12" x14ac:dyDescent="0.25">
      <c r="A1263" s="3" t="s">
        <v>1510</v>
      </c>
      <c r="B1263" s="6">
        <v>45710</v>
      </c>
      <c r="C1263" s="3" t="s">
        <v>8</v>
      </c>
      <c r="D1263" s="3" t="s">
        <v>94</v>
      </c>
      <c r="E1263" s="3" t="s">
        <v>14</v>
      </c>
      <c r="F1263" s="3">
        <v>1</v>
      </c>
      <c r="G1263" s="3">
        <v>0</v>
      </c>
      <c r="H1263" s="1">
        <f>VLOOKUP(D1263,products!A:D,4,FALSE)</f>
        <v>320000</v>
      </c>
      <c r="I1263" s="1" t="str">
        <f>VLOOKUP(C1263,branches!A:B,2,FALSE)</f>
        <v>Naija Mart GRA</v>
      </c>
      <c r="J1263" s="1">
        <f t="shared" si="38"/>
        <v>320000</v>
      </c>
      <c r="K1263" s="1" t="str">
        <f>VLOOKUP(D1263,products!A:D,2,FALSE)</f>
        <v>Electronics</v>
      </c>
      <c r="L1263" s="1" t="str">
        <f t="shared" si="39"/>
        <v>Feb-2025</v>
      </c>
    </row>
    <row r="1264" spans="1:12" x14ac:dyDescent="0.25">
      <c r="A1264" s="3" t="s">
        <v>1511</v>
      </c>
      <c r="B1264" s="6">
        <v>45877</v>
      </c>
      <c r="C1264" s="3" t="s">
        <v>16</v>
      </c>
      <c r="D1264" s="3" t="s">
        <v>64</v>
      </c>
      <c r="E1264" s="3" t="s">
        <v>373</v>
      </c>
      <c r="F1264" s="3">
        <v>2</v>
      </c>
      <c r="G1264" s="3">
        <v>10</v>
      </c>
      <c r="H1264" s="1">
        <f>VLOOKUP(D1264,products!A:D,4,FALSE)</f>
        <v>175000</v>
      </c>
      <c r="I1264" s="1" t="str">
        <f>VLOOKUP(C1264,branches!A:B,2,FALSE)</f>
        <v>Naija Mart Ikeja</v>
      </c>
      <c r="J1264" s="1">
        <f t="shared" si="38"/>
        <v>315000</v>
      </c>
      <c r="K1264" s="1" t="str">
        <f>VLOOKUP(D1264,products!A:D,2,FALSE)</f>
        <v>Generators &amp; Power</v>
      </c>
      <c r="L1264" s="1" t="str">
        <f t="shared" si="39"/>
        <v>Aug-2025</v>
      </c>
    </row>
    <row r="1265" spans="1:12" x14ac:dyDescent="0.25">
      <c r="A1265" s="3" t="s">
        <v>1512</v>
      </c>
      <c r="B1265" s="6">
        <v>45896</v>
      </c>
      <c r="C1265" s="3" t="s">
        <v>16</v>
      </c>
      <c r="D1265" s="3" t="s">
        <v>91</v>
      </c>
      <c r="E1265" s="3" t="s">
        <v>184</v>
      </c>
      <c r="F1265" s="3">
        <v>1</v>
      </c>
      <c r="G1265" s="3">
        <v>20</v>
      </c>
      <c r="H1265" s="1">
        <f>VLOOKUP(D1265,products!A:D,4,FALSE)</f>
        <v>5200</v>
      </c>
      <c r="I1265" s="1" t="str">
        <f>VLOOKUP(C1265,branches!A:B,2,FALSE)</f>
        <v>Naija Mart Ikeja</v>
      </c>
      <c r="J1265" s="1">
        <f t="shared" si="38"/>
        <v>4160</v>
      </c>
      <c r="K1265" s="1" t="str">
        <f>VLOOKUP(D1265,products!A:D,2,FALSE)</f>
        <v>Small Gadgets</v>
      </c>
      <c r="L1265" s="1" t="str">
        <f t="shared" si="39"/>
        <v>Aug-2025</v>
      </c>
    </row>
    <row r="1266" spans="1:12" x14ac:dyDescent="0.25">
      <c r="A1266" s="3" t="s">
        <v>1513</v>
      </c>
      <c r="B1266" s="6">
        <v>45966</v>
      </c>
      <c r="C1266" s="3" t="s">
        <v>16</v>
      </c>
      <c r="D1266" s="3" t="s">
        <v>126</v>
      </c>
      <c r="E1266" s="3" t="s">
        <v>114</v>
      </c>
      <c r="F1266" s="3">
        <v>3</v>
      </c>
      <c r="G1266" s="3">
        <v>0</v>
      </c>
      <c r="H1266" s="1">
        <f>VLOOKUP(D1266,products!A:D,4,FALSE)</f>
        <v>185000</v>
      </c>
      <c r="I1266" s="1" t="str">
        <f>VLOOKUP(C1266,branches!A:B,2,FALSE)</f>
        <v>Naija Mart Ikeja</v>
      </c>
      <c r="J1266" s="1">
        <f t="shared" si="38"/>
        <v>555000</v>
      </c>
      <c r="K1266" s="1" t="str">
        <f>VLOOKUP(D1266,products!A:D,2,FALSE)</f>
        <v>Electronics</v>
      </c>
      <c r="L1266" s="1" t="str">
        <f t="shared" si="39"/>
        <v>Nov-2025</v>
      </c>
    </row>
    <row r="1267" spans="1:12" x14ac:dyDescent="0.25">
      <c r="A1267" s="3" t="s">
        <v>1514</v>
      </c>
      <c r="B1267" s="6">
        <v>46001</v>
      </c>
      <c r="C1267" s="3" t="s">
        <v>12</v>
      </c>
      <c r="D1267" s="3" t="s">
        <v>37</v>
      </c>
      <c r="E1267" s="3" t="s">
        <v>203</v>
      </c>
      <c r="F1267" s="3">
        <v>3</v>
      </c>
      <c r="G1267" s="3">
        <v>0</v>
      </c>
      <c r="H1267" s="1">
        <f>VLOOKUP(D1267,products!A:D,4,FALSE)</f>
        <v>8500</v>
      </c>
      <c r="I1267" s="1" t="str">
        <f>VLOOKUP(C1267,branches!A:B,2,FALSE)</f>
        <v>Naija Mart Wuse</v>
      </c>
      <c r="J1267" s="1">
        <f t="shared" si="38"/>
        <v>25500</v>
      </c>
      <c r="K1267" s="1" t="str">
        <f>VLOOKUP(D1267,products!A:D,2,FALSE)</f>
        <v>Small Gadgets</v>
      </c>
      <c r="L1267" s="1" t="str">
        <f t="shared" si="39"/>
        <v>Dec-2025</v>
      </c>
    </row>
    <row r="1268" spans="1:12" x14ac:dyDescent="0.25">
      <c r="A1268" s="3" t="s">
        <v>1515</v>
      </c>
      <c r="B1268" s="6">
        <v>45937</v>
      </c>
      <c r="C1268" s="3" t="s">
        <v>12</v>
      </c>
      <c r="D1268" s="3" t="s">
        <v>97</v>
      </c>
      <c r="E1268" s="3" t="s">
        <v>719</v>
      </c>
      <c r="F1268" s="3">
        <v>1</v>
      </c>
      <c r="G1268" s="3">
        <v>0</v>
      </c>
      <c r="H1268" s="1">
        <f>VLOOKUP(D1268,products!A:D,4,FALSE)</f>
        <v>21000</v>
      </c>
      <c r="I1268" s="1" t="str">
        <f>VLOOKUP(C1268,branches!A:B,2,FALSE)</f>
        <v>Naija Mart Wuse</v>
      </c>
      <c r="J1268" s="1">
        <f t="shared" si="38"/>
        <v>21000</v>
      </c>
      <c r="K1268" s="1" t="str">
        <f>VLOOKUP(D1268,products!A:D,2,FALSE)</f>
        <v>Small Gadgets</v>
      </c>
      <c r="L1268" s="1" t="str">
        <f t="shared" si="39"/>
        <v>Oct-2025</v>
      </c>
    </row>
    <row r="1269" spans="1:12" x14ac:dyDescent="0.25">
      <c r="A1269" s="3" t="s">
        <v>1516</v>
      </c>
      <c r="B1269" s="6">
        <v>45937</v>
      </c>
      <c r="C1269" s="3" t="s">
        <v>12</v>
      </c>
      <c r="D1269" s="3" t="s">
        <v>91</v>
      </c>
      <c r="E1269" s="3" t="s">
        <v>480</v>
      </c>
      <c r="F1269" s="3">
        <v>1</v>
      </c>
      <c r="G1269" s="3">
        <v>0</v>
      </c>
      <c r="H1269" s="1">
        <f>VLOOKUP(D1269,products!A:D,4,FALSE)</f>
        <v>5200</v>
      </c>
      <c r="I1269" s="1" t="str">
        <f>VLOOKUP(C1269,branches!A:B,2,FALSE)</f>
        <v>Naija Mart Wuse</v>
      </c>
      <c r="J1269" s="1">
        <f t="shared" si="38"/>
        <v>5200</v>
      </c>
      <c r="K1269" s="1" t="str">
        <f>VLOOKUP(D1269,products!A:D,2,FALSE)</f>
        <v>Small Gadgets</v>
      </c>
      <c r="L1269" s="1" t="str">
        <f t="shared" si="39"/>
        <v>Oct-2025</v>
      </c>
    </row>
    <row r="1270" spans="1:12" x14ac:dyDescent="0.25">
      <c r="A1270" s="3" t="s">
        <v>1517</v>
      </c>
      <c r="B1270" s="6">
        <v>45920</v>
      </c>
      <c r="C1270" s="3" t="s">
        <v>16</v>
      </c>
      <c r="D1270" s="3" t="s">
        <v>197</v>
      </c>
      <c r="E1270" s="3" t="s">
        <v>41</v>
      </c>
      <c r="F1270" s="3">
        <v>1</v>
      </c>
      <c r="G1270" s="3">
        <v>10</v>
      </c>
      <c r="H1270" s="1">
        <f>VLOOKUP(D1270,products!A:D,4,FALSE)</f>
        <v>78000</v>
      </c>
      <c r="I1270" s="1" t="str">
        <f>VLOOKUP(C1270,branches!A:B,2,FALSE)</f>
        <v>Naija Mart Ikeja</v>
      </c>
      <c r="J1270" s="1">
        <f t="shared" si="38"/>
        <v>70200</v>
      </c>
      <c r="K1270" s="1" t="str">
        <f>VLOOKUP(D1270,products!A:D,2,FALSE)</f>
        <v>Electronics</v>
      </c>
      <c r="L1270" s="1" t="str">
        <f t="shared" si="39"/>
        <v>Sep-2025</v>
      </c>
    </row>
    <row r="1271" spans="1:12" x14ac:dyDescent="0.25">
      <c r="A1271" s="3" t="s">
        <v>1518</v>
      </c>
      <c r="B1271" s="6">
        <v>46004</v>
      </c>
      <c r="C1271" s="3" t="s">
        <v>16</v>
      </c>
      <c r="D1271" s="3" t="s">
        <v>37</v>
      </c>
      <c r="E1271" s="3" t="s">
        <v>207</v>
      </c>
      <c r="F1271" s="3">
        <v>1</v>
      </c>
      <c r="G1271" s="3">
        <v>30</v>
      </c>
      <c r="H1271" s="1">
        <f>VLOOKUP(D1271,products!A:D,4,FALSE)</f>
        <v>8500</v>
      </c>
      <c r="I1271" s="1" t="str">
        <f>VLOOKUP(C1271,branches!A:B,2,FALSE)</f>
        <v>Naija Mart Ikeja</v>
      </c>
      <c r="J1271" s="1">
        <f t="shared" si="38"/>
        <v>5950</v>
      </c>
      <c r="K1271" s="1" t="str">
        <f>VLOOKUP(D1271,products!A:D,2,FALSE)</f>
        <v>Small Gadgets</v>
      </c>
      <c r="L1271" s="1" t="str">
        <f t="shared" si="39"/>
        <v>Dec-2025</v>
      </c>
    </row>
    <row r="1272" spans="1:12" x14ac:dyDescent="0.25">
      <c r="A1272" s="3" t="s">
        <v>1519</v>
      </c>
      <c r="B1272" s="6">
        <v>45922</v>
      </c>
      <c r="C1272" s="3" t="s">
        <v>16</v>
      </c>
      <c r="D1272" s="3" t="s">
        <v>126</v>
      </c>
      <c r="E1272" s="3" t="s">
        <v>637</v>
      </c>
      <c r="F1272" s="3">
        <v>1</v>
      </c>
      <c r="G1272" s="3">
        <v>10</v>
      </c>
      <c r="H1272" s="1">
        <f>VLOOKUP(D1272,products!A:D,4,FALSE)</f>
        <v>185000</v>
      </c>
      <c r="I1272" s="1" t="str">
        <f>VLOOKUP(C1272,branches!A:B,2,FALSE)</f>
        <v>Naija Mart Ikeja</v>
      </c>
      <c r="J1272" s="1">
        <f t="shared" si="38"/>
        <v>166500</v>
      </c>
      <c r="K1272" s="1" t="str">
        <f>VLOOKUP(D1272,products!A:D,2,FALSE)</f>
        <v>Electronics</v>
      </c>
      <c r="L1272" s="1" t="str">
        <f t="shared" si="39"/>
        <v>Sep-2025</v>
      </c>
    </row>
    <row r="1273" spans="1:12" x14ac:dyDescent="0.25">
      <c r="A1273" s="3" t="s">
        <v>1520</v>
      </c>
      <c r="B1273" s="6">
        <v>45976</v>
      </c>
      <c r="C1273" s="3" t="s">
        <v>16</v>
      </c>
      <c r="D1273" s="3" t="s">
        <v>23</v>
      </c>
      <c r="E1273" s="3" t="s">
        <v>637</v>
      </c>
      <c r="F1273" s="3">
        <v>1</v>
      </c>
      <c r="G1273" s="3">
        <v>0</v>
      </c>
      <c r="H1273" s="1">
        <f>VLOOKUP(D1273,products!A:D,4,FALSE)</f>
        <v>19500</v>
      </c>
      <c r="I1273" s="1" t="str">
        <f>VLOOKUP(C1273,branches!A:B,2,FALSE)</f>
        <v>Naija Mart Ikeja</v>
      </c>
      <c r="J1273" s="1">
        <f t="shared" si="38"/>
        <v>19500</v>
      </c>
      <c r="K1273" s="1" t="str">
        <f>VLOOKUP(D1273,products!A:D,2,FALSE)</f>
        <v>Home Appliances</v>
      </c>
      <c r="L1273" s="1" t="str">
        <f t="shared" si="39"/>
        <v>Nov-2025</v>
      </c>
    </row>
    <row r="1274" spans="1:12" x14ac:dyDescent="0.25">
      <c r="A1274" s="3" t="s">
        <v>1521</v>
      </c>
      <c r="B1274" s="6">
        <v>45855</v>
      </c>
      <c r="C1274" s="3" t="s">
        <v>8</v>
      </c>
      <c r="D1274" s="3" t="s">
        <v>258</v>
      </c>
      <c r="E1274" s="3" t="s">
        <v>104</v>
      </c>
      <c r="F1274" s="3">
        <v>1</v>
      </c>
      <c r="G1274" s="3">
        <v>0</v>
      </c>
      <c r="H1274" s="1">
        <f>VLOOKUP(D1274,products!A:D,4,FALSE)</f>
        <v>95000</v>
      </c>
      <c r="I1274" s="1" t="str">
        <f>VLOOKUP(C1274,branches!A:B,2,FALSE)</f>
        <v>Naija Mart GRA</v>
      </c>
      <c r="J1274" s="1">
        <f t="shared" si="38"/>
        <v>95000</v>
      </c>
      <c r="K1274" s="1" t="str">
        <f>VLOOKUP(D1274,products!A:D,2,FALSE)</f>
        <v>Electronics</v>
      </c>
      <c r="L1274" s="1" t="str">
        <f t="shared" si="39"/>
        <v>Jul-2025</v>
      </c>
    </row>
    <row r="1275" spans="1:12" x14ac:dyDescent="0.25">
      <c r="A1275" s="3" t="s">
        <v>1522</v>
      </c>
      <c r="B1275" s="6">
        <v>45711</v>
      </c>
      <c r="C1275" s="3" t="s">
        <v>12</v>
      </c>
      <c r="D1275" s="3" t="s">
        <v>33</v>
      </c>
      <c r="E1275" s="3" t="s">
        <v>1119</v>
      </c>
      <c r="F1275" s="3">
        <v>1</v>
      </c>
      <c r="G1275" s="3">
        <v>20</v>
      </c>
      <c r="H1275" s="1">
        <f>VLOOKUP(D1275,products!A:D,4,FALSE)</f>
        <v>245000</v>
      </c>
      <c r="I1275" s="1" t="str">
        <f>VLOOKUP(C1275,branches!A:B,2,FALSE)</f>
        <v>Naija Mart Wuse</v>
      </c>
      <c r="J1275" s="1">
        <f t="shared" si="38"/>
        <v>196000</v>
      </c>
      <c r="K1275" s="1" t="str">
        <f>VLOOKUP(D1275,products!A:D,2,FALSE)</f>
        <v>Generators &amp; Power</v>
      </c>
      <c r="L1275" s="1" t="str">
        <f t="shared" si="39"/>
        <v>Feb-2025</v>
      </c>
    </row>
    <row r="1276" spans="1:12" x14ac:dyDescent="0.25">
      <c r="A1276" s="3" t="s">
        <v>1523</v>
      </c>
      <c r="B1276" s="6">
        <v>45983</v>
      </c>
      <c r="C1276" s="3" t="s">
        <v>16</v>
      </c>
      <c r="D1276" s="3" t="s">
        <v>17</v>
      </c>
      <c r="E1276" s="3" t="s">
        <v>868</v>
      </c>
      <c r="F1276" s="3">
        <v>1</v>
      </c>
      <c r="G1276" s="3">
        <v>5</v>
      </c>
      <c r="H1276" s="1">
        <f>VLOOKUP(D1276,products!A:D,4,FALSE)</f>
        <v>22000</v>
      </c>
      <c r="I1276" s="1" t="str">
        <f>VLOOKUP(C1276,branches!A:B,2,FALSE)</f>
        <v>Naija Mart Ikeja</v>
      </c>
      <c r="J1276" s="1">
        <f t="shared" si="38"/>
        <v>20900</v>
      </c>
      <c r="K1276" s="1" t="str">
        <f>VLOOKUP(D1276,products!A:D,2,FALSE)</f>
        <v>Home Appliances</v>
      </c>
      <c r="L1276" s="1" t="str">
        <f t="shared" si="39"/>
        <v>Nov-2025</v>
      </c>
    </row>
    <row r="1277" spans="1:12" x14ac:dyDescent="0.25">
      <c r="A1277" s="3" t="s">
        <v>1524</v>
      </c>
      <c r="B1277" s="6">
        <v>45820</v>
      </c>
      <c r="C1277" s="3" t="s">
        <v>16</v>
      </c>
      <c r="D1277" s="3" t="s">
        <v>59</v>
      </c>
      <c r="E1277" s="3" t="s">
        <v>333</v>
      </c>
      <c r="F1277" s="3">
        <v>1</v>
      </c>
      <c r="G1277" s="3">
        <v>5</v>
      </c>
      <c r="H1277" s="1">
        <f>VLOOKUP(D1277,products!A:D,4,FALSE)</f>
        <v>15000</v>
      </c>
      <c r="I1277" s="1" t="str">
        <f>VLOOKUP(C1277,branches!A:B,2,FALSE)</f>
        <v>Naija Mart Ikeja</v>
      </c>
      <c r="J1277" s="1">
        <f t="shared" si="38"/>
        <v>14250</v>
      </c>
      <c r="K1277" s="1" t="str">
        <f>VLOOKUP(D1277,products!A:D,2,FALSE)</f>
        <v>Home Appliances</v>
      </c>
      <c r="L1277" s="1" t="str">
        <f t="shared" si="39"/>
        <v>Jun-2025</v>
      </c>
    </row>
    <row r="1278" spans="1:12" x14ac:dyDescent="0.25">
      <c r="A1278" s="3" t="s">
        <v>1525</v>
      </c>
      <c r="B1278" s="6">
        <v>45972</v>
      </c>
      <c r="C1278" s="3" t="s">
        <v>8</v>
      </c>
      <c r="D1278" s="3" t="s">
        <v>64</v>
      </c>
      <c r="E1278" s="3" t="s">
        <v>472</v>
      </c>
      <c r="F1278" s="3">
        <v>1</v>
      </c>
      <c r="G1278" s="3">
        <v>10</v>
      </c>
      <c r="H1278" s="1">
        <f>VLOOKUP(D1278,products!A:D,4,FALSE)</f>
        <v>175000</v>
      </c>
      <c r="I1278" s="1" t="str">
        <f>VLOOKUP(C1278,branches!A:B,2,FALSE)</f>
        <v>Naija Mart GRA</v>
      </c>
      <c r="J1278" s="1">
        <f t="shared" si="38"/>
        <v>157500</v>
      </c>
      <c r="K1278" s="1" t="str">
        <f>VLOOKUP(D1278,products!A:D,2,FALSE)</f>
        <v>Generators &amp; Power</v>
      </c>
      <c r="L1278" s="1" t="str">
        <f t="shared" si="39"/>
        <v>Nov-2025</v>
      </c>
    </row>
    <row r="1279" spans="1:12" x14ac:dyDescent="0.25">
      <c r="A1279" s="3" t="s">
        <v>1526</v>
      </c>
      <c r="B1279" s="6">
        <v>45939</v>
      </c>
      <c r="C1279" s="3" t="s">
        <v>8</v>
      </c>
      <c r="D1279" s="3" t="s">
        <v>97</v>
      </c>
      <c r="E1279" s="3" t="s">
        <v>574</v>
      </c>
      <c r="F1279" s="3">
        <v>1</v>
      </c>
      <c r="G1279" s="3">
        <v>10</v>
      </c>
      <c r="H1279" s="1">
        <f>VLOOKUP(D1279,products!A:D,4,FALSE)</f>
        <v>21000</v>
      </c>
      <c r="I1279" s="1" t="str">
        <f>VLOOKUP(C1279,branches!A:B,2,FALSE)</f>
        <v>Naija Mart GRA</v>
      </c>
      <c r="J1279" s="1">
        <f t="shared" si="38"/>
        <v>18900</v>
      </c>
      <c r="K1279" s="1" t="str">
        <f>VLOOKUP(D1279,products!A:D,2,FALSE)</f>
        <v>Small Gadgets</v>
      </c>
      <c r="L1279" s="1" t="str">
        <f t="shared" si="39"/>
        <v>Oct-2025</v>
      </c>
    </row>
    <row r="1280" spans="1:12" x14ac:dyDescent="0.25">
      <c r="A1280" s="3" t="s">
        <v>1527</v>
      </c>
      <c r="B1280" s="6">
        <v>45944</v>
      </c>
      <c r="C1280" s="3" t="s">
        <v>8</v>
      </c>
      <c r="D1280" s="3" t="s">
        <v>94</v>
      </c>
      <c r="E1280" s="3" t="s">
        <v>136</v>
      </c>
      <c r="F1280" s="3">
        <v>1</v>
      </c>
      <c r="G1280" s="3">
        <v>0</v>
      </c>
      <c r="H1280" s="1">
        <f>VLOOKUP(D1280,products!A:D,4,FALSE)</f>
        <v>320000</v>
      </c>
      <c r="I1280" s="1" t="str">
        <f>VLOOKUP(C1280,branches!A:B,2,FALSE)</f>
        <v>Naija Mart GRA</v>
      </c>
      <c r="J1280" s="1">
        <f t="shared" si="38"/>
        <v>320000</v>
      </c>
      <c r="K1280" s="1" t="str">
        <f>VLOOKUP(D1280,products!A:D,2,FALSE)</f>
        <v>Electronics</v>
      </c>
      <c r="L1280" s="1" t="str">
        <f t="shared" si="39"/>
        <v>Oct-2025</v>
      </c>
    </row>
    <row r="1281" spans="1:12" x14ac:dyDescent="0.25">
      <c r="A1281" s="3" t="s">
        <v>1528</v>
      </c>
      <c r="B1281" s="6">
        <v>45983</v>
      </c>
      <c r="C1281" s="3" t="s">
        <v>16</v>
      </c>
      <c r="D1281" s="3" t="s">
        <v>258</v>
      </c>
      <c r="E1281" s="3" t="s">
        <v>382</v>
      </c>
      <c r="F1281" s="3">
        <v>1</v>
      </c>
      <c r="G1281" s="3">
        <v>25</v>
      </c>
      <c r="H1281" s="1">
        <f>VLOOKUP(D1281,products!A:D,4,FALSE)</f>
        <v>95000</v>
      </c>
      <c r="I1281" s="1" t="str">
        <f>VLOOKUP(C1281,branches!A:B,2,FALSE)</f>
        <v>Naija Mart Ikeja</v>
      </c>
      <c r="J1281" s="1">
        <f t="shared" si="38"/>
        <v>71250</v>
      </c>
      <c r="K1281" s="1" t="str">
        <f>VLOOKUP(D1281,products!A:D,2,FALSE)</f>
        <v>Electronics</v>
      </c>
      <c r="L1281" s="1" t="str">
        <f t="shared" si="39"/>
        <v>Nov-2025</v>
      </c>
    </row>
    <row r="1282" spans="1:12" x14ac:dyDescent="0.25">
      <c r="A1282" s="3" t="s">
        <v>1529</v>
      </c>
      <c r="B1282" s="6">
        <v>45803</v>
      </c>
      <c r="C1282" s="3" t="s">
        <v>36</v>
      </c>
      <c r="D1282" s="3" t="s">
        <v>46</v>
      </c>
      <c r="E1282" s="3" t="s">
        <v>547</v>
      </c>
      <c r="F1282" s="3">
        <v>1</v>
      </c>
      <c r="G1282" s="3">
        <v>0</v>
      </c>
      <c r="H1282" s="1">
        <f>VLOOKUP(D1282,products!A:D,4,FALSE)</f>
        <v>62000</v>
      </c>
      <c r="I1282" s="1" t="str">
        <f>VLOOKUP(C1282,branches!A:B,2,FALSE)</f>
        <v>Naija Mart Sabon Gari</v>
      </c>
      <c r="J1282" s="1">
        <f t="shared" si="38"/>
        <v>62000</v>
      </c>
      <c r="K1282" s="1" t="str">
        <f>VLOOKUP(D1282,products!A:D,2,FALSE)</f>
        <v>Home Appliances</v>
      </c>
      <c r="L1282" s="1" t="str">
        <f t="shared" si="39"/>
        <v>May-2025</v>
      </c>
    </row>
    <row r="1283" spans="1:12" x14ac:dyDescent="0.25">
      <c r="A1283" s="3" t="s">
        <v>1530</v>
      </c>
      <c r="B1283" s="6">
        <v>46012</v>
      </c>
      <c r="C1283" s="3" t="s">
        <v>8</v>
      </c>
      <c r="D1283" s="3" t="s">
        <v>43</v>
      </c>
      <c r="E1283" s="3" t="s">
        <v>430</v>
      </c>
      <c r="F1283" s="3">
        <v>1</v>
      </c>
      <c r="G1283" s="3">
        <v>0</v>
      </c>
      <c r="H1283" s="1">
        <f>VLOOKUP(D1283,products!A:D,4,FALSE)</f>
        <v>74000</v>
      </c>
      <c r="I1283" s="1" t="str">
        <f>VLOOKUP(C1283,branches!A:B,2,FALSE)</f>
        <v>Naija Mart GRA</v>
      </c>
      <c r="J1283" s="1">
        <f t="shared" ref="J1283:J1346" si="40">F1283*H1283*(1-G1283/100)</f>
        <v>74000</v>
      </c>
      <c r="K1283" s="1" t="str">
        <f>VLOOKUP(D1283,products!A:D,2,FALSE)</f>
        <v>Home Appliances</v>
      </c>
      <c r="L1283" s="1" t="str">
        <f t="shared" ref="L1283:L1346" si="41">TEXT(B1283,"mmm-yyyy")</f>
        <v>Dec-2025</v>
      </c>
    </row>
    <row r="1284" spans="1:12" x14ac:dyDescent="0.25">
      <c r="A1284" s="3" t="s">
        <v>1531</v>
      </c>
      <c r="B1284" s="6">
        <v>45762</v>
      </c>
      <c r="C1284" s="3" t="s">
        <v>16</v>
      </c>
      <c r="D1284" s="3" t="s">
        <v>49</v>
      </c>
      <c r="E1284" s="3" t="s">
        <v>454</v>
      </c>
      <c r="F1284" s="3">
        <v>3</v>
      </c>
      <c r="G1284" s="3">
        <v>5</v>
      </c>
      <c r="H1284" s="1">
        <f>VLOOKUP(D1284,products!A:D,4,FALSE)</f>
        <v>28000</v>
      </c>
      <c r="I1284" s="1" t="str">
        <f>VLOOKUP(C1284,branches!A:B,2,FALSE)</f>
        <v>Naija Mart Ikeja</v>
      </c>
      <c r="J1284" s="1">
        <f t="shared" si="40"/>
        <v>79800</v>
      </c>
      <c r="K1284" s="1" t="str">
        <f>VLOOKUP(D1284,products!A:D,2,FALSE)</f>
        <v>Home Appliances</v>
      </c>
      <c r="L1284" s="1" t="str">
        <f t="shared" si="41"/>
        <v>Apr-2025</v>
      </c>
    </row>
    <row r="1285" spans="1:12" x14ac:dyDescent="0.25">
      <c r="A1285" s="3" t="s">
        <v>1532</v>
      </c>
      <c r="B1285" s="6">
        <v>45968</v>
      </c>
      <c r="C1285" s="3" t="s">
        <v>16</v>
      </c>
      <c r="D1285" s="3" t="s">
        <v>64</v>
      </c>
      <c r="E1285" s="3" t="s">
        <v>715</v>
      </c>
      <c r="F1285" s="3">
        <v>1</v>
      </c>
      <c r="G1285" s="3">
        <v>0</v>
      </c>
      <c r="H1285" s="1">
        <f>VLOOKUP(D1285,products!A:D,4,FALSE)</f>
        <v>175000</v>
      </c>
      <c r="I1285" s="1" t="str">
        <f>VLOOKUP(C1285,branches!A:B,2,FALSE)</f>
        <v>Naija Mart Ikeja</v>
      </c>
      <c r="J1285" s="1">
        <f t="shared" si="40"/>
        <v>175000</v>
      </c>
      <c r="K1285" s="1" t="str">
        <f>VLOOKUP(D1285,products!A:D,2,FALSE)</f>
        <v>Generators &amp; Power</v>
      </c>
      <c r="L1285" s="1" t="str">
        <f t="shared" si="41"/>
        <v>Nov-2025</v>
      </c>
    </row>
    <row r="1286" spans="1:12" x14ac:dyDescent="0.25">
      <c r="A1286" s="3" t="s">
        <v>1533</v>
      </c>
      <c r="B1286" s="6">
        <v>45663</v>
      </c>
      <c r="C1286" s="3" t="s">
        <v>36</v>
      </c>
      <c r="D1286" s="3" t="s">
        <v>69</v>
      </c>
      <c r="E1286" s="3" t="s">
        <v>430</v>
      </c>
      <c r="F1286" s="3">
        <v>2</v>
      </c>
      <c r="G1286" s="3">
        <v>15</v>
      </c>
      <c r="H1286" s="1">
        <f>VLOOKUP(D1286,products!A:D,4,FALSE)</f>
        <v>45000</v>
      </c>
      <c r="I1286" s="1" t="str">
        <f>VLOOKUP(C1286,branches!A:B,2,FALSE)</f>
        <v>Naija Mart Sabon Gari</v>
      </c>
      <c r="J1286" s="1">
        <f t="shared" si="40"/>
        <v>76500</v>
      </c>
      <c r="K1286" s="1" t="str">
        <f>VLOOKUP(D1286,products!A:D,2,FALSE)</f>
        <v>Electronics</v>
      </c>
      <c r="L1286" s="1" t="str">
        <f t="shared" si="41"/>
        <v>Jan-2025</v>
      </c>
    </row>
    <row r="1287" spans="1:12" x14ac:dyDescent="0.25">
      <c r="A1287" s="3" t="s">
        <v>1534</v>
      </c>
      <c r="B1287" s="6">
        <v>45849</v>
      </c>
      <c r="C1287" s="3" t="s">
        <v>16</v>
      </c>
      <c r="D1287" s="3" t="s">
        <v>49</v>
      </c>
      <c r="E1287" s="3" t="s">
        <v>324</v>
      </c>
      <c r="F1287" s="3">
        <v>1</v>
      </c>
      <c r="G1287" s="3">
        <v>10</v>
      </c>
      <c r="H1287" s="1">
        <f>VLOOKUP(D1287,products!A:D,4,FALSE)</f>
        <v>28000</v>
      </c>
      <c r="I1287" s="1" t="str">
        <f>VLOOKUP(C1287,branches!A:B,2,FALSE)</f>
        <v>Naija Mart Ikeja</v>
      </c>
      <c r="J1287" s="1">
        <f t="shared" si="40"/>
        <v>25200</v>
      </c>
      <c r="K1287" s="1" t="str">
        <f>VLOOKUP(D1287,products!A:D,2,FALSE)</f>
        <v>Home Appliances</v>
      </c>
      <c r="L1287" s="1" t="str">
        <f t="shared" si="41"/>
        <v>Jul-2025</v>
      </c>
    </row>
    <row r="1288" spans="1:12" x14ac:dyDescent="0.25">
      <c r="A1288" s="3" t="s">
        <v>1535</v>
      </c>
      <c r="B1288" s="6">
        <v>45822</v>
      </c>
      <c r="C1288" s="3" t="s">
        <v>16</v>
      </c>
      <c r="D1288" s="3" t="s">
        <v>197</v>
      </c>
      <c r="E1288" s="3" t="s">
        <v>373</v>
      </c>
      <c r="F1288" s="3">
        <v>1</v>
      </c>
      <c r="G1288" s="3">
        <v>0</v>
      </c>
      <c r="H1288" s="1">
        <f>VLOOKUP(D1288,products!A:D,4,FALSE)</f>
        <v>78000</v>
      </c>
      <c r="I1288" s="1" t="str">
        <f>VLOOKUP(C1288,branches!A:B,2,FALSE)</f>
        <v>Naija Mart Ikeja</v>
      </c>
      <c r="J1288" s="1">
        <f t="shared" si="40"/>
        <v>78000</v>
      </c>
      <c r="K1288" s="1" t="str">
        <f>VLOOKUP(D1288,products!A:D,2,FALSE)</f>
        <v>Electronics</v>
      </c>
      <c r="L1288" s="1" t="str">
        <f t="shared" si="41"/>
        <v>Jun-2025</v>
      </c>
    </row>
    <row r="1289" spans="1:12" x14ac:dyDescent="0.25">
      <c r="A1289" s="3" t="s">
        <v>1536</v>
      </c>
      <c r="B1289" s="6">
        <v>45856</v>
      </c>
      <c r="C1289" s="3" t="s">
        <v>16</v>
      </c>
      <c r="D1289" s="3" t="s">
        <v>51</v>
      </c>
      <c r="E1289" s="3" t="s">
        <v>778</v>
      </c>
      <c r="F1289" s="3">
        <v>1</v>
      </c>
      <c r="G1289" s="3">
        <v>0</v>
      </c>
      <c r="H1289" s="1">
        <f>VLOOKUP(D1289,products!A:D,4,FALSE)</f>
        <v>18000</v>
      </c>
      <c r="I1289" s="1" t="str">
        <f>VLOOKUP(C1289,branches!A:B,2,FALSE)</f>
        <v>Naija Mart Ikeja</v>
      </c>
      <c r="J1289" s="1">
        <f t="shared" si="40"/>
        <v>18000</v>
      </c>
      <c r="K1289" s="1" t="str">
        <f>VLOOKUP(D1289,products!A:D,2,FALSE)</f>
        <v>Small Gadgets</v>
      </c>
      <c r="L1289" s="1" t="str">
        <f t="shared" si="41"/>
        <v>Jul-2025</v>
      </c>
    </row>
    <row r="1290" spans="1:12" x14ac:dyDescent="0.25">
      <c r="A1290" s="3" t="s">
        <v>1537</v>
      </c>
      <c r="B1290" s="6">
        <v>45850</v>
      </c>
      <c r="C1290" s="3" t="s">
        <v>12</v>
      </c>
      <c r="D1290" s="3" t="s">
        <v>91</v>
      </c>
      <c r="E1290" s="3" t="s">
        <v>104</v>
      </c>
      <c r="F1290" s="3">
        <v>2</v>
      </c>
      <c r="G1290" s="3">
        <v>5</v>
      </c>
      <c r="H1290" s="1">
        <f>VLOOKUP(D1290,products!A:D,4,FALSE)</f>
        <v>5200</v>
      </c>
      <c r="I1290" s="1" t="str">
        <f>VLOOKUP(C1290,branches!A:B,2,FALSE)</f>
        <v>Naija Mart Wuse</v>
      </c>
      <c r="J1290" s="1">
        <f t="shared" si="40"/>
        <v>9880</v>
      </c>
      <c r="K1290" s="1" t="str">
        <f>VLOOKUP(D1290,products!A:D,2,FALSE)</f>
        <v>Small Gadgets</v>
      </c>
      <c r="L1290" s="1" t="str">
        <f t="shared" si="41"/>
        <v>Jul-2025</v>
      </c>
    </row>
    <row r="1291" spans="1:12" x14ac:dyDescent="0.25">
      <c r="A1291" s="3" t="s">
        <v>1538</v>
      </c>
      <c r="B1291" s="6">
        <v>46010</v>
      </c>
      <c r="C1291" s="3" t="s">
        <v>12</v>
      </c>
      <c r="D1291" s="3" t="s">
        <v>91</v>
      </c>
      <c r="E1291" s="3" t="s">
        <v>764</v>
      </c>
      <c r="F1291" s="3">
        <v>3</v>
      </c>
      <c r="G1291" s="3">
        <v>30</v>
      </c>
      <c r="H1291" s="1">
        <f>VLOOKUP(D1291,products!A:D,4,FALSE)</f>
        <v>5200</v>
      </c>
      <c r="I1291" s="1" t="str">
        <f>VLOOKUP(C1291,branches!A:B,2,FALSE)</f>
        <v>Naija Mart Wuse</v>
      </c>
      <c r="J1291" s="1">
        <f t="shared" si="40"/>
        <v>10920</v>
      </c>
      <c r="K1291" s="1" t="str">
        <f>VLOOKUP(D1291,products!A:D,2,FALSE)</f>
        <v>Small Gadgets</v>
      </c>
      <c r="L1291" s="1" t="str">
        <f t="shared" si="41"/>
        <v>Dec-2025</v>
      </c>
    </row>
    <row r="1292" spans="1:12" x14ac:dyDescent="0.25">
      <c r="A1292" s="3" t="s">
        <v>1539</v>
      </c>
      <c r="B1292" s="6">
        <v>46017</v>
      </c>
      <c r="C1292" s="3" t="s">
        <v>16</v>
      </c>
      <c r="D1292" s="3" t="s">
        <v>23</v>
      </c>
      <c r="E1292" s="3" t="s">
        <v>387</v>
      </c>
      <c r="F1292" s="3">
        <v>1</v>
      </c>
      <c r="G1292" s="3">
        <v>10</v>
      </c>
      <c r="H1292" s="1">
        <f>VLOOKUP(D1292,products!A:D,4,FALSE)</f>
        <v>19500</v>
      </c>
      <c r="I1292" s="1" t="str">
        <f>VLOOKUP(C1292,branches!A:B,2,FALSE)</f>
        <v>Naija Mart Ikeja</v>
      </c>
      <c r="J1292" s="1">
        <f t="shared" si="40"/>
        <v>17550</v>
      </c>
      <c r="K1292" s="1" t="str">
        <f>VLOOKUP(D1292,products!A:D,2,FALSE)</f>
        <v>Home Appliances</v>
      </c>
      <c r="L1292" s="1" t="str">
        <f t="shared" si="41"/>
        <v>Dec-2025</v>
      </c>
    </row>
    <row r="1293" spans="1:12" x14ac:dyDescent="0.25">
      <c r="A1293" s="3" t="s">
        <v>1540</v>
      </c>
      <c r="B1293" s="6">
        <v>45765</v>
      </c>
      <c r="C1293" s="3" t="s">
        <v>8</v>
      </c>
      <c r="D1293" s="3" t="s">
        <v>40</v>
      </c>
      <c r="E1293" s="3" t="s">
        <v>516</v>
      </c>
      <c r="F1293" s="3">
        <v>1</v>
      </c>
      <c r="G1293" s="3">
        <v>0</v>
      </c>
      <c r="H1293" s="1">
        <f>VLOOKUP(D1293,products!A:D,4,FALSE)</f>
        <v>195000</v>
      </c>
      <c r="I1293" s="1" t="str">
        <f>VLOOKUP(C1293,branches!A:B,2,FALSE)</f>
        <v>Naija Mart GRA</v>
      </c>
      <c r="J1293" s="1">
        <f t="shared" si="40"/>
        <v>195000</v>
      </c>
      <c r="K1293" s="1" t="str">
        <f>VLOOKUP(D1293,products!A:D,2,FALSE)</f>
        <v>Generators &amp; Power</v>
      </c>
      <c r="L1293" s="1" t="str">
        <f t="shared" si="41"/>
        <v>Apr-2025</v>
      </c>
    </row>
    <row r="1294" spans="1:12" x14ac:dyDescent="0.25">
      <c r="A1294" s="3" t="s">
        <v>1541</v>
      </c>
      <c r="B1294" s="6">
        <v>46017</v>
      </c>
      <c r="C1294" s="3" t="s">
        <v>16</v>
      </c>
      <c r="D1294" s="3" t="s">
        <v>49</v>
      </c>
      <c r="E1294" s="3" t="s">
        <v>110</v>
      </c>
      <c r="F1294" s="3">
        <v>1</v>
      </c>
      <c r="G1294" s="3">
        <v>0</v>
      </c>
      <c r="H1294" s="1">
        <f>VLOOKUP(D1294,products!A:D,4,FALSE)</f>
        <v>28000</v>
      </c>
      <c r="I1294" s="1" t="str">
        <f>VLOOKUP(C1294,branches!A:B,2,FALSE)</f>
        <v>Naija Mart Ikeja</v>
      </c>
      <c r="J1294" s="1">
        <f t="shared" si="40"/>
        <v>28000</v>
      </c>
      <c r="K1294" s="1" t="str">
        <f>VLOOKUP(D1294,products!A:D,2,FALSE)</f>
        <v>Home Appliances</v>
      </c>
      <c r="L1294" s="1" t="str">
        <f t="shared" si="41"/>
        <v>Dec-2025</v>
      </c>
    </row>
    <row r="1295" spans="1:12" x14ac:dyDescent="0.25">
      <c r="A1295" s="3" t="s">
        <v>1542</v>
      </c>
      <c r="B1295" s="6">
        <v>45719</v>
      </c>
      <c r="C1295" s="3" t="s">
        <v>8</v>
      </c>
      <c r="D1295" s="3" t="s">
        <v>69</v>
      </c>
      <c r="E1295" s="3" t="s">
        <v>367</v>
      </c>
      <c r="F1295" s="3">
        <v>1</v>
      </c>
      <c r="G1295" s="3">
        <v>10</v>
      </c>
      <c r="H1295" s="1">
        <f>VLOOKUP(D1295,products!A:D,4,FALSE)</f>
        <v>45000</v>
      </c>
      <c r="I1295" s="1" t="str">
        <f>VLOOKUP(C1295,branches!A:B,2,FALSE)</f>
        <v>Naija Mart GRA</v>
      </c>
      <c r="J1295" s="1">
        <f t="shared" si="40"/>
        <v>40500</v>
      </c>
      <c r="K1295" s="1" t="str">
        <f>VLOOKUP(D1295,products!A:D,2,FALSE)</f>
        <v>Electronics</v>
      </c>
      <c r="L1295" s="1" t="str">
        <f t="shared" si="41"/>
        <v>Mar-2025</v>
      </c>
    </row>
    <row r="1296" spans="1:12" x14ac:dyDescent="0.25">
      <c r="A1296" s="3" t="s">
        <v>1543</v>
      </c>
      <c r="B1296" s="6">
        <v>45969</v>
      </c>
      <c r="C1296" s="3" t="s">
        <v>16</v>
      </c>
      <c r="D1296" s="3" t="s">
        <v>91</v>
      </c>
      <c r="E1296" s="3" t="s">
        <v>683</v>
      </c>
      <c r="F1296" s="3">
        <v>1</v>
      </c>
      <c r="G1296" s="3">
        <v>10</v>
      </c>
      <c r="H1296" s="1">
        <f>VLOOKUP(D1296,products!A:D,4,FALSE)</f>
        <v>5200</v>
      </c>
      <c r="I1296" s="1" t="str">
        <f>VLOOKUP(C1296,branches!A:B,2,FALSE)</f>
        <v>Naija Mart Ikeja</v>
      </c>
      <c r="J1296" s="1">
        <f t="shared" si="40"/>
        <v>4680</v>
      </c>
      <c r="K1296" s="1" t="str">
        <f>VLOOKUP(D1296,products!A:D,2,FALSE)</f>
        <v>Small Gadgets</v>
      </c>
      <c r="L1296" s="1" t="str">
        <f t="shared" si="41"/>
        <v>Nov-2025</v>
      </c>
    </row>
    <row r="1297" spans="1:12" x14ac:dyDescent="0.25">
      <c r="A1297" s="3" t="s">
        <v>1544</v>
      </c>
      <c r="B1297" s="6">
        <v>45700</v>
      </c>
      <c r="C1297" s="3" t="s">
        <v>16</v>
      </c>
      <c r="D1297" s="3" t="s">
        <v>59</v>
      </c>
      <c r="E1297" s="3" t="s">
        <v>524</v>
      </c>
      <c r="F1297" s="3">
        <v>2</v>
      </c>
      <c r="G1297" s="3">
        <v>0</v>
      </c>
      <c r="H1297" s="1">
        <f>VLOOKUP(D1297,products!A:D,4,FALSE)</f>
        <v>15000</v>
      </c>
      <c r="I1297" s="1" t="str">
        <f>VLOOKUP(C1297,branches!A:B,2,FALSE)</f>
        <v>Naija Mart Ikeja</v>
      </c>
      <c r="J1297" s="1">
        <f t="shared" si="40"/>
        <v>30000</v>
      </c>
      <c r="K1297" s="1" t="str">
        <f>VLOOKUP(D1297,products!A:D,2,FALSE)</f>
        <v>Home Appliances</v>
      </c>
      <c r="L1297" s="1" t="str">
        <f t="shared" si="41"/>
        <v>Feb-2025</v>
      </c>
    </row>
    <row r="1298" spans="1:12" x14ac:dyDescent="0.25">
      <c r="A1298" s="3" t="s">
        <v>1545</v>
      </c>
      <c r="B1298" s="6">
        <v>45755</v>
      </c>
      <c r="C1298" s="3" t="s">
        <v>16</v>
      </c>
      <c r="D1298" s="3" t="s">
        <v>37</v>
      </c>
      <c r="E1298" s="3" t="s">
        <v>21</v>
      </c>
      <c r="F1298" s="3">
        <v>1</v>
      </c>
      <c r="G1298" s="3">
        <v>5</v>
      </c>
      <c r="H1298" s="1">
        <f>VLOOKUP(D1298,products!A:D,4,FALSE)</f>
        <v>8500</v>
      </c>
      <c r="I1298" s="1" t="str">
        <f>VLOOKUP(C1298,branches!A:B,2,FALSE)</f>
        <v>Naija Mart Ikeja</v>
      </c>
      <c r="J1298" s="1">
        <f t="shared" si="40"/>
        <v>8075</v>
      </c>
      <c r="K1298" s="1" t="str">
        <f>VLOOKUP(D1298,products!A:D,2,FALSE)</f>
        <v>Small Gadgets</v>
      </c>
      <c r="L1298" s="1" t="str">
        <f t="shared" si="41"/>
        <v>Apr-2025</v>
      </c>
    </row>
    <row r="1299" spans="1:12" x14ac:dyDescent="0.25">
      <c r="A1299" s="3" t="s">
        <v>1546</v>
      </c>
      <c r="B1299" s="6">
        <v>45941</v>
      </c>
      <c r="C1299" s="3" t="s">
        <v>12</v>
      </c>
      <c r="D1299" s="3" t="s">
        <v>13</v>
      </c>
      <c r="E1299" s="3" t="s">
        <v>87</v>
      </c>
      <c r="F1299" s="3">
        <v>1</v>
      </c>
      <c r="G1299" s="3">
        <v>10</v>
      </c>
      <c r="H1299" s="1">
        <f>VLOOKUP(D1299,products!A:D,4,FALSE)</f>
        <v>24000</v>
      </c>
      <c r="I1299" s="1" t="str">
        <f>VLOOKUP(C1299,branches!A:B,2,FALSE)</f>
        <v>Naija Mart Wuse</v>
      </c>
      <c r="J1299" s="1">
        <f t="shared" si="40"/>
        <v>21600</v>
      </c>
      <c r="K1299" s="1" t="str">
        <f>VLOOKUP(D1299,products!A:D,2,FALSE)</f>
        <v>Home Appliances</v>
      </c>
      <c r="L1299" s="1" t="str">
        <f t="shared" si="41"/>
        <v>Oct-2025</v>
      </c>
    </row>
    <row r="1300" spans="1:12" x14ac:dyDescent="0.25">
      <c r="A1300" s="3" t="s">
        <v>1547</v>
      </c>
      <c r="B1300" s="6">
        <v>45988</v>
      </c>
      <c r="C1300" s="3" t="s">
        <v>16</v>
      </c>
      <c r="D1300" s="3" t="s">
        <v>9</v>
      </c>
      <c r="E1300" s="3" t="s">
        <v>908</v>
      </c>
      <c r="F1300" s="3">
        <v>1</v>
      </c>
      <c r="G1300" s="3">
        <v>15</v>
      </c>
      <c r="H1300" s="1">
        <f>VLOOKUP(D1300,products!A:D,4,FALSE)</f>
        <v>410000</v>
      </c>
      <c r="I1300" s="1" t="str">
        <f>VLOOKUP(C1300,branches!A:B,2,FALSE)</f>
        <v>Naija Mart Ikeja</v>
      </c>
      <c r="J1300" s="1">
        <f t="shared" si="40"/>
        <v>348500</v>
      </c>
      <c r="K1300" s="1" t="str">
        <f>VLOOKUP(D1300,products!A:D,2,FALSE)</f>
        <v>Home Appliances</v>
      </c>
      <c r="L1300" s="1" t="str">
        <f t="shared" si="41"/>
        <v>Nov-2025</v>
      </c>
    </row>
    <row r="1301" spans="1:12" x14ac:dyDescent="0.25">
      <c r="A1301" s="3" t="s">
        <v>1548</v>
      </c>
      <c r="B1301" s="6">
        <v>45974</v>
      </c>
      <c r="C1301" s="3" t="s">
        <v>8</v>
      </c>
      <c r="D1301" s="3" t="s">
        <v>149</v>
      </c>
      <c r="E1301" s="3" t="s">
        <v>618</v>
      </c>
      <c r="F1301" s="3">
        <v>1</v>
      </c>
      <c r="G1301" s="3">
        <v>0</v>
      </c>
      <c r="H1301" s="1">
        <f>VLOOKUP(D1301,products!A:D,4,FALSE)</f>
        <v>6500</v>
      </c>
      <c r="I1301" s="1" t="str">
        <f>VLOOKUP(C1301,branches!A:B,2,FALSE)</f>
        <v>Naija Mart GRA</v>
      </c>
      <c r="J1301" s="1">
        <f t="shared" si="40"/>
        <v>6500</v>
      </c>
      <c r="K1301" s="1" t="str">
        <f>VLOOKUP(D1301,products!A:D,2,FALSE)</f>
        <v>Small Gadgets</v>
      </c>
      <c r="L1301" s="1" t="str">
        <f t="shared" si="41"/>
        <v>Nov-2025</v>
      </c>
    </row>
    <row r="1302" spans="1:12" x14ac:dyDescent="0.25">
      <c r="A1302" s="3" t="s">
        <v>1549</v>
      </c>
      <c r="B1302" s="6">
        <v>45941</v>
      </c>
      <c r="C1302" s="3" t="s">
        <v>12</v>
      </c>
      <c r="D1302" s="3" t="s">
        <v>64</v>
      </c>
      <c r="E1302" s="3" t="s">
        <v>343</v>
      </c>
      <c r="F1302" s="3">
        <v>3</v>
      </c>
      <c r="G1302" s="3">
        <v>10</v>
      </c>
      <c r="H1302" s="1">
        <f>VLOOKUP(D1302,products!A:D,4,FALSE)</f>
        <v>175000</v>
      </c>
      <c r="I1302" s="1" t="str">
        <f>VLOOKUP(C1302,branches!A:B,2,FALSE)</f>
        <v>Naija Mart Wuse</v>
      </c>
      <c r="J1302" s="1">
        <f t="shared" si="40"/>
        <v>472500</v>
      </c>
      <c r="K1302" s="1" t="str">
        <f>VLOOKUP(D1302,products!A:D,2,FALSE)</f>
        <v>Generators &amp; Power</v>
      </c>
      <c r="L1302" s="1" t="str">
        <f t="shared" si="41"/>
        <v>Oct-2025</v>
      </c>
    </row>
    <row r="1303" spans="1:12" x14ac:dyDescent="0.25">
      <c r="A1303" s="3" t="s">
        <v>1550</v>
      </c>
      <c r="B1303" s="6">
        <v>45911</v>
      </c>
      <c r="C1303" s="3" t="s">
        <v>16</v>
      </c>
      <c r="D1303" s="3" t="s">
        <v>37</v>
      </c>
      <c r="E1303" s="3" t="s">
        <v>547</v>
      </c>
      <c r="F1303" s="3">
        <v>1</v>
      </c>
      <c r="G1303" s="3">
        <v>20</v>
      </c>
      <c r="H1303" s="1">
        <f>VLOOKUP(D1303,products!A:D,4,FALSE)</f>
        <v>8500</v>
      </c>
      <c r="I1303" s="1" t="str">
        <f>VLOOKUP(C1303,branches!A:B,2,FALSE)</f>
        <v>Naija Mart Ikeja</v>
      </c>
      <c r="J1303" s="1">
        <f t="shared" si="40"/>
        <v>6800</v>
      </c>
      <c r="K1303" s="1" t="str">
        <f>VLOOKUP(D1303,products!A:D,2,FALSE)</f>
        <v>Small Gadgets</v>
      </c>
      <c r="L1303" s="1" t="str">
        <f t="shared" si="41"/>
        <v>Sep-2025</v>
      </c>
    </row>
    <row r="1304" spans="1:12" x14ac:dyDescent="0.25">
      <c r="A1304" s="3" t="s">
        <v>1551</v>
      </c>
      <c r="B1304" s="6">
        <v>45829</v>
      </c>
      <c r="C1304" s="3" t="s">
        <v>12</v>
      </c>
      <c r="D1304" s="3" t="s">
        <v>40</v>
      </c>
      <c r="E1304" s="3" t="s">
        <v>234</v>
      </c>
      <c r="F1304" s="3">
        <v>2</v>
      </c>
      <c r="G1304" s="3">
        <v>0</v>
      </c>
      <c r="H1304" s="1">
        <f>VLOOKUP(D1304,products!A:D,4,FALSE)</f>
        <v>195000</v>
      </c>
      <c r="I1304" s="1" t="str">
        <f>VLOOKUP(C1304,branches!A:B,2,FALSE)</f>
        <v>Naija Mart Wuse</v>
      </c>
      <c r="J1304" s="1">
        <f t="shared" si="40"/>
        <v>390000</v>
      </c>
      <c r="K1304" s="1" t="str">
        <f>VLOOKUP(D1304,products!A:D,2,FALSE)</f>
        <v>Generators &amp; Power</v>
      </c>
      <c r="L1304" s="1" t="str">
        <f t="shared" si="41"/>
        <v>Jun-2025</v>
      </c>
    </row>
    <row r="1305" spans="1:12" x14ac:dyDescent="0.25">
      <c r="A1305" s="3" t="s">
        <v>1552</v>
      </c>
      <c r="B1305" s="6">
        <v>45788</v>
      </c>
      <c r="C1305" s="3" t="s">
        <v>12</v>
      </c>
      <c r="D1305" s="3" t="s">
        <v>94</v>
      </c>
      <c r="E1305" s="3" t="s">
        <v>376</v>
      </c>
      <c r="F1305" s="3">
        <v>1</v>
      </c>
      <c r="G1305" s="3">
        <v>15</v>
      </c>
      <c r="H1305" s="1">
        <f>VLOOKUP(D1305,products!A:D,4,FALSE)</f>
        <v>320000</v>
      </c>
      <c r="I1305" s="1" t="str">
        <f>VLOOKUP(C1305,branches!A:B,2,FALSE)</f>
        <v>Naija Mart Wuse</v>
      </c>
      <c r="J1305" s="1">
        <f t="shared" si="40"/>
        <v>272000</v>
      </c>
      <c r="K1305" s="1" t="str">
        <f>VLOOKUP(D1305,products!A:D,2,FALSE)</f>
        <v>Electronics</v>
      </c>
      <c r="L1305" s="1" t="str">
        <f t="shared" si="41"/>
        <v>May-2025</v>
      </c>
    </row>
    <row r="1306" spans="1:12" x14ac:dyDescent="0.25">
      <c r="A1306" s="3" t="s">
        <v>1553</v>
      </c>
      <c r="B1306" s="6">
        <v>45981</v>
      </c>
      <c r="C1306" s="3" t="s">
        <v>12</v>
      </c>
      <c r="D1306" s="3" t="s">
        <v>149</v>
      </c>
      <c r="E1306" s="3" t="s">
        <v>24</v>
      </c>
      <c r="F1306" s="3">
        <v>2</v>
      </c>
      <c r="G1306" s="3">
        <v>5</v>
      </c>
      <c r="H1306" s="1">
        <f>VLOOKUP(D1306,products!A:D,4,FALSE)</f>
        <v>6500</v>
      </c>
      <c r="I1306" s="1" t="str">
        <f>VLOOKUP(C1306,branches!A:B,2,FALSE)</f>
        <v>Naija Mart Wuse</v>
      </c>
      <c r="J1306" s="1">
        <f t="shared" si="40"/>
        <v>12350</v>
      </c>
      <c r="K1306" s="1" t="str">
        <f>VLOOKUP(D1306,products!A:D,2,FALSE)</f>
        <v>Small Gadgets</v>
      </c>
      <c r="L1306" s="1" t="str">
        <f t="shared" si="41"/>
        <v>Nov-2025</v>
      </c>
    </row>
    <row r="1307" spans="1:12" x14ac:dyDescent="0.25">
      <c r="A1307" s="3" t="s">
        <v>1554</v>
      </c>
      <c r="B1307" s="6">
        <v>45866</v>
      </c>
      <c r="C1307" s="3" t="s">
        <v>12</v>
      </c>
      <c r="D1307" s="3" t="s">
        <v>23</v>
      </c>
      <c r="E1307" s="3" t="s">
        <v>528</v>
      </c>
      <c r="F1307" s="3">
        <v>1</v>
      </c>
      <c r="G1307" s="3">
        <v>0</v>
      </c>
      <c r="H1307" s="1">
        <f>VLOOKUP(D1307,products!A:D,4,FALSE)</f>
        <v>19500</v>
      </c>
      <c r="I1307" s="1" t="str">
        <f>VLOOKUP(C1307,branches!A:B,2,FALSE)</f>
        <v>Naija Mart Wuse</v>
      </c>
      <c r="J1307" s="1">
        <f t="shared" si="40"/>
        <v>19500</v>
      </c>
      <c r="K1307" s="1" t="str">
        <f>VLOOKUP(D1307,products!A:D,2,FALSE)</f>
        <v>Home Appliances</v>
      </c>
      <c r="L1307" s="1" t="str">
        <f t="shared" si="41"/>
        <v>Jul-2025</v>
      </c>
    </row>
    <row r="1308" spans="1:12" x14ac:dyDescent="0.25">
      <c r="A1308" s="3" t="s">
        <v>1555</v>
      </c>
      <c r="B1308" s="6">
        <v>45820</v>
      </c>
      <c r="C1308" s="3" t="s">
        <v>16</v>
      </c>
      <c r="D1308" s="3" t="s">
        <v>126</v>
      </c>
      <c r="E1308" s="3" t="s">
        <v>253</v>
      </c>
      <c r="F1308" s="3">
        <v>1</v>
      </c>
      <c r="G1308" s="3">
        <v>10</v>
      </c>
      <c r="H1308" s="1">
        <f>VLOOKUP(D1308,products!A:D,4,FALSE)</f>
        <v>185000</v>
      </c>
      <c r="I1308" s="1" t="str">
        <f>VLOOKUP(C1308,branches!A:B,2,FALSE)</f>
        <v>Naija Mart Ikeja</v>
      </c>
      <c r="J1308" s="1">
        <f t="shared" si="40"/>
        <v>166500</v>
      </c>
      <c r="K1308" s="1" t="str">
        <f>VLOOKUP(D1308,products!A:D,2,FALSE)</f>
        <v>Electronics</v>
      </c>
      <c r="L1308" s="1" t="str">
        <f t="shared" si="41"/>
        <v>Jun-2025</v>
      </c>
    </row>
    <row r="1309" spans="1:12" x14ac:dyDescent="0.25">
      <c r="A1309" s="3" t="s">
        <v>1556</v>
      </c>
      <c r="B1309" s="6">
        <v>45691</v>
      </c>
      <c r="C1309" s="3" t="s">
        <v>8</v>
      </c>
      <c r="D1309" s="3" t="s">
        <v>40</v>
      </c>
      <c r="E1309" s="3" t="s">
        <v>977</v>
      </c>
      <c r="F1309" s="3">
        <v>3</v>
      </c>
      <c r="G1309" s="3">
        <v>0</v>
      </c>
      <c r="H1309" s="1">
        <f>VLOOKUP(D1309,products!A:D,4,FALSE)</f>
        <v>195000</v>
      </c>
      <c r="I1309" s="1" t="str">
        <f>VLOOKUP(C1309,branches!A:B,2,FALSE)</f>
        <v>Naija Mart GRA</v>
      </c>
      <c r="J1309" s="1">
        <f t="shared" si="40"/>
        <v>585000</v>
      </c>
      <c r="K1309" s="1" t="str">
        <f>VLOOKUP(D1309,products!A:D,2,FALSE)</f>
        <v>Generators &amp; Power</v>
      </c>
      <c r="L1309" s="1" t="str">
        <f t="shared" si="41"/>
        <v>Feb-2025</v>
      </c>
    </row>
    <row r="1310" spans="1:12" x14ac:dyDescent="0.25">
      <c r="A1310" s="3" t="s">
        <v>1557</v>
      </c>
      <c r="B1310" s="6">
        <v>45968</v>
      </c>
      <c r="C1310" s="3" t="s">
        <v>8</v>
      </c>
      <c r="D1310" s="3" t="s">
        <v>64</v>
      </c>
      <c r="E1310" s="3" t="s">
        <v>472</v>
      </c>
      <c r="F1310" s="3">
        <v>1</v>
      </c>
      <c r="G1310" s="3">
        <v>25</v>
      </c>
      <c r="H1310" s="1">
        <f>VLOOKUP(D1310,products!A:D,4,FALSE)</f>
        <v>175000</v>
      </c>
      <c r="I1310" s="1" t="str">
        <f>VLOOKUP(C1310,branches!A:B,2,FALSE)</f>
        <v>Naija Mart GRA</v>
      </c>
      <c r="J1310" s="1">
        <f t="shared" si="40"/>
        <v>131250</v>
      </c>
      <c r="K1310" s="1" t="str">
        <f>VLOOKUP(D1310,products!A:D,2,FALSE)</f>
        <v>Generators &amp; Power</v>
      </c>
      <c r="L1310" s="1" t="str">
        <f t="shared" si="41"/>
        <v>Nov-2025</v>
      </c>
    </row>
    <row r="1311" spans="1:12" x14ac:dyDescent="0.25">
      <c r="A1311" s="3" t="s">
        <v>1558</v>
      </c>
      <c r="B1311" s="6">
        <v>45936</v>
      </c>
      <c r="C1311" s="3" t="s">
        <v>12</v>
      </c>
      <c r="D1311" s="3" t="s">
        <v>37</v>
      </c>
      <c r="E1311" s="3" t="s">
        <v>663</v>
      </c>
      <c r="F1311" s="3">
        <v>1</v>
      </c>
      <c r="G1311" s="3">
        <v>10</v>
      </c>
      <c r="H1311" s="1">
        <f>VLOOKUP(D1311,products!A:D,4,FALSE)</f>
        <v>8500</v>
      </c>
      <c r="I1311" s="1" t="str">
        <f>VLOOKUP(C1311,branches!A:B,2,FALSE)</f>
        <v>Naija Mart Wuse</v>
      </c>
      <c r="J1311" s="1">
        <f t="shared" si="40"/>
        <v>7650</v>
      </c>
      <c r="K1311" s="1" t="str">
        <f>VLOOKUP(D1311,products!A:D,2,FALSE)</f>
        <v>Small Gadgets</v>
      </c>
      <c r="L1311" s="1" t="str">
        <f t="shared" si="41"/>
        <v>Oct-2025</v>
      </c>
    </row>
    <row r="1312" spans="1:12" x14ac:dyDescent="0.25">
      <c r="A1312" s="3" t="s">
        <v>1559</v>
      </c>
      <c r="B1312" s="6">
        <v>46008</v>
      </c>
      <c r="C1312" s="3" t="s">
        <v>8</v>
      </c>
      <c r="D1312" s="3" t="s">
        <v>13</v>
      </c>
      <c r="E1312" s="3" t="s">
        <v>279</v>
      </c>
      <c r="F1312" s="3">
        <v>1</v>
      </c>
      <c r="G1312" s="3">
        <v>20</v>
      </c>
      <c r="H1312" s="1">
        <f>VLOOKUP(D1312,products!A:D,4,FALSE)</f>
        <v>24000</v>
      </c>
      <c r="I1312" s="1" t="str">
        <f>VLOOKUP(C1312,branches!A:B,2,FALSE)</f>
        <v>Naija Mart GRA</v>
      </c>
      <c r="J1312" s="1">
        <f t="shared" si="40"/>
        <v>19200</v>
      </c>
      <c r="K1312" s="1" t="str">
        <f>VLOOKUP(D1312,products!A:D,2,FALSE)</f>
        <v>Home Appliances</v>
      </c>
      <c r="L1312" s="1" t="str">
        <f t="shared" si="41"/>
        <v>Dec-2025</v>
      </c>
    </row>
    <row r="1313" spans="1:12" x14ac:dyDescent="0.25">
      <c r="A1313" s="3" t="s">
        <v>1560</v>
      </c>
      <c r="B1313" s="6">
        <v>46018</v>
      </c>
      <c r="C1313" s="3" t="s">
        <v>16</v>
      </c>
      <c r="D1313" s="3" t="s">
        <v>13</v>
      </c>
      <c r="E1313" s="3" t="s">
        <v>67</v>
      </c>
      <c r="F1313" s="3">
        <v>5</v>
      </c>
      <c r="G1313" s="3">
        <v>25</v>
      </c>
      <c r="H1313" s="1">
        <f>VLOOKUP(D1313,products!A:D,4,FALSE)</f>
        <v>24000</v>
      </c>
      <c r="I1313" s="1" t="str">
        <f>VLOOKUP(C1313,branches!A:B,2,FALSE)</f>
        <v>Naija Mart Ikeja</v>
      </c>
      <c r="J1313" s="1">
        <f t="shared" si="40"/>
        <v>90000</v>
      </c>
      <c r="K1313" s="1" t="str">
        <f>VLOOKUP(D1313,products!A:D,2,FALSE)</f>
        <v>Home Appliances</v>
      </c>
      <c r="L1313" s="1" t="str">
        <f t="shared" si="41"/>
        <v>Dec-2025</v>
      </c>
    </row>
    <row r="1314" spans="1:12" x14ac:dyDescent="0.25">
      <c r="A1314" s="3" t="s">
        <v>1561</v>
      </c>
      <c r="B1314" s="6">
        <v>45681</v>
      </c>
      <c r="C1314" s="3" t="s">
        <v>8</v>
      </c>
      <c r="D1314" s="3" t="s">
        <v>49</v>
      </c>
      <c r="E1314" s="3" t="s">
        <v>519</v>
      </c>
      <c r="F1314" s="3">
        <v>1</v>
      </c>
      <c r="G1314" s="3">
        <v>5</v>
      </c>
      <c r="H1314" s="1">
        <f>VLOOKUP(D1314,products!A:D,4,FALSE)</f>
        <v>28000</v>
      </c>
      <c r="I1314" s="1" t="str">
        <f>VLOOKUP(C1314,branches!A:B,2,FALSE)</f>
        <v>Naija Mart GRA</v>
      </c>
      <c r="J1314" s="1">
        <f t="shared" si="40"/>
        <v>26600</v>
      </c>
      <c r="K1314" s="1" t="str">
        <f>VLOOKUP(D1314,products!A:D,2,FALSE)</f>
        <v>Home Appliances</v>
      </c>
      <c r="L1314" s="1" t="str">
        <f t="shared" si="41"/>
        <v>Jan-2025</v>
      </c>
    </row>
    <row r="1315" spans="1:12" x14ac:dyDescent="0.25">
      <c r="A1315" s="3" t="s">
        <v>1562</v>
      </c>
      <c r="B1315" s="6">
        <v>45733</v>
      </c>
      <c r="C1315" s="3" t="s">
        <v>36</v>
      </c>
      <c r="D1315" s="3" t="s">
        <v>91</v>
      </c>
      <c r="E1315" s="3" t="s">
        <v>163</v>
      </c>
      <c r="F1315" s="3">
        <v>2</v>
      </c>
      <c r="G1315" s="3">
        <v>0</v>
      </c>
      <c r="H1315" s="1">
        <f>VLOOKUP(D1315,products!A:D,4,FALSE)</f>
        <v>5200</v>
      </c>
      <c r="I1315" s="1" t="str">
        <f>VLOOKUP(C1315,branches!A:B,2,FALSE)</f>
        <v>Naija Mart Sabon Gari</v>
      </c>
      <c r="J1315" s="1">
        <f t="shared" si="40"/>
        <v>10400</v>
      </c>
      <c r="K1315" s="1" t="str">
        <f>VLOOKUP(D1315,products!A:D,2,FALSE)</f>
        <v>Small Gadgets</v>
      </c>
      <c r="L1315" s="1" t="str">
        <f t="shared" si="41"/>
        <v>Mar-2025</v>
      </c>
    </row>
    <row r="1316" spans="1:12" x14ac:dyDescent="0.25">
      <c r="A1316" s="3" t="s">
        <v>1563</v>
      </c>
      <c r="B1316" s="6">
        <v>45705</v>
      </c>
      <c r="C1316" s="3" t="s">
        <v>8</v>
      </c>
      <c r="D1316" s="3" t="s">
        <v>94</v>
      </c>
      <c r="E1316" s="3" t="s">
        <v>861</v>
      </c>
      <c r="F1316" s="3">
        <v>2</v>
      </c>
      <c r="G1316" s="3">
        <v>0</v>
      </c>
      <c r="H1316" s="1">
        <f>VLOOKUP(D1316,products!A:D,4,FALSE)</f>
        <v>320000</v>
      </c>
      <c r="I1316" s="1" t="str">
        <f>VLOOKUP(C1316,branches!A:B,2,FALSE)</f>
        <v>Naija Mart GRA</v>
      </c>
      <c r="J1316" s="1">
        <f t="shared" si="40"/>
        <v>640000</v>
      </c>
      <c r="K1316" s="1" t="str">
        <f>VLOOKUP(D1316,products!A:D,2,FALSE)</f>
        <v>Electronics</v>
      </c>
      <c r="L1316" s="1" t="str">
        <f t="shared" si="41"/>
        <v>Feb-2025</v>
      </c>
    </row>
    <row r="1317" spans="1:12" x14ac:dyDescent="0.25">
      <c r="A1317" s="3" t="s">
        <v>1564</v>
      </c>
      <c r="B1317" s="6">
        <v>45765</v>
      </c>
      <c r="C1317" s="3" t="s">
        <v>16</v>
      </c>
      <c r="D1317" s="3" t="s">
        <v>59</v>
      </c>
      <c r="E1317" s="3" t="s">
        <v>1206</v>
      </c>
      <c r="F1317" s="3">
        <v>2</v>
      </c>
      <c r="G1317" s="3">
        <v>0</v>
      </c>
      <c r="H1317" s="1">
        <f>VLOOKUP(D1317,products!A:D,4,FALSE)</f>
        <v>15000</v>
      </c>
      <c r="I1317" s="1" t="str">
        <f>VLOOKUP(C1317,branches!A:B,2,FALSE)</f>
        <v>Naija Mart Ikeja</v>
      </c>
      <c r="J1317" s="1">
        <f t="shared" si="40"/>
        <v>30000</v>
      </c>
      <c r="K1317" s="1" t="str">
        <f>VLOOKUP(D1317,products!A:D,2,FALSE)</f>
        <v>Home Appliances</v>
      </c>
      <c r="L1317" s="1" t="str">
        <f t="shared" si="41"/>
        <v>Apr-2025</v>
      </c>
    </row>
    <row r="1318" spans="1:12" x14ac:dyDescent="0.25">
      <c r="A1318" s="3" t="s">
        <v>1565</v>
      </c>
      <c r="B1318" s="6">
        <v>45683</v>
      </c>
      <c r="C1318" s="3" t="s">
        <v>12</v>
      </c>
      <c r="D1318" s="3" t="s">
        <v>51</v>
      </c>
      <c r="E1318" s="3" t="s">
        <v>324</v>
      </c>
      <c r="F1318" s="3">
        <v>1</v>
      </c>
      <c r="G1318" s="3">
        <v>5</v>
      </c>
      <c r="H1318" s="1">
        <f>VLOOKUP(D1318,products!A:D,4,FALSE)</f>
        <v>18000</v>
      </c>
      <c r="I1318" s="1" t="str">
        <f>VLOOKUP(C1318,branches!A:B,2,FALSE)</f>
        <v>Naija Mart Wuse</v>
      </c>
      <c r="J1318" s="1">
        <f t="shared" si="40"/>
        <v>17100</v>
      </c>
      <c r="K1318" s="1" t="str">
        <f>VLOOKUP(D1318,products!A:D,2,FALSE)</f>
        <v>Small Gadgets</v>
      </c>
      <c r="L1318" s="1" t="str">
        <f t="shared" si="41"/>
        <v>Jan-2025</v>
      </c>
    </row>
    <row r="1319" spans="1:12" x14ac:dyDescent="0.25">
      <c r="A1319" s="3" t="s">
        <v>1566</v>
      </c>
      <c r="B1319" s="6">
        <v>45721</v>
      </c>
      <c r="C1319" s="3" t="s">
        <v>16</v>
      </c>
      <c r="D1319" s="3" t="s">
        <v>40</v>
      </c>
      <c r="E1319" s="3" t="s">
        <v>519</v>
      </c>
      <c r="F1319" s="3">
        <v>2</v>
      </c>
      <c r="G1319" s="3">
        <v>10</v>
      </c>
      <c r="H1319" s="1">
        <f>VLOOKUP(D1319,products!A:D,4,FALSE)</f>
        <v>195000</v>
      </c>
      <c r="I1319" s="1" t="str">
        <f>VLOOKUP(C1319,branches!A:B,2,FALSE)</f>
        <v>Naija Mart Ikeja</v>
      </c>
      <c r="J1319" s="1">
        <f t="shared" si="40"/>
        <v>351000</v>
      </c>
      <c r="K1319" s="1" t="str">
        <f>VLOOKUP(D1319,products!A:D,2,FALSE)</f>
        <v>Generators &amp; Power</v>
      </c>
      <c r="L1319" s="1" t="str">
        <f t="shared" si="41"/>
        <v>Mar-2025</v>
      </c>
    </row>
    <row r="1320" spans="1:12" x14ac:dyDescent="0.25">
      <c r="A1320" s="3" t="s">
        <v>1567</v>
      </c>
      <c r="B1320" s="6">
        <v>45765</v>
      </c>
      <c r="C1320" s="3" t="s">
        <v>36</v>
      </c>
      <c r="D1320" s="3" t="s">
        <v>126</v>
      </c>
      <c r="E1320" s="3" t="s">
        <v>774</v>
      </c>
      <c r="F1320" s="3">
        <v>1</v>
      </c>
      <c r="G1320" s="3">
        <v>5</v>
      </c>
      <c r="H1320" s="1">
        <f>VLOOKUP(D1320,products!A:D,4,FALSE)</f>
        <v>185000</v>
      </c>
      <c r="I1320" s="1" t="str">
        <f>VLOOKUP(C1320,branches!A:B,2,FALSE)</f>
        <v>Naija Mart Sabon Gari</v>
      </c>
      <c r="J1320" s="1">
        <f t="shared" si="40"/>
        <v>175750</v>
      </c>
      <c r="K1320" s="1" t="str">
        <f>VLOOKUP(D1320,products!A:D,2,FALSE)</f>
        <v>Electronics</v>
      </c>
      <c r="L1320" s="1" t="str">
        <f t="shared" si="41"/>
        <v>Apr-2025</v>
      </c>
    </row>
    <row r="1321" spans="1:12" x14ac:dyDescent="0.25">
      <c r="A1321" s="3" t="s">
        <v>633</v>
      </c>
      <c r="B1321" s="6">
        <v>45848</v>
      </c>
      <c r="C1321" s="3" t="s">
        <v>16</v>
      </c>
      <c r="D1321" s="3" t="s">
        <v>94</v>
      </c>
      <c r="E1321" s="3" t="s">
        <v>269</v>
      </c>
      <c r="F1321" s="3">
        <v>5</v>
      </c>
      <c r="G1321" s="3">
        <v>0</v>
      </c>
      <c r="H1321" s="1">
        <f>VLOOKUP(D1321,products!A:D,4,FALSE)</f>
        <v>320000</v>
      </c>
      <c r="I1321" s="1" t="str">
        <f>VLOOKUP(C1321,branches!A:B,2,FALSE)</f>
        <v>Naija Mart Ikeja</v>
      </c>
      <c r="J1321" s="1">
        <f t="shared" si="40"/>
        <v>1600000</v>
      </c>
      <c r="K1321" s="1" t="str">
        <f>VLOOKUP(D1321,products!A:D,2,FALSE)</f>
        <v>Electronics</v>
      </c>
      <c r="L1321" s="1" t="str">
        <f t="shared" si="41"/>
        <v>Jul-2025</v>
      </c>
    </row>
    <row r="1322" spans="1:12" x14ac:dyDescent="0.25">
      <c r="A1322" s="3" t="s">
        <v>1568</v>
      </c>
      <c r="B1322" s="6">
        <v>45855</v>
      </c>
      <c r="C1322" s="3" t="s">
        <v>16</v>
      </c>
      <c r="D1322" s="3" t="s">
        <v>9</v>
      </c>
      <c r="E1322" s="3" t="s">
        <v>21</v>
      </c>
      <c r="F1322" s="3">
        <v>1</v>
      </c>
      <c r="G1322" s="3">
        <v>5</v>
      </c>
      <c r="H1322" s="1">
        <f>VLOOKUP(D1322,products!A:D,4,FALSE)</f>
        <v>410000</v>
      </c>
      <c r="I1322" s="1" t="str">
        <f>VLOOKUP(C1322,branches!A:B,2,FALSE)</f>
        <v>Naija Mart Ikeja</v>
      </c>
      <c r="J1322" s="1">
        <f t="shared" si="40"/>
        <v>389500</v>
      </c>
      <c r="K1322" s="1" t="str">
        <f>VLOOKUP(D1322,products!A:D,2,FALSE)</f>
        <v>Home Appliances</v>
      </c>
      <c r="L1322" s="1" t="str">
        <f t="shared" si="41"/>
        <v>Jul-2025</v>
      </c>
    </row>
    <row r="1323" spans="1:12" x14ac:dyDescent="0.25">
      <c r="A1323" s="3" t="s">
        <v>1569</v>
      </c>
      <c r="B1323" s="6">
        <v>45703</v>
      </c>
      <c r="C1323" s="3" t="s">
        <v>12</v>
      </c>
      <c r="D1323" s="3" t="s">
        <v>126</v>
      </c>
      <c r="E1323" s="3" t="s">
        <v>87</v>
      </c>
      <c r="F1323" s="3">
        <v>1</v>
      </c>
      <c r="G1323" s="3">
        <v>0</v>
      </c>
      <c r="H1323" s="1">
        <f>VLOOKUP(D1323,products!A:D,4,FALSE)</f>
        <v>185000</v>
      </c>
      <c r="I1323" s="1" t="str">
        <f>VLOOKUP(C1323,branches!A:B,2,FALSE)</f>
        <v>Naija Mart Wuse</v>
      </c>
      <c r="J1323" s="1">
        <f t="shared" si="40"/>
        <v>185000</v>
      </c>
      <c r="K1323" s="1" t="str">
        <f>VLOOKUP(D1323,products!A:D,2,FALSE)</f>
        <v>Electronics</v>
      </c>
      <c r="L1323" s="1" t="str">
        <f t="shared" si="41"/>
        <v>Feb-2025</v>
      </c>
    </row>
    <row r="1324" spans="1:12" x14ac:dyDescent="0.25">
      <c r="A1324" s="3" t="s">
        <v>1570</v>
      </c>
      <c r="B1324" s="6">
        <v>45739</v>
      </c>
      <c r="C1324" s="3" t="s">
        <v>16</v>
      </c>
      <c r="D1324" s="3" t="s">
        <v>17</v>
      </c>
      <c r="E1324" s="3" t="s">
        <v>400</v>
      </c>
      <c r="F1324" s="3">
        <v>1</v>
      </c>
      <c r="G1324" s="3">
        <v>20</v>
      </c>
      <c r="H1324" s="1">
        <f>VLOOKUP(D1324,products!A:D,4,FALSE)</f>
        <v>22000</v>
      </c>
      <c r="I1324" s="1" t="str">
        <f>VLOOKUP(C1324,branches!A:B,2,FALSE)</f>
        <v>Naija Mart Ikeja</v>
      </c>
      <c r="J1324" s="1">
        <f t="shared" si="40"/>
        <v>17600</v>
      </c>
      <c r="K1324" s="1" t="str">
        <f>VLOOKUP(D1324,products!A:D,2,FALSE)</f>
        <v>Home Appliances</v>
      </c>
      <c r="L1324" s="1" t="str">
        <f t="shared" si="41"/>
        <v>Mar-2025</v>
      </c>
    </row>
    <row r="1325" spans="1:12" x14ac:dyDescent="0.25">
      <c r="A1325" s="3" t="s">
        <v>1571</v>
      </c>
      <c r="B1325" s="6">
        <v>46016</v>
      </c>
      <c r="C1325" s="3" t="s">
        <v>16</v>
      </c>
      <c r="D1325" s="3" t="s">
        <v>43</v>
      </c>
      <c r="E1325" s="3" t="s">
        <v>295</v>
      </c>
      <c r="F1325" s="3">
        <v>2</v>
      </c>
      <c r="G1325" s="3">
        <v>20</v>
      </c>
      <c r="H1325" s="1">
        <f>VLOOKUP(D1325,products!A:D,4,FALSE)</f>
        <v>74000</v>
      </c>
      <c r="I1325" s="1" t="str">
        <f>VLOOKUP(C1325,branches!A:B,2,FALSE)</f>
        <v>Naija Mart Ikeja</v>
      </c>
      <c r="J1325" s="1">
        <f t="shared" si="40"/>
        <v>118400</v>
      </c>
      <c r="K1325" s="1" t="str">
        <f>VLOOKUP(D1325,products!A:D,2,FALSE)</f>
        <v>Home Appliances</v>
      </c>
      <c r="L1325" s="1" t="str">
        <f t="shared" si="41"/>
        <v>Dec-2025</v>
      </c>
    </row>
    <row r="1326" spans="1:12" x14ac:dyDescent="0.25">
      <c r="A1326" s="3" t="s">
        <v>1572</v>
      </c>
      <c r="B1326" s="6">
        <v>45758</v>
      </c>
      <c r="C1326" s="3" t="s">
        <v>8</v>
      </c>
      <c r="D1326" s="3" t="s">
        <v>97</v>
      </c>
      <c r="E1326" s="3" t="s">
        <v>313</v>
      </c>
      <c r="F1326" s="3">
        <v>1</v>
      </c>
      <c r="G1326" s="3">
        <v>10</v>
      </c>
      <c r="H1326" s="1">
        <f>VLOOKUP(D1326,products!A:D,4,FALSE)</f>
        <v>21000</v>
      </c>
      <c r="I1326" s="1" t="str">
        <f>VLOOKUP(C1326,branches!A:B,2,FALSE)</f>
        <v>Naija Mart GRA</v>
      </c>
      <c r="J1326" s="1">
        <f t="shared" si="40"/>
        <v>18900</v>
      </c>
      <c r="K1326" s="1" t="str">
        <f>VLOOKUP(D1326,products!A:D,2,FALSE)</f>
        <v>Small Gadgets</v>
      </c>
      <c r="L1326" s="1" t="str">
        <f t="shared" si="41"/>
        <v>Apr-2025</v>
      </c>
    </row>
    <row r="1327" spans="1:12" x14ac:dyDescent="0.25">
      <c r="A1327" s="3" t="s">
        <v>1573</v>
      </c>
      <c r="B1327" s="6">
        <v>45744</v>
      </c>
      <c r="C1327" s="3" t="s">
        <v>16</v>
      </c>
      <c r="D1327" s="3" t="s">
        <v>126</v>
      </c>
      <c r="E1327" s="3" t="s">
        <v>83</v>
      </c>
      <c r="F1327" s="3">
        <v>1</v>
      </c>
      <c r="G1327" s="3">
        <v>0</v>
      </c>
      <c r="H1327" s="1">
        <f>VLOOKUP(D1327,products!A:D,4,FALSE)</f>
        <v>185000</v>
      </c>
      <c r="I1327" s="1" t="str">
        <f>VLOOKUP(C1327,branches!A:B,2,FALSE)</f>
        <v>Naija Mart Ikeja</v>
      </c>
      <c r="J1327" s="1">
        <f t="shared" si="40"/>
        <v>185000</v>
      </c>
      <c r="K1327" s="1" t="str">
        <f>VLOOKUP(D1327,products!A:D,2,FALSE)</f>
        <v>Electronics</v>
      </c>
      <c r="L1327" s="1" t="str">
        <f t="shared" si="41"/>
        <v>Mar-2025</v>
      </c>
    </row>
    <row r="1328" spans="1:12" x14ac:dyDescent="0.25">
      <c r="A1328" s="3" t="s">
        <v>1574</v>
      </c>
      <c r="B1328" s="6">
        <v>45675</v>
      </c>
      <c r="C1328" s="3" t="s">
        <v>16</v>
      </c>
      <c r="D1328" s="3" t="s">
        <v>17</v>
      </c>
      <c r="E1328" s="3" t="s">
        <v>284</v>
      </c>
      <c r="F1328" s="3">
        <v>1</v>
      </c>
      <c r="G1328" s="3">
        <v>0</v>
      </c>
      <c r="H1328" s="1">
        <f>VLOOKUP(D1328,products!A:D,4,FALSE)</f>
        <v>22000</v>
      </c>
      <c r="I1328" s="1" t="str">
        <f>VLOOKUP(C1328,branches!A:B,2,FALSE)</f>
        <v>Naija Mart Ikeja</v>
      </c>
      <c r="J1328" s="1">
        <f t="shared" si="40"/>
        <v>22000</v>
      </c>
      <c r="K1328" s="1" t="str">
        <f>VLOOKUP(D1328,products!A:D,2,FALSE)</f>
        <v>Home Appliances</v>
      </c>
      <c r="L1328" s="1" t="str">
        <f t="shared" si="41"/>
        <v>Jan-2025</v>
      </c>
    </row>
    <row r="1329" spans="1:12" x14ac:dyDescent="0.25">
      <c r="A1329" s="3" t="s">
        <v>1575</v>
      </c>
      <c r="B1329" s="6">
        <v>45822</v>
      </c>
      <c r="C1329" s="3" t="s">
        <v>12</v>
      </c>
      <c r="D1329" s="3" t="s">
        <v>59</v>
      </c>
      <c r="E1329" s="3" t="s">
        <v>141</v>
      </c>
      <c r="F1329" s="3">
        <v>1</v>
      </c>
      <c r="G1329" s="3">
        <v>0</v>
      </c>
      <c r="H1329" s="1">
        <f>VLOOKUP(D1329,products!A:D,4,FALSE)</f>
        <v>15000</v>
      </c>
      <c r="I1329" s="1" t="str">
        <f>VLOOKUP(C1329,branches!A:B,2,FALSE)</f>
        <v>Naija Mart Wuse</v>
      </c>
      <c r="J1329" s="1">
        <f t="shared" si="40"/>
        <v>15000</v>
      </c>
      <c r="K1329" s="1" t="str">
        <f>VLOOKUP(D1329,products!A:D,2,FALSE)</f>
        <v>Home Appliances</v>
      </c>
      <c r="L1329" s="1" t="str">
        <f t="shared" si="41"/>
        <v>Jun-2025</v>
      </c>
    </row>
    <row r="1330" spans="1:12" x14ac:dyDescent="0.25">
      <c r="A1330" s="3" t="s">
        <v>1576</v>
      </c>
      <c r="B1330" s="6">
        <v>45847</v>
      </c>
      <c r="C1330" s="3" t="s">
        <v>12</v>
      </c>
      <c r="D1330" s="3" t="s">
        <v>49</v>
      </c>
      <c r="E1330" s="3" t="s">
        <v>62</v>
      </c>
      <c r="F1330" s="3">
        <v>1</v>
      </c>
      <c r="G1330" s="3">
        <v>0</v>
      </c>
      <c r="H1330" s="1">
        <f>VLOOKUP(D1330,products!A:D,4,FALSE)</f>
        <v>28000</v>
      </c>
      <c r="I1330" s="1" t="str">
        <f>VLOOKUP(C1330,branches!A:B,2,FALSE)</f>
        <v>Naija Mart Wuse</v>
      </c>
      <c r="J1330" s="1">
        <f t="shared" si="40"/>
        <v>28000</v>
      </c>
      <c r="K1330" s="1" t="str">
        <f>VLOOKUP(D1330,products!A:D,2,FALSE)</f>
        <v>Home Appliances</v>
      </c>
      <c r="L1330" s="1" t="str">
        <f t="shared" si="41"/>
        <v>Jul-2025</v>
      </c>
    </row>
    <row r="1331" spans="1:12" x14ac:dyDescent="0.25">
      <c r="A1331" s="3" t="s">
        <v>1577</v>
      </c>
      <c r="B1331" s="6">
        <v>45828</v>
      </c>
      <c r="C1331" s="3" t="s">
        <v>8</v>
      </c>
      <c r="D1331" s="3" t="s">
        <v>26</v>
      </c>
      <c r="E1331" s="3" t="s">
        <v>766</v>
      </c>
      <c r="F1331" s="3">
        <v>1</v>
      </c>
      <c r="G1331" s="3">
        <v>0</v>
      </c>
      <c r="H1331" s="1">
        <f>VLOOKUP(D1331,products!A:D,4,FALSE)</f>
        <v>145000</v>
      </c>
      <c r="I1331" s="1" t="str">
        <f>VLOOKUP(C1331,branches!A:B,2,FALSE)</f>
        <v>Naija Mart GRA</v>
      </c>
      <c r="J1331" s="1">
        <f t="shared" si="40"/>
        <v>145000</v>
      </c>
      <c r="K1331" s="1" t="str">
        <f>VLOOKUP(D1331,products!A:D,2,FALSE)</f>
        <v>Electronics</v>
      </c>
      <c r="L1331" s="1" t="str">
        <f t="shared" si="41"/>
        <v>Jun-2025</v>
      </c>
    </row>
    <row r="1332" spans="1:12" x14ac:dyDescent="0.25">
      <c r="A1332" s="3" t="s">
        <v>1578</v>
      </c>
      <c r="B1332" s="6">
        <v>45827</v>
      </c>
      <c r="C1332" s="3" t="s">
        <v>8</v>
      </c>
      <c r="D1332" s="3" t="s">
        <v>17</v>
      </c>
      <c r="E1332" s="3" t="s">
        <v>31</v>
      </c>
      <c r="F1332" s="3">
        <v>2</v>
      </c>
      <c r="G1332" s="3">
        <v>0</v>
      </c>
      <c r="H1332" s="1">
        <f>VLOOKUP(D1332,products!A:D,4,FALSE)</f>
        <v>22000</v>
      </c>
      <c r="I1332" s="1" t="str">
        <f>VLOOKUP(C1332,branches!A:B,2,FALSE)</f>
        <v>Naija Mart GRA</v>
      </c>
      <c r="J1332" s="1">
        <f t="shared" si="40"/>
        <v>44000</v>
      </c>
      <c r="K1332" s="1" t="str">
        <f>VLOOKUP(D1332,products!A:D,2,FALSE)</f>
        <v>Home Appliances</v>
      </c>
      <c r="L1332" s="1" t="str">
        <f t="shared" si="41"/>
        <v>Jun-2025</v>
      </c>
    </row>
    <row r="1333" spans="1:12" x14ac:dyDescent="0.25">
      <c r="A1333" s="3" t="s">
        <v>1579</v>
      </c>
      <c r="B1333" s="6">
        <v>45787</v>
      </c>
      <c r="C1333" s="3" t="s">
        <v>16</v>
      </c>
      <c r="D1333" s="3" t="s">
        <v>13</v>
      </c>
      <c r="E1333" s="3" t="s">
        <v>145</v>
      </c>
      <c r="F1333" s="3">
        <v>5</v>
      </c>
      <c r="G1333" s="3">
        <v>0</v>
      </c>
      <c r="H1333" s="1">
        <f>VLOOKUP(D1333,products!A:D,4,FALSE)</f>
        <v>24000</v>
      </c>
      <c r="I1333" s="1" t="str">
        <f>VLOOKUP(C1333,branches!A:B,2,FALSE)</f>
        <v>Naija Mart Ikeja</v>
      </c>
      <c r="J1333" s="1">
        <f t="shared" si="40"/>
        <v>120000</v>
      </c>
      <c r="K1333" s="1" t="str">
        <f>VLOOKUP(D1333,products!A:D,2,FALSE)</f>
        <v>Home Appliances</v>
      </c>
      <c r="L1333" s="1" t="str">
        <f t="shared" si="41"/>
        <v>May-2025</v>
      </c>
    </row>
    <row r="1334" spans="1:12" x14ac:dyDescent="0.25">
      <c r="A1334" s="3" t="s">
        <v>1580</v>
      </c>
      <c r="B1334" s="6">
        <v>45718</v>
      </c>
      <c r="C1334" s="3" t="s">
        <v>16</v>
      </c>
      <c r="D1334" s="3" t="s">
        <v>43</v>
      </c>
      <c r="E1334" s="3" t="s">
        <v>621</v>
      </c>
      <c r="F1334" s="3">
        <v>1</v>
      </c>
      <c r="G1334" s="3">
        <v>0</v>
      </c>
      <c r="H1334" s="1">
        <f>VLOOKUP(D1334,products!A:D,4,FALSE)</f>
        <v>74000</v>
      </c>
      <c r="I1334" s="1" t="str">
        <f>VLOOKUP(C1334,branches!A:B,2,FALSE)</f>
        <v>Naija Mart Ikeja</v>
      </c>
      <c r="J1334" s="1">
        <f t="shared" si="40"/>
        <v>74000</v>
      </c>
      <c r="K1334" s="1" t="str">
        <f>VLOOKUP(D1334,products!A:D,2,FALSE)</f>
        <v>Home Appliances</v>
      </c>
      <c r="L1334" s="1" t="str">
        <f t="shared" si="41"/>
        <v>Mar-2025</v>
      </c>
    </row>
    <row r="1335" spans="1:12" x14ac:dyDescent="0.25">
      <c r="A1335" s="3" t="s">
        <v>1581</v>
      </c>
      <c r="B1335" s="6">
        <v>45730</v>
      </c>
      <c r="C1335" s="3" t="s">
        <v>12</v>
      </c>
      <c r="D1335" s="3" t="s">
        <v>197</v>
      </c>
      <c r="E1335" s="3" t="s">
        <v>623</v>
      </c>
      <c r="F1335" s="3">
        <v>1</v>
      </c>
      <c r="G1335" s="3">
        <v>0</v>
      </c>
      <c r="H1335" s="1">
        <f>VLOOKUP(D1335,products!A:D,4,FALSE)</f>
        <v>78000</v>
      </c>
      <c r="I1335" s="1" t="str">
        <f>VLOOKUP(C1335,branches!A:B,2,FALSE)</f>
        <v>Naija Mart Wuse</v>
      </c>
      <c r="J1335" s="1">
        <f t="shared" si="40"/>
        <v>78000</v>
      </c>
      <c r="K1335" s="1" t="str">
        <f>VLOOKUP(D1335,products!A:D,2,FALSE)</f>
        <v>Electronics</v>
      </c>
      <c r="L1335" s="1" t="str">
        <f t="shared" si="41"/>
        <v>Mar-2025</v>
      </c>
    </row>
    <row r="1336" spans="1:12" x14ac:dyDescent="0.25">
      <c r="A1336" s="3" t="s">
        <v>1582</v>
      </c>
      <c r="B1336" s="6">
        <v>45783</v>
      </c>
      <c r="C1336" s="3" t="s">
        <v>12</v>
      </c>
      <c r="D1336" s="3" t="s">
        <v>40</v>
      </c>
      <c r="E1336" s="3" t="s">
        <v>238</v>
      </c>
      <c r="F1336" s="3">
        <v>1</v>
      </c>
      <c r="G1336" s="3">
        <v>0</v>
      </c>
      <c r="H1336" s="1">
        <f>VLOOKUP(D1336,products!A:D,4,FALSE)</f>
        <v>195000</v>
      </c>
      <c r="I1336" s="1" t="str">
        <f>VLOOKUP(C1336,branches!A:B,2,FALSE)</f>
        <v>Naija Mart Wuse</v>
      </c>
      <c r="J1336" s="1">
        <f t="shared" si="40"/>
        <v>195000</v>
      </c>
      <c r="K1336" s="1" t="str">
        <f>VLOOKUP(D1336,products!A:D,2,FALSE)</f>
        <v>Generators &amp; Power</v>
      </c>
      <c r="L1336" s="1" t="str">
        <f t="shared" si="41"/>
        <v>May-2025</v>
      </c>
    </row>
    <row r="1337" spans="1:12" x14ac:dyDescent="0.25">
      <c r="A1337" s="3" t="s">
        <v>1583</v>
      </c>
      <c r="B1337" s="6">
        <v>45736</v>
      </c>
      <c r="C1337" s="3" t="s">
        <v>8</v>
      </c>
      <c r="D1337" s="3" t="s">
        <v>40</v>
      </c>
      <c r="E1337" s="3" t="s">
        <v>150</v>
      </c>
      <c r="F1337" s="3">
        <v>1</v>
      </c>
      <c r="G1337" s="3">
        <v>0</v>
      </c>
      <c r="H1337" s="1">
        <f>VLOOKUP(D1337,products!A:D,4,FALSE)</f>
        <v>195000</v>
      </c>
      <c r="I1337" s="1" t="str">
        <f>VLOOKUP(C1337,branches!A:B,2,FALSE)</f>
        <v>Naija Mart GRA</v>
      </c>
      <c r="J1337" s="1">
        <f t="shared" si="40"/>
        <v>195000</v>
      </c>
      <c r="K1337" s="1" t="str">
        <f>VLOOKUP(D1337,products!A:D,2,FALSE)</f>
        <v>Generators &amp; Power</v>
      </c>
      <c r="L1337" s="1" t="str">
        <f t="shared" si="41"/>
        <v>Mar-2025</v>
      </c>
    </row>
    <row r="1338" spans="1:12" x14ac:dyDescent="0.25">
      <c r="A1338" s="3" t="s">
        <v>1584</v>
      </c>
      <c r="B1338" s="6">
        <v>45890</v>
      </c>
      <c r="C1338" s="3" t="s">
        <v>12</v>
      </c>
      <c r="D1338" s="3" t="s">
        <v>40</v>
      </c>
      <c r="E1338" s="3" t="s">
        <v>112</v>
      </c>
      <c r="F1338" s="3">
        <v>1</v>
      </c>
      <c r="G1338" s="3">
        <v>0</v>
      </c>
      <c r="H1338" s="1">
        <f>VLOOKUP(D1338,products!A:D,4,FALSE)</f>
        <v>195000</v>
      </c>
      <c r="I1338" s="1" t="str">
        <f>VLOOKUP(C1338,branches!A:B,2,FALSE)</f>
        <v>Naija Mart Wuse</v>
      </c>
      <c r="J1338" s="1">
        <f t="shared" si="40"/>
        <v>195000</v>
      </c>
      <c r="K1338" s="1" t="str">
        <f>VLOOKUP(D1338,products!A:D,2,FALSE)</f>
        <v>Generators &amp; Power</v>
      </c>
      <c r="L1338" s="1" t="str">
        <f t="shared" si="41"/>
        <v>Aug-2025</v>
      </c>
    </row>
    <row r="1339" spans="1:12" x14ac:dyDescent="0.25">
      <c r="A1339" s="3" t="s">
        <v>1585</v>
      </c>
      <c r="B1339" s="6">
        <v>45879</v>
      </c>
      <c r="C1339" s="3" t="s">
        <v>16</v>
      </c>
      <c r="D1339" s="3" t="s">
        <v>17</v>
      </c>
      <c r="E1339" s="3" t="s">
        <v>597</v>
      </c>
      <c r="F1339" s="3">
        <v>2</v>
      </c>
      <c r="G1339" s="3">
        <v>0</v>
      </c>
      <c r="H1339" s="1">
        <f>VLOOKUP(D1339,products!A:D,4,FALSE)</f>
        <v>22000</v>
      </c>
      <c r="I1339" s="1" t="str">
        <f>VLOOKUP(C1339,branches!A:B,2,FALSE)</f>
        <v>Naija Mart Ikeja</v>
      </c>
      <c r="J1339" s="1">
        <f t="shared" si="40"/>
        <v>44000</v>
      </c>
      <c r="K1339" s="1" t="str">
        <f>VLOOKUP(D1339,products!A:D,2,FALSE)</f>
        <v>Home Appliances</v>
      </c>
      <c r="L1339" s="1" t="str">
        <f t="shared" si="41"/>
        <v>Aug-2025</v>
      </c>
    </row>
    <row r="1340" spans="1:12" x14ac:dyDescent="0.25">
      <c r="A1340" s="3" t="s">
        <v>1586</v>
      </c>
      <c r="B1340" s="6">
        <v>45953</v>
      </c>
      <c r="C1340" s="3" t="s">
        <v>12</v>
      </c>
      <c r="D1340" s="3" t="s">
        <v>197</v>
      </c>
      <c r="E1340" s="3" t="s">
        <v>661</v>
      </c>
      <c r="F1340" s="3">
        <v>1</v>
      </c>
      <c r="G1340" s="3">
        <v>0</v>
      </c>
      <c r="H1340" s="1">
        <f>VLOOKUP(D1340,products!A:D,4,FALSE)</f>
        <v>78000</v>
      </c>
      <c r="I1340" s="1" t="str">
        <f>VLOOKUP(C1340,branches!A:B,2,FALSE)</f>
        <v>Naija Mart Wuse</v>
      </c>
      <c r="J1340" s="1">
        <f t="shared" si="40"/>
        <v>78000</v>
      </c>
      <c r="K1340" s="1" t="str">
        <f>VLOOKUP(D1340,products!A:D,2,FALSE)</f>
        <v>Electronics</v>
      </c>
      <c r="L1340" s="1" t="str">
        <f t="shared" si="41"/>
        <v>Oct-2025</v>
      </c>
    </row>
    <row r="1341" spans="1:12" x14ac:dyDescent="0.25">
      <c r="A1341" s="3" t="s">
        <v>1587</v>
      </c>
      <c r="B1341" s="6">
        <v>45723</v>
      </c>
      <c r="C1341" s="3" t="s">
        <v>16</v>
      </c>
      <c r="D1341" s="3" t="s">
        <v>13</v>
      </c>
      <c r="E1341" s="3" t="s">
        <v>62</v>
      </c>
      <c r="F1341" s="3">
        <v>1</v>
      </c>
      <c r="G1341" s="3">
        <v>0</v>
      </c>
      <c r="H1341" s="1">
        <f>VLOOKUP(D1341,products!A:D,4,FALSE)</f>
        <v>24000</v>
      </c>
      <c r="I1341" s="1" t="str">
        <f>VLOOKUP(C1341,branches!A:B,2,FALSE)</f>
        <v>Naija Mart Ikeja</v>
      </c>
      <c r="J1341" s="1">
        <f t="shared" si="40"/>
        <v>24000</v>
      </c>
      <c r="K1341" s="1" t="str">
        <f>VLOOKUP(D1341,products!A:D,2,FALSE)</f>
        <v>Home Appliances</v>
      </c>
      <c r="L1341" s="1" t="str">
        <f t="shared" si="41"/>
        <v>Mar-2025</v>
      </c>
    </row>
    <row r="1342" spans="1:12" x14ac:dyDescent="0.25">
      <c r="A1342" s="3" t="s">
        <v>1588</v>
      </c>
      <c r="B1342" s="6">
        <v>45738</v>
      </c>
      <c r="C1342" s="3" t="s">
        <v>8</v>
      </c>
      <c r="D1342" s="3" t="s">
        <v>91</v>
      </c>
      <c r="E1342" s="3" t="s">
        <v>194</v>
      </c>
      <c r="F1342" s="3">
        <v>1</v>
      </c>
      <c r="G1342" s="3">
        <v>10</v>
      </c>
      <c r="H1342" s="1">
        <f>VLOOKUP(D1342,products!A:D,4,FALSE)</f>
        <v>5200</v>
      </c>
      <c r="I1342" s="1" t="str">
        <f>VLOOKUP(C1342,branches!A:B,2,FALSE)</f>
        <v>Naija Mart GRA</v>
      </c>
      <c r="J1342" s="1">
        <f t="shared" si="40"/>
        <v>4680</v>
      </c>
      <c r="K1342" s="1" t="str">
        <f>VLOOKUP(D1342,products!A:D,2,FALSE)</f>
        <v>Small Gadgets</v>
      </c>
      <c r="L1342" s="1" t="str">
        <f t="shared" si="41"/>
        <v>Mar-2025</v>
      </c>
    </row>
    <row r="1343" spans="1:12" x14ac:dyDescent="0.25">
      <c r="A1343" s="3" t="s">
        <v>1589</v>
      </c>
      <c r="B1343" s="6">
        <v>46014</v>
      </c>
      <c r="C1343" s="3" t="s">
        <v>8</v>
      </c>
      <c r="D1343" s="3" t="s">
        <v>49</v>
      </c>
      <c r="E1343" s="3" t="s">
        <v>47</v>
      </c>
      <c r="F1343" s="3">
        <v>1</v>
      </c>
      <c r="G1343" s="3">
        <v>10</v>
      </c>
      <c r="H1343" s="1">
        <f>VLOOKUP(D1343,products!A:D,4,FALSE)</f>
        <v>28000</v>
      </c>
      <c r="I1343" s="1" t="str">
        <f>VLOOKUP(C1343,branches!A:B,2,FALSE)</f>
        <v>Naija Mart GRA</v>
      </c>
      <c r="J1343" s="1">
        <f t="shared" si="40"/>
        <v>25200</v>
      </c>
      <c r="K1343" s="1" t="str">
        <f>VLOOKUP(D1343,products!A:D,2,FALSE)</f>
        <v>Home Appliances</v>
      </c>
      <c r="L1343" s="1" t="str">
        <f t="shared" si="41"/>
        <v>Dec-2025</v>
      </c>
    </row>
    <row r="1344" spans="1:12" x14ac:dyDescent="0.25">
      <c r="A1344" s="3" t="s">
        <v>1590</v>
      </c>
      <c r="B1344" s="6">
        <v>45843</v>
      </c>
      <c r="C1344" s="3" t="s">
        <v>8</v>
      </c>
      <c r="D1344" s="3" t="s">
        <v>149</v>
      </c>
      <c r="E1344" s="3" t="s">
        <v>245</v>
      </c>
      <c r="F1344" s="3">
        <v>1</v>
      </c>
      <c r="G1344" s="3">
        <v>10</v>
      </c>
      <c r="H1344" s="1">
        <f>VLOOKUP(D1344,products!A:D,4,FALSE)</f>
        <v>6500</v>
      </c>
      <c r="I1344" s="1" t="str">
        <f>VLOOKUP(C1344,branches!A:B,2,FALSE)</f>
        <v>Naija Mart GRA</v>
      </c>
      <c r="J1344" s="1">
        <f t="shared" si="40"/>
        <v>5850</v>
      </c>
      <c r="K1344" s="1" t="str">
        <f>VLOOKUP(D1344,products!A:D,2,FALSE)</f>
        <v>Small Gadgets</v>
      </c>
      <c r="L1344" s="1" t="str">
        <f t="shared" si="41"/>
        <v>Jul-2025</v>
      </c>
    </row>
    <row r="1345" spans="1:12" x14ac:dyDescent="0.25">
      <c r="A1345" s="3" t="s">
        <v>1591</v>
      </c>
      <c r="B1345" s="6">
        <v>45863</v>
      </c>
      <c r="C1345" s="3" t="s">
        <v>12</v>
      </c>
      <c r="D1345" s="3" t="s">
        <v>17</v>
      </c>
      <c r="E1345" s="3" t="s">
        <v>253</v>
      </c>
      <c r="F1345" s="3">
        <v>1</v>
      </c>
      <c r="G1345" s="3">
        <v>0</v>
      </c>
      <c r="H1345" s="1">
        <f>VLOOKUP(D1345,products!A:D,4,FALSE)</f>
        <v>22000</v>
      </c>
      <c r="I1345" s="1" t="str">
        <f>VLOOKUP(C1345,branches!A:B,2,FALSE)</f>
        <v>Naija Mart Wuse</v>
      </c>
      <c r="J1345" s="1">
        <f t="shared" si="40"/>
        <v>22000</v>
      </c>
      <c r="K1345" s="1" t="str">
        <f>VLOOKUP(D1345,products!A:D,2,FALSE)</f>
        <v>Home Appliances</v>
      </c>
      <c r="L1345" s="1" t="str">
        <f t="shared" si="41"/>
        <v>Jul-2025</v>
      </c>
    </row>
    <row r="1346" spans="1:12" x14ac:dyDescent="0.25">
      <c r="A1346" s="3" t="s">
        <v>1592</v>
      </c>
      <c r="B1346" s="6">
        <v>45684</v>
      </c>
      <c r="C1346" s="3" t="s">
        <v>36</v>
      </c>
      <c r="D1346" s="3" t="s">
        <v>149</v>
      </c>
      <c r="E1346" s="3" t="s">
        <v>663</v>
      </c>
      <c r="F1346" s="3">
        <v>2</v>
      </c>
      <c r="G1346" s="3">
        <v>10</v>
      </c>
      <c r="H1346" s="1">
        <f>VLOOKUP(D1346,products!A:D,4,FALSE)</f>
        <v>6500</v>
      </c>
      <c r="I1346" s="1" t="str">
        <f>VLOOKUP(C1346,branches!A:B,2,FALSE)</f>
        <v>Naija Mart Sabon Gari</v>
      </c>
      <c r="J1346" s="1">
        <f t="shared" si="40"/>
        <v>11700</v>
      </c>
      <c r="K1346" s="1" t="str">
        <f>VLOOKUP(D1346,products!A:D,2,FALSE)</f>
        <v>Small Gadgets</v>
      </c>
      <c r="L1346" s="1" t="str">
        <f t="shared" si="41"/>
        <v>Jan-2025</v>
      </c>
    </row>
    <row r="1347" spans="1:12" x14ac:dyDescent="0.25">
      <c r="A1347" s="3" t="s">
        <v>1593</v>
      </c>
      <c r="B1347" s="6">
        <v>45861</v>
      </c>
      <c r="C1347" s="3" t="s">
        <v>16</v>
      </c>
      <c r="D1347" s="3" t="s">
        <v>26</v>
      </c>
      <c r="E1347" s="3" t="s">
        <v>908</v>
      </c>
      <c r="F1347" s="3">
        <v>1</v>
      </c>
      <c r="G1347" s="3">
        <v>5</v>
      </c>
      <c r="H1347" s="1">
        <f>VLOOKUP(D1347,products!A:D,4,FALSE)</f>
        <v>145000</v>
      </c>
      <c r="I1347" s="1" t="str">
        <f>VLOOKUP(C1347,branches!A:B,2,FALSE)</f>
        <v>Naija Mart Ikeja</v>
      </c>
      <c r="J1347" s="1">
        <f t="shared" ref="J1347:J1409" si="42">F1347*H1347*(1-G1347/100)</f>
        <v>137750</v>
      </c>
      <c r="K1347" s="1" t="str">
        <f>VLOOKUP(D1347,products!A:D,2,FALSE)</f>
        <v>Electronics</v>
      </c>
      <c r="L1347" s="1" t="str">
        <f t="shared" ref="L1347:L1409" si="43">TEXT(B1347,"mmm-yyyy")</f>
        <v>Jul-2025</v>
      </c>
    </row>
    <row r="1348" spans="1:12" x14ac:dyDescent="0.25">
      <c r="A1348" s="3" t="s">
        <v>1594</v>
      </c>
      <c r="B1348" s="6">
        <v>45829</v>
      </c>
      <c r="C1348" s="3" t="s">
        <v>16</v>
      </c>
      <c r="D1348" s="3" t="s">
        <v>197</v>
      </c>
      <c r="E1348" s="3" t="s">
        <v>618</v>
      </c>
      <c r="F1348" s="3">
        <v>2</v>
      </c>
      <c r="G1348" s="3">
        <v>5</v>
      </c>
      <c r="H1348" s="1">
        <f>VLOOKUP(D1348,products!A:D,4,FALSE)</f>
        <v>78000</v>
      </c>
      <c r="I1348" s="1" t="str">
        <f>VLOOKUP(C1348,branches!A:B,2,FALSE)</f>
        <v>Naija Mart Ikeja</v>
      </c>
      <c r="J1348" s="1">
        <f t="shared" si="42"/>
        <v>148200</v>
      </c>
      <c r="K1348" s="1" t="str">
        <f>VLOOKUP(D1348,products!A:D,2,FALSE)</f>
        <v>Electronics</v>
      </c>
      <c r="L1348" s="1" t="str">
        <f t="shared" si="43"/>
        <v>Jun-2025</v>
      </c>
    </row>
    <row r="1349" spans="1:12" x14ac:dyDescent="0.25">
      <c r="A1349" s="3" t="s">
        <v>1595</v>
      </c>
      <c r="B1349" s="6">
        <v>45907</v>
      </c>
      <c r="C1349" s="3" t="s">
        <v>16</v>
      </c>
      <c r="D1349" s="3" t="s">
        <v>20</v>
      </c>
      <c r="E1349" s="3" t="s">
        <v>398</v>
      </c>
      <c r="F1349" s="3">
        <v>2</v>
      </c>
      <c r="G1349" s="3">
        <v>0</v>
      </c>
      <c r="H1349" s="1">
        <f>VLOOKUP(D1349,products!A:D,4,FALSE)</f>
        <v>38000</v>
      </c>
      <c r="I1349" s="1" t="str">
        <f>VLOOKUP(C1349,branches!A:B,2,FALSE)</f>
        <v>Naija Mart Ikeja</v>
      </c>
      <c r="J1349" s="1">
        <f t="shared" si="42"/>
        <v>76000</v>
      </c>
      <c r="K1349" s="1" t="str">
        <f>VLOOKUP(D1349,products!A:D,2,FALSE)</f>
        <v>Electronics</v>
      </c>
      <c r="L1349" s="1" t="str">
        <f t="shared" si="43"/>
        <v>Sep-2025</v>
      </c>
    </row>
    <row r="1350" spans="1:12" x14ac:dyDescent="0.25">
      <c r="A1350" s="3" t="s">
        <v>1596</v>
      </c>
      <c r="B1350" s="6">
        <v>45994</v>
      </c>
      <c r="C1350" s="3" t="s">
        <v>12</v>
      </c>
      <c r="D1350" s="3" t="s">
        <v>23</v>
      </c>
      <c r="E1350" s="3" t="s">
        <v>95</v>
      </c>
      <c r="F1350" s="3">
        <v>1</v>
      </c>
      <c r="G1350" s="3">
        <v>0</v>
      </c>
      <c r="H1350" s="1">
        <f>VLOOKUP(D1350,products!A:D,4,FALSE)</f>
        <v>19500</v>
      </c>
      <c r="I1350" s="1" t="str">
        <f>VLOOKUP(C1350,branches!A:B,2,FALSE)</f>
        <v>Naija Mart Wuse</v>
      </c>
      <c r="J1350" s="1">
        <f t="shared" si="42"/>
        <v>19500</v>
      </c>
      <c r="K1350" s="1" t="str">
        <f>VLOOKUP(D1350,products!A:D,2,FALSE)</f>
        <v>Home Appliances</v>
      </c>
      <c r="L1350" s="1" t="str">
        <f t="shared" si="43"/>
        <v>Dec-2025</v>
      </c>
    </row>
    <row r="1351" spans="1:12" x14ac:dyDescent="0.25">
      <c r="A1351" s="3" t="s">
        <v>1597</v>
      </c>
      <c r="B1351" s="6">
        <v>45901</v>
      </c>
      <c r="C1351" s="3" t="s">
        <v>36</v>
      </c>
      <c r="D1351" s="3" t="s">
        <v>9</v>
      </c>
      <c r="E1351" s="3" t="s">
        <v>67</v>
      </c>
      <c r="F1351" s="3">
        <v>1</v>
      </c>
      <c r="G1351" s="3">
        <v>0</v>
      </c>
      <c r="H1351" s="1">
        <f>VLOOKUP(D1351,products!A:D,4,FALSE)</f>
        <v>410000</v>
      </c>
      <c r="I1351" s="1" t="str">
        <f>VLOOKUP(C1351,branches!A:B,2,FALSE)</f>
        <v>Naija Mart Sabon Gari</v>
      </c>
      <c r="J1351" s="1">
        <f t="shared" si="42"/>
        <v>410000</v>
      </c>
      <c r="K1351" s="1" t="str">
        <f>VLOOKUP(D1351,products!A:D,2,FALSE)</f>
        <v>Home Appliances</v>
      </c>
      <c r="L1351" s="1" t="str">
        <f t="shared" si="43"/>
        <v>Sep-2025</v>
      </c>
    </row>
    <row r="1352" spans="1:12" x14ac:dyDescent="0.25">
      <c r="A1352" s="3" t="s">
        <v>1598</v>
      </c>
      <c r="B1352" s="6">
        <v>45758</v>
      </c>
      <c r="C1352" s="3" t="s">
        <v>16</v>
      </c>
      <c r="D1352" s="3" t="s">
        <v>9</v>
      </c>
      <c r="E1352" s="3" t="s">
        <v>379</v>
      </c>
      <c r="F1352" s="3">
        <v>2</v>
      </c>
      <c r="G1352" s="3">
        <v>25</v>
      </c>
      <c r="H1352" s="1">
        <f>VLOOKUP(D1352,products!A:D,4,FALSE)</f>
        <v>410000</v>
      </c>
      <c r="I1352" s="1" t="str">
        <f>VLOOKUP(C1352,branches!A:B,2,FALSE)</f>
        <v>Naija Mart Ikeja</v>
      </c>
      <c r="J1352" s="1">
        <f t="shared" si="42"/>
        <v>615000</v>
      </c>
      <c r="K1352" s="1" t="str">
        <f>VLOOKUP(D1352,products!A:D,2,FALSE)</f>
        <v>Home Appliances</v>
      </c>
      <c r="L1352" s="1" t="str">
        <f t="shared" si="43"/>
        <v>Apr-2025</v>
      </c>
    </row>
    <row r="1353" spans="1:12" x14ac:dyDescent="0.25">
      <c r="A1353" s="3" t="s">
        <v>1599</v>
      </c>
      <c r="B1353" s="6">
        <v>46012</v>
      </c>
      <c r="C1353" s="3" t="s">
        <v>8</v>
      </c>
      <c r="D1353" s="3" t="s">
        <v>23</v>
      </c>
      <c r="E1353" s="3" t="s">
        <v>969</v>
      </c>
      <c r="F1353" s="3">
        <v>1</v>
      </c>
      <c r="G1353" s="3">
        <v>0</v>
      </c>
      <c r="H1353" s="1">
        <f>VLOOKUP(D1353,products!A:D,4,FALSE)</f>
        <v>19500</v>
      </c>
      <c r="I1353" s="1" t="str">
        <f>VLOOKUP(C1353,branches!A:B,2,FALSE)</f>
        <v>Naija Mart GRA</v>
      </c>
      <c r="J1353" s="1">
        <f t="shared" si="42"/>
        <v>19500</v>
      </c>
      <c r="K1353" s="1" t="str">
        <f>VLOOKUP(D1353,products!A:D,2,FALSE)</f>
        <v>Home Appliances</v>
      </c>
      <c r="L1353" s="1" t="str">
        <f t="shared" si="43"/>
        <v>Dec-2025</v>
      </c>
    </row>
    <row r="1354" spans="1:12" x14ac:dyDescent="0.25">
      <c r="A1354" s="3" t="s">
        <v>1600</v>
      </c>
      <c r="B1354" s="6">
        <v>45967</v>
      </c>
      <c r="C1354" s="3" t="s">
        <v>12</v>
      </c>
      <c r="D1354" s="3" t="s">
        <v>43</v>
      </c>
      <c r="E1354" s="3" t="s">
        <v>861</v>
      </c>
      <c r="F1354" s="3">
        <v>1</v>
      </c>
      <c r="G1354" s="3">
        <v>0</v>
      </c>
      <c r="H1354" s="1">
        <f>VLOOKUP(D1354,products!A:D,4,FALSE)</f>
        <v>74000</v>
      </c>
      <c r="I1354" s="1" t="str">
        <f>VLOOKUP(C1354,branches!A:B,2,FALSE)</f>
        <v>Naija Mart Wuse</v>
      </c>
      <c r="J1354" s="1">
        <f t="shared" si="42"/>
        <v>74000</v>
      </c>
      <c r="K1354" s="1" t="str">
        <f>VLOOKUP(D1354,products!A:D,2,FALSE)</f>
        <v>Home Appliances</v>
      </c>
      <c r="L1354" s="1" t="str">
        <f t="shared" si="43"/>
        <v>Nov-2025</v>
      </c>
    </row>
    <row r="1355" spans="1:12" x14ac:dyDescent="0.25">
      <c r="A1355" s="3" t="s">
        <v>1601</v>
      </c>
      <c r="B1355" s="6">
        <v>45894</v>
      </c>
      <c r="C1355" s="3" t="s">
        <v>16</v>
      </c>
      <c r="D1355" s="3" t="s">
        <v>43</v>
      </c>
      <c r="E1355" s="3" t="s">
        <v>398</v>
      </c>
      <c r="F1355" s="3">
        <v>1</v>
      </c>
      <c r="G1355" s="3">
        <v>0</v>
      </c>
      <c r="H1355" s="1">
        <f>VLOOKUP(D1355,products!A:D,4,FALSE)</f>
        <v>74000</v>
      </c>
      <c r="I1355" s="1" t="str">
        <f>VLOOKUP(C1355,branches!A:B,2,FALSE)</f>
        <v>Naija Mart Ikeja</v>
      </c>
      <c r="J1355" s="1">
        <f t="shared" si="42"/>
        <v>74000</v>
      </c>
      <c r="K1355" s="1" t="str">
        <f>VLOOKUP(D1355,products!A:D,2,FALSE)</f>
        <v>Home Appliances</v>
      </c>
      <c r="L1355" s="1" t="str">
        <f t="shared" si="43"/>
        <v>Aug-2025</v>
      </c>
    </row>
    <row r="1356" spans="1:12" x14ac:dyDescent="0.25">
      <c r="A1356" s="3" t="s">
        <v>1602</v>
      </c>
      <c r="B1356" s="6">
        <v>45710</v>
      </c>
      <c r="C1356" s="3" t="s">
        <v>16</v>
      </c>
      <c r="D1356" s="3" t="s">
        <v>9</v>
      </c>
      <c r="E1356" s="3" t="s">
        <v>603</v>
      </c>
      <c r="F1356" s="3">
        <v>1</v>
      </c>
      <c r="G1356" s="3">
        <v>0</v>
      </c>
      <c r="H1356" s="1">
        <f>VLOOKUP(D1356,products!A:D,4,FALSE)</f>
        <v>410000</v>
      </c>
      <c r="I1356" s="1" t="str">
        <f>VLOOKUP(C1356,branches!A:B,2,FALSE)</f>
        <v>Naija Mart Ikeja</v>
      </c>
      <c r="J1356" s="1">
        <f t="shared" si="42"/>
        <v>410000</v>
      </c>
      <c r="K1356" s="1" t="str">
        <f>VLOOKUP(D1356,products!A:D,2,FALSE)</f>
        <v>Home Appliances</v>
      </c>
      <c r="L1356" s="1" t="str">
        <f t="shared" si="43"/>
        <v>Feb-2025</v>
      </c>
    </row>
    <row r="1357" spans="1:12" x14ac:dyDescent="0.25">
      <c r="A1357" s="3" t="s">
        <v>1603</v>
      </c>
      <c r="B1357" s="6">
        <v>45934</v>
      </c>
      <c r="C1357" s="3" t="s">
        <v>16</v>
      </c>
      <c r="D1357" s="3" t="s">
        <v>197</v>
      </c>
      <c r="E1357" s="3" t="s">
        <v>376</v>
      </c>
      <c r="F1357" s="3">
        <v>5</v>
      </c>
      <c r="G1357" s="3">
        <v>0</v>
      </c>
      <c r="H1357" s="1">
        <f>VLOOKUP(D1357,products!A:D,4,FALSE)</f>
        <v>78000</v>
      </c>
      <c r="I1357" s="1" t="str">
        <f>VLOOKUP(C1357,branches!A:B,2,FALSE)</f>
        <v>Naija Mart Ikeja</v>
      </c>
      <c r="J1357" s="1">
        <f t="shared" si="42"/>
        <v>390000</v>
      </c>
      <c r="K1357" s="1" t="str">
        <f>VLOOKUP(D1357,products!A:D,2,FALSE)</f>
        <v>Electronics</v>
      </c>
      <c r="L1357" s="1" t="str">
        <f t="shared" si="43"/>
        <v>Oct-2025</v>
      </c>
    </row>
    <row r="1358" spans="1:12" x14ac:dyDescent="0.25">
      <c r="A1358" s="3" t="s">
        <v>1604</v>
      </c>
      <c r="B1358" s="6">
        <v>45825</v>
      </c>
      <c r="C1358" s="3" t="s">
        <v>16</v>
      </c>
      <c r="D1358" s="3" t="s">
        <v>43</v>
      </c>
      <c r="E1358" s="3" t="s">
        <v>209</v>
      </c>
      <c r="F1358" s="3">
        <v>2</v>
      </c>
      <c r="G1358" s="3">
        <v>0</v>
      </c>
      <c r="H1358" s="1">
        <f>VLOOKUP(D1358,products!A:D,4,FALSE)</f>
        <v>74000</v>
      </c>
      <c r="I1358" s="1" t="str">
        <f>VLOOKUP(C1358,branches!A:B,2,FALSE)</f>
        <v>Naija Mart Ikeja</v>
      </c>
      <c r="J1358" s="1">
        <f t="shared" si="42"/>
        <v>148000</v>
      </c>
      <c r="K1358" s="1" t="str">
        <f>VLOOKUP(D1358,products!A:D,2,FALSE)</f>
        <v>Home Appliances</v>
      </c>
      <c r="L1358" s="1" t="str">
        <f t="shared" si="43"/>
        <v>Jun-2025</v>
      </c>
    </row>
    <row r="1359" spans="1:12" x14ac:dyDescent="0.25">
      <c r="A1359" s="3" t="s">
        <v>1605</v>
      </c>
      <c r="B1359" s="6">
        <v>45774</v>
      </c>
      <c r="C1359" s="3" t="s">
        <v>16</v>
      </c>
      <c r="D1359" s="3" t="s">
        <v>37</v>
      </c>
      <c r="E1359" s="3" t="s">
        <v>387</v>
      </c>
      <c r="F1359" s="3">
        <v>1</v>
      </c>
      <c r="G1359" s="3">
        <v>0</v>
      </c>
      <c r="H1359" s="1">
        <f>VLOOKUP(D1359,products!A:D,4,FALSE)</f>
        <v>8500</v>
      </c>
      <c r="I1359" s="1" t="str">
        <f>VLOOKUP(C1359,branches!A:B,2,FALSE)</f>
        <v>Naija Mart Ikeja</v>
      </c>
      <c r="J1359" s="1">
        <f t="shared" si="42"/>
        <v>8500</v>
      </c>
      <c r="K1359" s="1" t="str">
        <f>VLOOKUP(D1359,products!A:D,2,FALSE)</f>
        <v>Small Gadgets</v>
      </c>
      <c r="L1359" s="1" t="str">
        <f t="shared" si="43"/>
        <v>Apr-2025</v>
      </c>
    </row>
    <row r="1360" spans="1:12" x14ac:dyDescent="0.25">
      <c r="A1360" s="3" t="s">
        <v>1606</v>
      </c>
      <c r="B1360" s="6">
        <v>45938</v>
      </c>
      <c r="C1360" s="3" t="s">
        <v>16</v>
      </c>
      <c r="D1360" s="3" t="s">
        <v>17</v>
      </c>
      <c r="E1360" s="3" t="s">
        <v>623</v>
      </c>
      <c r="F1360" s="3">
        <v>1</v>
      </c>
      <c r="G1360" s="3">
        <v>0</v>
      </c>
      <c r="H1360" s="1">
        <f>VLOOKUP(D1360,products!A:D,4,FALSE)</f>
        <v>22000</v>
      </c>
      <c r="I1360" s="1" t="str">
        <f>VLOOKUP(C1360,branches!A:B,2,FALSE)</f>
        <v>Naija Mart Ikeja</v>
      </c>
      <c r="J1360" s="1">
        <f t="shared" si="42"/>
        <v>22000</v>
      </c>
      <c r="K1360" s="1" t="str">
        <f>VLOOKUP(D1360,products!A:D,2,FALSE)</f>
        <v>Home Appliances</v>
      </c>
      <c r="L1360" s="1" t="str">
        <f t="shared" si="43"/>
        <v>Oct-2025</v>
      </c>
    </row>
    <row r="1361" spans="1:12" x14ac:dyDescent="0.25">
      <c r="A1361" s="3" t="s">
        <v>1607</v>
      </c>
      <c r="B1361" s="6">
        <v>46018</v>
      </c>
      <c r="C1361" s="3" t="s">
        <v>16</v>
      </c>
      <c r="D1361" s="3" t="s">
        <v>26</v>
      </c>
      <c r="E1361" s="3" t="s">
        <v>766</v>
      </c>
      <c r="F1361" s="3">
        <v>1</v>
      </c>
      <c r="G1361" s="3">
        <v>5</v>
      </c>
      <c r="H1361" s="1">
        <f>VLOOKUP(D1361,products!A:D,4,FALSE)</f>
        <v>145000</v>
      </c>
      <c r="I1361" s="1" t="str">
        <f>VLOOKUP(C1361,branches!A:B,2,FALSE)</f>
        <v>Naija Mart Ikeja</v>
      </c>
      <c r="J1361" s="1">
        <f t="shared" si="42"/>
        <v>137750</v>
      </c>
      <c r="K1361" s="1" t="str">
        <f>VLOOKUP(D1361,products!A:D,2,FALSE)</f>
        <v>Electronics</v>
      </c>
      <c r="L1361" s="1" t="str">
        <f t="shared" si="43"/>
        <v>Dec-2025</v>
      </c>
    </row>
    <row r="1362" spans="1:12" x14ac:dyDescent="0.25">
      <c r="A1362" s="3" t="s">
        <v>1608</v>
      </c>
      <c r="B1362" s="6">
        <v>45674</v>
      </c>
      <c r="C1362" s="3" t="s">
        <v>36</v>
      </c>
      <c r="D1362" s="3" t="s">
        <v>149</v>
      </c>
      <c r="E1362" s="3" t="s">
        <v>67</v>
      </c>
      <c r="F1362" s="3">
        <v>1</v>
      </c>
      <c r="G1362" s="3">
        <v>0</v>
      </c>
      <c r="H1362" s="1">
        <f>VLOOKUP(D1362,products!A:D,4,FALSE)</f>
        <v>6500</v>
      </c>
      <c r="I1362" s="1" t="str">
        <f>VLOOKUP(C1362,branches!A:B,2,FALSE)</f>
        <v>Naija Mart Sabon Gari</v>
      </c>
      <c r="J1362" s="1">
        <f t="shared" si="42"/>
        <v>6500</v>
      </c>
      <c r="K1362" s="1" t="str">
        <f>VLOOKUP(D1362,products!A:D,2,FALSE)</f>
        <v>Small Gadgets</v>
      </c>
      <c r="L1362" s="1" t="str">
        <f t="shared" si="43"/>
        <v>Jan-2025</v>
      </c>
    </row>
    <row r="1363" spans="1:12" x14ac:dyDescent="0.25">
      <c r="A1363" s="3" t="s">
        <v>1609</v>
      </c>
      <c r="B1363" s="6">
        <v>45778</v>
      </c>
      <c r="C1363" s="3" t="s">
        <v>16</v>
      </c>
      <c r="D1363" s="3" t="s">
        <v>56</v>
      </c>
      <c r="E1363" s="3" t="s">
        <v>526</v>
      </c>
      <c r="F1363" s="3">
        <v>3</v>
      </c>
      <c r="G1363" s="3">
        <v>0</v>
      </c>
      <c r="H1363" s="1">
        <f>VLOOKUP(D1363,products!A:D,4,FALSE)</f>
        <v>285000</v>
      </c>
      <c r="I1363" s="1" t="str">
        <f>VLOOKUP(C1363,branches!A:B,2,FALSE)</f>
        <v>Naija Mart Ikeja</v>
      </c>
      <c r="J1363" s="1">
        <f t="shared" si="42"/>
        <v>855000</v>
      </c>
      <c r="K1363" s="1" t="str">
        <f>VLOOKUP(D1363,products!A:D,2,FALSE)</f>
        <v>Home Appliances</v>
      </c>
      <c r="L1363" s="1" t="str">
        <f t="shared" si="43"/>
        <v>May-2025</v>
      </c>
    </row>
    <row r="1364" spans="1:12" x14ac:dyDescent="0.25">
      <c r="A1364" s="3" t="s">
        <v>1610</v>
      </c>
      <c r="B1364" s="6">
        <v>45943</v>
      </c>
      <c r="C1364" s="3" t="s">
        <v>16</v>
      </c>
      <c r="D1364" s="3" t="s">
        <v>20</v>
      </c>
      <c r="E1364" s="3" t="s">
        <v>159</v>
      </c>
      <c r="F1364" s="3">
        <v>1</v>
      </c>
      <c r="G1364" s="3">
        <v>5</v>
      </c>
      <c r="H1364" s="1">
        <f>VLOOKUP(D1364,products!A:D,4,FALSE)</f>
        <v>38000</v>
      </c>
      <c r="I1364" s="1" t="str">
        <f>VLOOKUP(C1364,branches!A:B,2,FALSE)</f>
        <v>Naija Mart Ikeja</v>
      </c>
      <c r="J1364" s="1">
        <f t="shared" si="42"/>
        <v>36100</v>
      </c>
      <c r="K1364" s="1" t="str">
        <f>VLOOKUP(D1364,products!A:D,2,FALSE)</f>
        <v>Electronics</v>
      </c>
      <c r="L1364" s="1" t="str">
        <f t="shared" si="43"/>
        <v>Oct-2025</v>
      </c>
    </row>
    <row r="1365" spans="1:12" x14ac:dyDescent="0.25">
      <c r="A1365" s="3" t="s">
        <v>1611</v>
      </c>
      <c r="B1365" s="6">
        <v>45943</v>
      </c>
      <c r="C1365" s="3" t="s">
        <v>12</v>
      </c>
      <c r="D1365" s="3" t="s">
        <v>149</v>
      </c>
      <c r="E1365" s="3" t="s">
        <v>335</v>
      </c>
      <c r="F1365" s="3">
        <v>2</v>
      </c>
      <c r="G1365" s="3">
        <v>0</v>
      </c>
      <c r="H1365" s="1">
        <f>VLOOKUP(D1365,products!A:D,4,FALSE)</f>
        <v>6500</v>
      </c>
      <c r="I1365" s="1" t="str">
        <f>VLOOKUP(C1365,branches!A:B,2,FALSE)</f>
        <v>Naija Mart Wuse</v>
      </c>
      <c r="J1365" s="1">
        <f t="shared" si="42"/>
        <v>13000</v>
      </c>
      <c r="K1365" s="1" t="str">
        <f>VLOOKUP(D1365,products!A:D,2,FALSE)</f>
        <v>Small Gadgets</v>
      </c>
      <c r="L1365" s="1" t="str">
        <f t="shared" si="43"/>
        <v>Oct-2025</v>
      </c>
    </row>
    <row r="1366" spans="1:12" x14ac:dyDescent="0.25">
      <c r="A1366" s="3" t="s">
        <v>1612</v>
      </c>
      <c r="B1366" s="6">
        <v>45843</v>
      </c>
      <c r="C1366" s="3" t="s">
        <v>16</v>
      </c>
      <c r="D1366" s="3" t="s">
        <v>40</v>
      </c>
      <c r="E1366" s="3" t="s">
        <v>351</v>
      </c>
      <c r="F1366" s="3">
        <v>1</v>
      </c>
      <c r="G1366" s="3">
        <v>0</v>
      </c>
      <c r="H1366" s="1">
        <f>VLOOKUP(D1366,products!A:D,4,FALSE)</f>
        <v>195000</v>
      </c>
      <c r="I1366" s="1" t="str">
        <f>VLOOKUP(C1366,branches!A:B,2,FALSE)</f>
        <v>Naija Mart Ikeja</v>
      </c>
      <c r="J1366" s="1">
        <f t="shared" si="42"/>
        <v>195000</v>
      </c>
      <c r="K1366" s="1" t="str">
        <f>VLOOKUP(D1366,products!A:D,2,FALSE)</f>
        <v>Generators &amp; Power</v>
      </c>
      <c r="L1366" s="1" t="str">
        <f t="shared" si="43"/>
        <v>Jul-2025</v>
      </c>
    </row>
    <row r="1367" spans="1:12" x14ac:dyDescent="0.25">
      <c r="A1367" s="3" t="s">
        <v>1613</v>
      </c>
      <c r="B1367" s="6">
        <v>45765</v>
      </c>
      <c r="C1367" s="3" t="s">
        <v>8</v>
      </c>
      <c r="D1367" s="3" t="s">
        <v>94</v>
      </c>
      <c r="E1367" s="3" t="s">
        <v>38</v>
      </c>
      <c r="F1367" s="3">
        <v>2</v>
      </c>
      <c r="G1367" s="3">
        <v>0</v>
      </c>
      <c r="H1367" s="1">
        <f>VLOOKUP(D1367,products!A:D,4,FALSE)</f>
        <v>320000</v>
      </c>
      <c r="I1367" s="1" t="str">
        <f>VLOOKUP(C1367,branches!A:B,2,FALSE)</f>
        <v>Naija Mart GRA</v>
      </c>
      <c r="J1367" s="1">
        <f t="shared" si="42"/>
        <v>640000</v>
      </c>
      <c r="K1367" s="1" t="str">
        <f>VLOOKUP(D1367,products!A:D,2,FALSE)</f>
        <v>Electronics</v>
      </c>
      <c r="L1367" s="1" t="str">
        <f t="shared" si="43"/>
        <v>Apr-2025</v>
      </c>
    </row>
    <row r="1368" spans="1:12" x14ac:dyDescent="0.25">
      <c r="A1368" s="3" t="s">
        <v>1614</v>
      </c>
      <c r="B1368" s="6">
        <v>45883</v>
      </c>
      <c r="C1368" s="3" t="s">
        <v>16</v>
      </c>
      <c r="D1368" s="3" t="s">
        <v>149</v>
      </c>
      <c r="E1368" s="3" t="s">
        <v>18</v>
      </c>
      <c r="F1368" s="3">
        <v>2</v>
      </c>
      <c r="G1368" s="3">
        <v>0</v>
      </c>
      <c r="H1368" s="1">
        <f>VLOOKUP(D1368,products!A:D,4,FALSE)</f>
        <v>6500</v>
      </c>
      <c r="I1368" s="1" t="str">
        <f>VLOOKUP(C1368,branches!A:B,2,FALSE)</f>
        <v>Naija Mart Ikeja</v>
      </c>
      <c r="J1368" s="1">
        <f t="shared" si="42"/>
        <v>13000</v>
      </c>
      <c r="K1368" s="1" t="str">
        <f>VLOOKUP(D1368,products!A:D,2,FALSE)</f>
        <v>Small Gadgets</v>
      </c>
      <c r="L1368" s="1" t="str">
        <f t="shared" si="43"/>
        <v>Aug-2025</v>
      </c>
    </row>
    <row r="1369" spans="1:12" x14ac:dyDescent="0.25">
      <c r="A1369" s="3" t="s">
        <v>1615</v>
      </c>
      <c r="B1369" s="6">
        <v>45891</v>
      </c>
      <c r="C1369" s="3" t="s">
        <v>16</v>
      </c>
      <c r="D1369" s="3" t="s">
        <v>126</v>
      </c>
      <c r="E1369" s="3" t="s">
        <v>165</v>
      </c>
      <c r="F1369" s="3">
        <v>1</v>
      </c>
      <c r="G1369" s="3">
        <v>5</v>
      </c>
      <c r="H1369" s="1">
        <f>VLOOKUP(D1369,products!A:D,4,FALSE)</f>
        <v>185000</v>
      </c>
      <c r="I1369" s="1" t="str">
        <f>VLOOKUP(C1369,branches!A:B,2,FALSE)</f>
        <v>Naija Mart Ikeja</v>
      </c>
      <c r="J1369" s="1">
        <f t="shared" si="42"/>
        <v>175750</v>
      </c>
      <c r="K1369" s="1" t="str">
        <f>VLOOKUP(D1369,products!A:D,2,FALSE)</f>
        <v>Electronics</v>
      </c>
      <c r="L1369" s="1" t="str">
        <f t="shared" si="43"/>
        <v>Aug-2025</v>
      </c>
    </row>
    <row r="1370" spans="1:12" x14ac:dyDescent="0.25">
      <c r="A1370" s="3" t="s">
        <v>1616</v>
      </c>
      <c r="B1370" s="6">
        <v>45737</v>
      </c>
      <c r="C1370" s="3" t="s">
        <v>16</v>
      </c>
      <c r="D1370" s="3" t="s">
        <v>23</v>
      </c>
      <c r="E1370" s="3" t="s">
        <v>122</v>
      </c>
      <c r="F1370" s="3">
        <v>3</v>
      </c>
      <c r="G1370" s="3">
        <v>0</v>
      </c>
      <c r="H1370" s="1">
        <f>VLOOKUP(D1370,products!A:D,4,FALSE)</f>
        <v>19500</v>
      </c>
      <c r="I1370" s="1" t="str">
        <f>VLOOKUP(C1370,branches!A:B,2,FALSE)</f>
        <v>Naija Mart Ikeja</v>
      </c>
      <c r="J1370" s="1">
        <f t="shared" si="42"/>
        <v>58500</v>
      </c>
      <c r="K1370" s="1" t="str">
        <f>VLOOKUP(D1370,products!A:D,2,FALSE)</f>
        <v>Home Appliances</v>
      </c>
      <c r="L1370" s="1" t="str">
        <f t="shared" si="43"/>
        <v>Mar-2025</v>
      </c>
    </row>
    <row r="1371" spans="1:12" x14ac:dyDescent="0.25">
      <c r="A1371" s="3" t="s">
        <v>1617</v>
      </c>
      <c r="B1371" s="6">
        <v>45831</v>
      </c>
      <c r="C1371" s="3" t="s">
        <v>16</v>
      </c>
      <c r="D1371" s="3" t="s">
        <v>40</v>
      </c>
      <c r="E1371" s="3" t="s">
        <v>18</v>
      </c>
      <c r="F1371" s="3">
        <v>2</v>
      </c>
      <c r="G1371" s="3">
        <v>0</v>
      </c>
      <c r="H1371" s="1">
        <f>VLOOKUP(D1371,products!A:D,4,FALSE)</f>
        <v>195000</v>
      </c>
      <c r="I1371" s="1" t="str">
        <f>VLOOKUP(C1371,branches!A:B,2,FALSE)</f>
        <v>Naija Mart Ikeja</v>
      </c>
      <c r="J1371" s="1">
        <f t="shared" si="42"/>
        <v>390000</v>
      </c>
      <c r="K1371" s="1" t="str">
        <f>VLOOKUP(D1371,products!A:D,2,FALSE)</f>
        <v>Generators &amp; Power</v>
      </c>
      <c r="L1371" s="1" t="str">
        <f t="shared" si="43"/>
        <v>Jun-2025</v>
      </c>
    </row>
    <row r="1372" spans="1:12" x14ac:dyDescent="0.25">
      <c r="A1372" s="3" t="s">
        <v>1618</v>
      </c>
      <c r="B1372" s="6">
        <v>45976</v>
      </c>
      <c r="C1372" s="3" t="s">
        <v>36</v>
      </c>
      <c r="D1372" s="3" t="s">
        <v>17</v>
      </c>
      <c r="E1372" s="3" t="s">
        <v>367</v>
      </c>
      <c r="F1372" s="3">
        <v>2</v>
      </c>
      <c r="G1372" s="3">
        <v>0</v>
      </c>
      <c r="H1372" s="1">
        <f>VLOOKUP(D1372,products!A:D,4,FALSE)</f>
        <v>22000</v>
      </c>
      <c r="I1372" s="1" t="str">
        <f>VLOOKUP(C1372,branches!A:B,2,FALSE)</f>
        <v>Naija Mart Sabon Gari</v>
      </c>
      <c r="J1372" s="1">
        <f t="shared" si="42"/>
        <v>44000</v>
      </c>
      <c r="K1372" s="1" t="str">
        <f>VLOOKUP(D1372,products!A:D,2,FALSE)</f>
        <v>Home Appliances</v>
      </c>
      <c r="L1372" s="1" t="str">
        <f t="shared" si="43"/>
        <v>Nov-2025</v>
      </c>
    </row>
    <row r="1373" spans="1:12" x14ac:dyDescent="0.25">
      <c r="A1373" s="3" t="s">
        <v>1619</v>
      </c>
      <c r="B1373" s="6">
        <v>45809</v>
      </c>
      <c r="C1373" s="3" t="s">
        <v>8</v>
      </c>
      <c r="D1373" s="3" t="s">
        <v>64</v>
      </c>
      <c r="E1373" s="3" t="s">
        <v>205</v>
      </c>
      <c r="F1373" s="3">
        <v>1</v>
      </c>
      <c r="G1373" s="3">
        <v>0</v>
      </c>
      <c r="H1373" s="1">
        <f>VLOOKUP(D1373,products!A:D,4,FALSE)</f>
        <v>175000</v>
      </c>
      <c r="I1373" s="1" t="str">
        <f>VLOOKUP(C1373,branches!A:B,2,FALSE)</f>
        <v>Naija Mart GRA</v>
      </c>
      <c r="J1373" s="1">
        <f t="shared" si="42"/>
        <v>175000</v>
      </c>
      <c r="K1373" s="1" t="str">
        <f>VLOOKUP(D1373,products!A:D,2,FALSE)</f>
        <v>Generators &amp; Power</v>
      </c>
      <c r="L1373" s="1" t="str">
        <f t="shared" si="43"/>
        <v>Jun-2025</v>
      </c>
    </row>
    <row r="1374" spans="1:12" x14ac:dyDescent="0.25">
      <c r="A1374" s="3" t="s">
        <v>1620</v>
      </c>
      <c r="B1374" s="6">
        <v>45674</v>
      </c>
      <c r="C1374" s="3" t="s">
        <v>16</v>
      </c>
      <c r="D1374" s="3" t="s">
        <v>37</v>
      </c>
      <c r="E1374" s="3" t="s">
        <v>715</v>
      </c>
      <c r="F1374" s="3">
        <v>1</v>
      </c>
      <c r="G1374" s="3">
        <v>0</v>
      </c>
      <c r="H1374" s="1">
        <f>VLOOKUP(D1374,products!A:D,4,FALSE)</f>
        <v>8500</v>
      </c>
      <c r="I1374" s="1" t="str">
        <f>VLOOKUP(C1374,branches!A:B,2,FALSE)</f>
        <v>Naija Mart Ikeja</v>
      </c>
      <c r="J1374" s="1">
        <f t="shared" si="42"/>
        <v>8500</v>
      </c>
      <c r="K1374" s="1" t="str">
        <f>VLOOKUP(D1374,products!A:D,2,FALSE)</f>
        <v>Small Gadgets</v>
      </c>
      <c r="L1374" s="1" t="str">
        <f t="shared" si="43"/>
        <v>Jan-2025</v>
      </c>
    </row>
    <row r="1375" spans="1:12" x14ac:dyDescent="0.25">
      <c r="A1375" s="3" t="s">
        <v>1621</v>
      </c>
      <c r="B1375" s="6">
        <v>45753</v>
      </c>
      <c r="C1375" s="3" t="s">
        <v>16</v>
      </c>
      <c r="D1375" s="3" t="s">
        <v>13</v>
      </c>
      <c r="E1375" s="3" t="s">
        <v>104</v>
      </c>
      <c r="F1375" s="3">
        <v>1</v>
      </c>
      <c r="G1375" s="3">
        <v>0</v>
      </c>
      <c r="H1375" s="1">
        <f>VLOOKUP(D1375,products!A:D,4,FALSE)</f>
        <v>24000</v>
      </c>
      <c r="I1375" s="1" t="str">
        <f>VLOOKUP(C1375,branches!A:B,2,FALSE)</f>
        <v>Naija Mart Ikeja</v>
      </c>
      <c r="J1375" s="1">
        <f t="shared" si="42"/>
        <v>24000</v>
      </c>
      <c r="K1375" s="1" t="str">
        <f>VLOOKUP(D1375,products!A:D,2,FALSE)</f>
        <v>Home Appliances</v>
      </c>
      <c r="L1375" s="1" t="str">
        <f t="shared" si="43"/>
        <v>Apr-2025</v>
      </c>
    </row>
    <row r="1376" spans="1:12" x14ac:dyDescent="0.25">
      <c r="A1376" s="3" t="s">
        <v>1622</v>
      </c>
      <c r="B1376" s="6">
        <v>46019</v>
      </c>
      <c r="C1376" s="3" t="s">
        <v>16</v>
      </c>
      <c r="D1376" s="3" t="s">
        <v>9</v>
      </c>
      <c r="E1376" s="3" t="s">
        <v>868</v>
      </c>
      <c r="F1376" s="3">
        <v>2</v>
      </c>
      <c r="G1376" s="3">
        <v>0</v>
      </c>
      <c r="H1376" s="1">
        <f>VLOOKUP(D1376,products!A:D,4,FALSE)</f>
        <v>410000</v>
      </c>
      <c r="I1376" s="1" t="str">
        <f>VLOOKUP(C1376,branches!A:B,2,FALSE)</f>
        <v>Naija Mart Ikeja</v>
      </c>
      <c r="J1376" s="1">
        <f t="shared" si="42"/>
        <v>820000</v>
      </c>
      <c r="K1376" s="1" t="str">
        <f>VLOOKUP(D1376,products!A:D,2,FALSE)</f>
        <v>Home Appliances</v>
      </c>
      <c r="L1376" s="1" t="str">
        <f t="shared" si="43"/>
        <v>Dec-2025</v>
      </c>
    </row>
    <row r="1377" spans="1:12" x14ac:dyDescent="0.25">
      <c r="A1377" s="3" t="s">
        <v>1623</v>
      </c>
      <c r="B1377" s="6">
        <v>45680</v>
      </c>
      <c r="C1377" s="3" t="s">
        <v>12</v>
      </c>
      <c r="D1377" s="3" t="s">
        <v>97</v>
      </c>
      <c r="E1377" s="3" t="s">
        <v>147</v>
      </c>
      <c r="F1377" s="3">
        <v>1</v>
      </c>
      <c r="G1377" s="3">
        <v>15</v>
      </c>
      <c r="H1377" s="1">
        <f>VLOOKUP(D1377,products!A:D,4,FALSE)</f>
        <v>21000</v>
      </c>
      <c r="I1377" s="1" t="str">
        <f>VLOOKUP(C1377,branches!A:B,2,FALSE)</f>
        <v>Naija Mart Wuse</v>
      </c>
      <c r="J1377" s="1">
        <f t="shared" si="42"/>
        <v>17850</v>
      </c>
      <c r="K1377" s="1" t="str">
        <f>VLOOKUP(D1377,products!A:D,2,FALSE)</f>
        <v>Small Gadgets</v>
      </c>
      <c r="L1377" s="1" t="str">
        <f t="shared" si="43"/>
        <v>Jan-2025</v>
      </c>
    </row>
    <row r="1378" spans="1:12" x14ac:dyDescent="0.25">
      <c r="A1378" s="3" t="s">
        <v>1624</v>
      </c>
      <c r="B1378" s="6">
        <v>45941</v>
      </c>
      <c r="C1378" s="3" t="s">
        <v>36</v>
      </c>
      <c r="D1378" s="3" t="s">
        <v>49</v>
      </c>
      <c r="E1378" s="3" t="s">
        <v>54</v>
      </c>
      <c r="F1378" s="3">
        <v>1</v>
      </c>
      <c r="G1378" s="3">
        <v>10</v>
      </c>
      <c r="H1378" s="1">
        <f>VLOOKUP(D1378,products!A:D,4,FALSE)</f>
        <v>28000</v>
      </c>
      <c r="I1378" s="1" t="str">
        <f>VLOOKUP(C1378,branches!A:B,2,FALSE)</f>
        <v>Naija Mart Sabon Gari</v>
      </c>
      <c r="J1378" s="1">
        <f t="shared" si="42"/>
        <v>25200</v>
      </c>
      <c r="K1378" s="1" t="str">
        <f>VLOOKUP(D1378,products!A:D,2,FALSE)</f>
        <v>Home Appliances</v>
      </c>
      <c r="L1378" s="1" t="str">
        <f t="shared" si="43"/>
        <v>Oct-2025</v>
      </c>
    </row>
    <row r="1379" spans="1:12" x14ac:dyDescent="0.25">
      <c r="A1379" s="3" t="s">
        <v>1625</v>
      </c>
      <c r="B1379" s="6">
        <v>45983</v>
      </c>
      <c r="C1379" s="3" t="s">
        <v>16</v>
      </c>
      <c r="D1379" s="3" t="s">
        <v>91</v>
      </c>
      <c r="E1379" s="3" t="s">
        <v>324</v>
      </c>
      <c r="F1379" s="3">
        <v>1</v>
      </c>
      <c r="G1379" s="3">
        <v>10</v>
      </c>
      <c r="H1379" s="1">
        <f>VLOOKUP(D1379,products!A:D,4,FALSE)</f>
        <v>5200</v>
      </c>
      <c r="I1379" s="1" t="str">
        <f>VLOOKUP(C1379,branches!A:B,2,FALSE)</f>
        <v>Naija Mart Ikeja</v>
      </c>
      <c r="J1379" s="1">
        <f t="shared" si="42"/>
        <v>4680</v>
      </c>
      <c r="K1379" s="1" t="str">
        <f>VLOOKUP(D1379,products!A:D,2,FALSE)</f>
        <v>Small Gadgets</v>
      </c>
      <c r="L1379" s="1" t="str">
        <f t="shared" si="43"/>
        <v>Nov-2025</v>
      </c>
    </row>
    <row r="1380" spans="1:12" x14ac:dyDescent="0.25">
      <c r="A1380" s="3" t="s">
        <v>1626</v>
      </c>
      <c r="B1380" s="6">
        <v>45859</v>
      </c>
      <c r="C1380" s="3" t="s">
        <v>16</v>
      </c>
      <c r="D1380" s="3" t="s">
        <v>20</v>
      </c>
      <c r="E1380" s="3" t="s">
        <v>217</v>
      </c>
      <c r="F1380" s="3">
        <v>1</v>
      </c>
      <c r="G1380" s="3">
        <v>5</v>
      </c>
      <c r="H1380" s="1">
        <f>VLOOKUP(D1380,products!A:D,4,FALSE)</f>
        <v>38000</v>
      </c>
      <c r="I1380" s="1" t="str">
        <f>VLOOKUP(C1380,branches!A:B,2,FALSE)</f>
        <v>Naija Mart Ikeja</v>
      </c>
      <c r="J1380" s="1">
        <f t="shared" si="42"/>
        <v>36100</v>
      </c>
      <c r="K1380" s="1" t="str">
        <f>VLOOKUP(D1380,products!A:D,2,FALSE)</f>
        <v>Electronics</v>
      </c>
      <c r="L1380" s="1" t="str">
        <f t="shared" si="43"/>
        <v>Jul-2025</v>
      </c>
    </row>
    <row r="1381" spans="1:12" x14ac:dyDescent="0.25">
      <c r="A1381" s="3" t="s">
        <v>1627</v>
      </c>
      <c r="B1381" s="6">
        <v>46002</v>
      </c>
      <c r="C1381" s="3" t="s">
        <v>16</v>
      </c>
      <c r="D1381" s="3" t="s">
        <v>91</v>
      </c>
      <c r="E1381" s="3" t="s">
        <v>293</v>
      </c>
      <c r="F1381" s="3">
        <v>1</v>
      </c>
      <c r="G1381" s="3">
        <v>5</v>
      </c>
      <c r="H1381" s="1">
        <f>VLOOKUP(D1381,products!A:D,4,FALSE)</f>
        <v>5200</v>
      </c>
      <c r="I1381" s="1" t="str">
        <f>VLOOKUP(C1381,branches!A:B,2,FALSE)</f>
        <v>Naija Mart Ikeja</v>
      </c>
      <c r="J1381" s="1">
        <f t="shared" si="42"/>
        <v>4940</v>
      </c>
      <c r="K1381" s="1" t="str">
        <f>VLOOKUP(D1381,products!A:D,2,FALSE)</f>
        <v>Small Gadgets</v>
      </c>
      <c r="L1381" s="1" t="str">
        <f t="shared" si="43"/>
        <v>Dec-2025</v>
      </c>
    </row>
    <row r="1382" spans="1:12" x14ac:dyDescent="0.25">
      <c r="A1382" s="3" t="s">
        <v>1628</v>
      </c>
      <c r="B1382" s="6">
        <v>45834</v>
      </c>
      <c r="C1382" s="3" t="s">
        <v>16</v>
      </c>
      <c r="D1382" s="3" t="s">
        <v>46</v>
      </c>
      <c r="E1382" s="3" t="s">
        <v>426</v>
      </c>
      <c r="F1382" s="3">
        <v>2</v>
      </c>
      <c r="G1382" s="3">
        <v>0</v>
      </c>
      <c r="H1382" s="1">
        <f>VLOOKUP(D1382,products!A:D,4,FALSE)</f>
        <v>62000</v>
      </c>
      <c r="I1382" s="1" t="str">
        <f>VLOOKUP(C1382,branches!A:B,2,FALSE)</f>
        <v>Naija Mart Ikeja</v>
      </c>
      <c r="J1382" s="1">
        <f t="shared" si="42"/>
        <v>124000</v>
      </c>
      <c r="K1382" s="1" t="str">
        <f>VLOOKUP(D1382,products!A:D,2,FALSE)</f>
        <v>Home Appliances</v>
      </c>
      <c r="L1382" s="1" t="str">
        <f t="shared" si="43"/>
        <v>Jun-2025</v>
      </c>
    </row>
    <row r="1383" spans="1:12" x14ac:dyDescent="0.25">
      <c r="A1383" s="3" t="s">
        <v>1629</v>
      </c>
      <c r="B1383" s="6">
        <v>45935</v>
      </c>
      <c r="C1383" s="3" t="s">
        <v>8</v>
      </c>
      <c r="D1383" s="3" t="s">
        <v>80</v>
      </c>
      <c r="E1383" s="3" t="s">
        <v>673</v>
      </c>
      <c r="F1383" s="3">
        <v>3</v>
      </c>
      <c r="G1383" s="3">
        <v>0</v>
      </c>
      <c r="H1383" s="1">
        <f>VLOOKUP(D1383,products!A:D,4,FALSE)</f>
        <v>265000</v>
      </c>
      <c r="I1383" s="1" t="str">
        <f>VLOOKUP(C1383,branches!A:B,2,FALSE)</f>
        <v>Naija Mart GRA</v>
      </c>
      <c r="J1383" s="1">
        <f t="shared" si="42"/>
        <v>795000</v>
      </c>
      <c r="K1383" s="1" t="str">
        <f>VLOOKUP(D1383,products!A:D,2,FALSE)</f>
        <v>Home Appliances</v>
      </c>
      <c r="L1383" s="1" t="str">
        <f t="shared" si="43"/>
        <v>Oct-2025</v>
      </c>
    </row>
    <row r="1384" spans="1:12" x14ac:dyDescent="0.25">
      <c r="A1384" s="3" t="s">
        <v>1630</v>
      </c>
      <c r="B1384" s="6">
        <v>45885</v>
      </c>
      <c r="C1384" s="3" t="s">
        <v>36</v>
      </c>
      <c r="D1384" s="3" t="s">
        <v>20</v>
      </c>
      <c r="E1384" s="3" t="s">
        <v>597</v>
      </c>
      <c r="F1384" s="3">
        <v>1</v>
      </c>
      <c r="G1384" s="3">
        <v>0</v>
      </c>
      <c r="H1384" s="1">
        <f>VLOOKUP(D1384,products!A:D,4,FALSE)</f>
        <v>38000</v>
      </c>
      <c r="I1384" s="1" t="str">
        <f>VLOOKUP(C1384,branches!A:B,2,FALSE)</f>
        <v>Naija Mart Sabon Gari</v>
      </c>
      <c r="J1384" s="1">
        <f t="shared" si="42"/>
        <v>38000</v>
      </c>
      <c r="K1384" s="1" t="str">
        <f>VLOOKUP(D1384,products!A:D,2,FALSE)</f>
        <v>Electronics</v>
      </c>
      <c r="L1384" s="1" t="str">
        <f t="shared" si="43"/>
        <v>Aug-2025</v>
      </c>
    </row>
    <row r="1385" spans="1:12" x14ac:dyDescent="0.25">
      <c r="A1385" s="3" t="s">
        <v>1631</v>
      </c>
      <c r="B1385" s="6">
        <v>46019</v>
      </c>
      <c r="C1385" s="3" t="s">
        <v>16</v>
      </c>
      <c r="D1385" s="3" t="s">
        <v>46</v>
      </c>
      <c r="E1385" s="3" t="s">
        <v>519</v>
      </c>
      <c r="F1385" s="3">
        <v>1</v>
      </c>
      <c r="G1385" s="3">
        <v>0</v>
      </c>
      <c r="H1385" s="1">
        <f>VLOOKUP(D1385,products!A:D,4,FALSE)</f>
        <v>62000</v>
      </c>
      <c r="I1385" s="1" t="str">
        <f>VLOOKUP(C1385,branches!A:B,2,FALSE)</f>
        <v>Naija Mart Ikeja</v>
      </c>
      <c r="J1385" s="1">
        <f t="shared" si="42"/>
        <v>62000</v>
      </c>
      <c r="K1385" s="1" t="str">
        <f>VLOOKUP(D1385,products!A:D,2,FALSE)</f>
        <v>Home Appliances</v>
      </c>
      <c r="L1385" s="1" t="str">
        <f t="shared" si="43"/>
        <v>Dec-2025</v>
      </c>
    </row>
    <row r="1386" spans="1:12" x14ac:dyDescent="0.25">
      <c r="A1386" s="3" t="s">
        <v>1632</v>
      </c>
      <c r="B1386" s="6">
        <v>45661</v>
      </c>
      <c r="C1386" s="3" t="s">
        <v>12</v>
      </c>
      <c r="D1386" s="3" t="s">
        <v>97</v>
      </c>
      <c r="E1386" s="3" t="s">
        <v>448</v>
      </c>
      <c r="F1386" s="3">
        <v>1</v>
      </c>
      <c r="G1386" s="3">
        <v>0</v>
      </c>
      <c r="H1386" s="1">
        <f>VLOOKUP(D1386,products!A:D,4,FALSE)</f>
        <v>21000</v>
      </c>
      <c r="I1386" s="1" t="str">
        <f>VLOOKUP(C1386,branches!A:B,2,FALSE)</f>
        <v>Naija Mart Wuse</v>
      </c>
      <c r="J1386" s="1">
        <f t="shared" si="42"/>
        <v>21000</v>
      </c>
      <c r="K1386" s="1" t="str">
        <f>VLOOKUP(D1386,products!A:D,2,FALSE)</f>
        <v>Small Gadgets</v>
      </c>
      <c r="L1386" s="1" t="str">
        <f t="shared" si="43"/>
        <v>Jan-2025</v>
      </c>
    </row>
    <row r="1387" spans="1:12" x14ac:dyDescent="0.25">
      <c r="A1387" s="3" t="s">
        <v>1633</v>
      </c>
      <c r="B1387" s="6">
        <v>45995</v>
      </c>
      <c r="C1387" s="3" t="s">
        <v>16</v>
      </c>
      <c r="D1387" s="3" t="s">
        <v>26</v>
      </c>
      <c r="E1387" s="3" t="s">
        <v>89</v>
      </c>
      <c r="F1387" s="3">
        <v>5</v>
      </c>
      <c r="G1387" s="3">
        <v>0</v>
      </c>
      <c r="H1387" s="1">
        <f>VLOOKUP(D1387,products!A:D,4,FALSE)</f>
        <v>145000</v>
      </c>
      <c r="I1387" s="1" t="str">
        <f>VLOOKUP(C1387,branches!A:B,2,FALSE)</f>
        <v>Naija Mart Ikeja</v>
      </c>
      <c r="J1387" s="1">
        <f t="shared" si="42"/>
        <v>725000</v>
      </c>
      <c r="K1387" s="1" t="str">
        <f>VLOOKUP(D1387,products!A:D,2,FALSE)</f>
        <v>Electronics</v>
      </c>
      <c r="L1387" s="1" t="str">
        <f t="shared" si="43"/>
        <v>Dec-2025</v>
      </c>
    </row>
    <row r="1388" spans="1:12" x14ac:dyDescent="0.25">
      <c r="A1388" s="3" t="s">
        <v>1634</v>
      </c>
      <c r="B1388" s="6">
        <v>45981</v>
      </c>
      <c r="C1388" s="3" t="s">
        <v>36</v>
      </c>
      <c r="D1388" s="3" t="s">
        <v>149</v>
      </c>
      <c r="E1388" s="3" t="s">
        <v>134</v>
      </c>
      <c r="F1388" s="3">
        <v>1</v>
      </c>
      <c r="G1388" s="3">
        <v>0</v>
      </c>
      <c r="H1388" s="1">
        <f>VLOOKUP(D1388,products!A:D,4,FALSE)</f>
        <v>6500</v>
      </c>
      <c r="I1388" s="1" t="str">
        <f>VLOOKUP(C1388,branches!A:B,2,FALSE)</f>
        <v>Naija Mart Sabon Gari</v>
      </c>
      <c r="J1388" s="1">
        <f t="shared" si="42"/>
        <v>6500</v>
      </c>
      <c r="K1388" s="1" t="str">
        <f>VLOOKUP(D1388,products!A:D,2,FALSE)</f>
        <v>Small Gadgets</v>
      </c>
      <c r="L1388" s="1" t="str">
        <f t="shared" si="43"/>
        <v>Nov-2025</v>
      </c>
    </row>
    <row r="1389" spans="1:12" x14ac:dyDescent="0.25">
      <c r="A1389" s="3" t="s">
        <v>1635</v>
      </c>
      <c r="B1389" s="6">
        <v>45885</v>
      </c>
      <c r="C1389" s="3" t="s">
        <v>16</v>
      </c>
      <c r="D1389" s="3" t="s">
        <v>23</v>
      </c>
      <c r="E1389" s="3" t="s">
        <v>376</v>
      </c>
      <c r="F1389" s="3">
        <v>2</v>
      </c>
      <c r="G1389" s="3">
        <v>15</v>
      </c>
      <c r="H1389" s="1">
        <f>VLOOKUP(D1389,products!A:D,4,FALSE)</f>
        <v>19500</v>
      </c>
      <c r="I1389" s="1" t="str">
        <f>VLOOKUP(C1389,branches!A:B,2,FALSE)</f>
        <v>Naija Mart Ikeja</v>
      </c>
      <c r="J1389" s="1">
        <f t="shared" si="42"/>
        <v>33150</v>
      </c>
      <c r="K1389" s="1" t="str">
        <f>VLOOKUP(D1389,products!A:D,2,FALSE)</f>
        <v>Home Appliances</v>
      </c>
      <c r="L1389" s="1" t="str">
        <f t="shared" si="43"/>
        <v>Aug-2025</v>
      </c>
    </row>
    <row r="1390" spans="1:12" x14ac:dyDescent="0.25">
      <c r="A1390" s="3" t="s">
        <v>1636</v>
      </c>
      <c r="B1390" s="6">
        <v>45794</v>
      </c>
      <c r="C1390" s="3" t="s">
        <v>36</v>
      </c>
      <c r="D1390" s="3" t="s">
        <v>17</v>
      </c>
      <c r="E1390" s="3" t="s">
        <v>245</v>
      </c>
      <c r="F1390" s="3">
        <v>1</v>
      </c>
      <c r="G1390" s="3">
        <v>0</v>
      </c>
      <c r="H1390" s="1">
        <f>VLOOKUP(D1390,products!A:D,4,FALSE)</f>
        <v>22000</v>
      </c>
      <c r="I1390" s="1" t="str">
        <f>VLOOKUP(C1390,branches!A:B,2,FALSE)</f>
        <v>Naija Mart Sabon Gari</v>
      </c>
      <c r="J1390" s="1">
        <f t="shared" si="42"/>
        <v>22000</v>
      </c>
      <c r="K1390" s="1" t="str">
        <f>VLOOKUP(D1390,products!A:D,2,FALSE)</f>
        <v>Home Appliances</v>
      </c>
      <c r="L1390" s="1" t="str">
        <f t="shared" si="43"/>
        <v>May-2025</v>
      </c>
    </row>
    <row r="1391" spans="1:12" x14ac:dyDescent="0.25">
      <c r="A1391" s="3" t="s">
        <v>1637</v>
      </c>
      <c r="B1391" s="6">
        <v>45767</v>
      </c>
      <c r="C1391" s="3" t="s">
        <v>16</v>
      </c>
      <c r="D1391" s="3" t="s">
        <v>197</v>
      </c>
      <c r="E1391" s="3" t="s">
        <v>351</v>
      </c>
      <c r="F1391" s="3">
        <v>1</v>
      </c>
      <c r="G1391" s="3">
        <v>0</v>
      </c>
      <c r="H1391" s="1">
        <f>VLOOKUP(D1391,products!A:D,4,FALSE)</f>
        <v>78000</v>
      </c>
      <c r="I1391" s="1" t="str">
        <f>VLOOKUP(C1391,branches!A:B,2,FALSE)</f>
        <v>Naija Mart Ikeja</v>
      </c>
      <c r="J1391" s="1">
        <f t="shared" si="42"/>
        <v>78000</v>
      </c>
      <c r="K1391" s="1" t="str">
        <f>VLOOKUP(D1391,products!A:D,2,FALSE)</f>
        <v>Electronics</v>
      </c>
      <c r="L1391" s="1" t="str">
        <f t="shared" si="43"/>
        <v>Apr-2025</v>
      </c>
    </row>
    <row r="1392" spans="1:12" x14ac:dyDescent="0.25">
      <c r="A1392" s="3" t="s">
        <v>1638</v>
      </c>
      <c r="B1392" s="6">
        <v>45896</v>
      </c>
      <c r="C1392" s="3" t="s">
        <v>16</v>
      </c>
      <c r="D1392" s="3" t="s">
        <v>43</v>
      </c>
      <c r="E1392" s="3" t="s">
        <v>87</v>
      </c>
      <c r="F1392" s="3">
        <v>1</v>
      </c>
      <c r="G1392" s="3">
        <v>0</v>
      </c>
      <c r="H1392" s="1">
        <f>VLOOKUP(D1392,products!A:D,4,FALSE)</f>
        <v>74000</v>
      </c>
      <c r="I1392" s="1" t="str">
        <f>VLOOKUP(C1392,branches!A:B,2,FALSE)</f>
        <v>Naija Mart Ikeja</v>
      </c>
      <c r="J1392" s="1">
        <f t="shared" si="42"/>
        <v>74000</v>
      </c>
      <c r="K1392" s="1" t="str">
        <f>VLOOKUP(D1392,products!A:D,2,FALSE)</f>
        <v>Home Appliances</v>
      </c>
      <c r="L1392" s="1" t="str">
        <f t="shared" si="43"/>
        <v>Aug-2025</v>
      </c>
    </row>
    <row r="1393" spans="1:12" x14ac:dyDescent="0.25">
      <c r="A1393" s="3" t="s">
        <v>1639</v>
      </c>
      <c r="B1393" s="6">
        <v>45826</v>
      </c>
      <c r="C1393" s="3" t="s">
        <v>8</v>
      </c>
      <c r="D1393" s="3" t="s">
        <v>43</v>
      </c>
      <c r="E1393" s="3" t="s">
        <v>284</v>
      </c>
      <c r="F1393" s="3">
        <v>1</v>
      </c>
      <c r="G1393" s="3">
        <v>0</v>
      </c>
      <c r="H1393" s="1">
        <f>VLOOKUP(D1393,products!A:D,4,FALSE)</f>
        <v>74000</v>
      </c>
      <c r="I1393" s="1" t="str">
        <f>VLOOKUP(C1393,branches!A:B,2,FALSE)</f>
        <v>Naija Mart GRA</v>
      </c>
      <c r="J1393" s="1">
        <f t="shared" si="42"/>
        <v>74000</v>
      </c>
      <c r="K1393" s="1" t="str">
        <f>VLOOKUP(D1393,products!A:D,2,FALSE)</f>
        <v>Home Appliances</v>
      </c>
      <c r="L1393" s="1" t="str">
        <f t="shared" si="43"/>
        <v>Jun-2025</v>
      </c>
    </row>
    <row r="1394" spans="1:12" x14ac:dyDescent="0.25">
      <c r="A1394" s="3" t="s">
        <v>1640</v>
      </c>
      <c r="B1394" s="6">
        <v>45748</v>
      </c>
      <c r="C1394" s="3" t="s">
        <v>16</v>
      </c>
      <c r="D1394" s="3" t="s">
        <v>56</v>
      </c>
      <c r="E1394" s="3" t="s">
        <v>302</v>
      </c>
      <c r="F1394" s="3">
        <v>1</v>
      </c>
      <c r="G1394" s="3">
        <v>0</v>
      </c>
      <c r="H1394" s="1">
        <f>VLOOKUP(D1394,products!A:D,4,FALSE)</f>
        <v>285000</v>
      </c>
      <c r="I1394" s="1" t="str">
        <f>VLOOKUP(C1394,branches!A:B,2,FALSE)</f>
        <v>Naija Mart Ikeja</v>
      </c>
      <c r="J1394" s="1">
        <f t="shared" si="42"/>
        <v>285000</v>
      </c>
      <c r="K1394" s="1" t="str">
        <f>VLOOKUP(D1394,products!A:D,2,FALSE)</f>
        <v>Home Appliances</v>
      </c>
      <c r="L1394" s="1" t="str">
        <f t="shared" si="43"/>
        <v>Apr-2025</v>
      </c>
    </row>
    <row r="1395" spans="1:12" x14ac:dyDescent="0.25">
      <c r="A1395" s="3" t="s">
        <v>1641</v>
      </c>
      <c r="B1395" s="6">
        <v>45820</v>
      </c>
      <c r="C1395" s="3" t="s">
        <v>12</v>
      </c>
      <c r="D1395" s="3" t="s">
        <v>149</v>
      </c>
      <c r="E1395" s="3" t="s">
        <v>783</v>
      </c>
      <c r="F1395" s="3">
        <v>1</v>
      </c>
      <c r="G1395" s="3">
        <v>10</v>
      </c>
      <c r="H1395" s="1">
        <f>VLOOKUP(D1395,products!A:D,4,FALSE)</f>
        <v>6500</v>
      </c>
      <c r="I1395" s="1" t="str">
        <f>VLOOKUP(C1395,branches!A:B,2,FALSE)</f>
        <v>Naija Mart Wuse</v>
      </c>
      <c r="J1395" s="1">
        <f t="shared" si="42"/>
        <v>5850</v>
      </c>
      <c r="K1395" s="1" t="str">
        <f>VLOOKUP(D1395,products!A:D,2,FALSE)</f>
        <v>Small Gadgets</v>
      </c>
      <c r="L1395" s="1" t="str">
        <f t="shared" si="43"/>
        <v>Jun-2025</v>
      </c>
    </row>
    <row r="1396" spans="1:12" x14ac:dyDescent="0.25">
      <c r="A1396" s="3" t="s">
        <v>1642</v>
      </c>
      <c r="B1396" s="6">
        <v>45984</v>
      </c>
      <c r="C1396" s="3" t="s">
        <v>8</v>
      </c>
      <c r="D1396" s="3" t="s">
        <v>17</v>
      </c>
      <c r="E1396" s="3" t="s">
        <v>360</v>
      </c>
      <c r="F1396" s="3">
        <v>1</v>
      </c>
      <c r="G1396" s="3">
        <v>15</v>
      </c>
      <c r="H1396" s="1">
        <f>VLOOKUP(D1396,products!A:D,4,FALSE)</f>
        <v>22000</v>
      </c>
      <c r="I1396" s="1" t="str">
        <f>VLOOKUP(C1396,branches!A:B,2,FALSE)</f>
        <v>Naija Mart GRA</v>
      </c>
      <c r="J1396" s="1">
        <f t="shared" si="42"/>
        <v>18700</v>
      </c>
      <c r="K1396" s="1" t="str">
        <f>VLOOKUP(D1396,products!A:D,2,FALSE)</f>
        <v>Home Appliances</v>
      </c>
      <c r="L1396" s="1" t="str">
        <f t="shared" si="43"/>
        <v>Nov-2025</v>
      </c>
    </row>
    <row r="1397" spans="1:12" x14ac:dyDescent="0.25">
      <c r="A1397" s="3" t="s">
        <v>1643</v>
      </c>
      <c r="B1397" s="6">
        <v>45890</v>
      </c>
      <c r="C1397" s="3" t="s">
        <v>12</v>
      </c>
      <c r="D1397" s="3" t="s">
        <v>51</v>
      </c>
      <c r="E1397" s="3" t="s">
        <v>1119</v>
      </c>
      <c r="F1397" s="3">
        <v>1</v>
      </c>
      <c r="G1397" s="3">
        <v>10</v>
      </c>
      <c r="H1397" s="1">
        <f>VLOOKUP(D1397,products!A:D,4,FALSE)</f>
        <v>18000</v>
      </c>
      <c r="I1397" s="1" t="str">
        <f>VLOOKUP(C1397,branches!A:B,2,FALSE)</f>
        <v>Naija Mart Wuse</v>
      </c>
      <c r="J1397" s="1">
        <f t="shared" si="42"/>
        <v>16200</v>
      </c>
      <c r="K1397" s="1" t="str">
        <f>VLOOKUP(D1397,products!A:D,2,FALSE)</f>
        <v>Small Gadgets</v>
      </c>
      <c r="L1397" s="1" t="str">
        <f t="shared" si="43"/>
        <v>Aug-2025</v>
      </c>
    </row>
    <row r="1398" spans="1:12" x14ac:dyDescent="0.25">
      <c r="A1398" s="3" t="s">
        <v>1644</v>
      </c>
      <c r="B1398" s="6">
        <v>45682</v>
      </c>
      <c r="C1398" s="3" t="s">
        <v>16</v>
      </c>
      <c r="D1398" s="3" t="s">
        <v>149</v>
      </c>
      <c r="E1398" s="3" t="s">
        <v>537</v>
      </c>
      <c r="F1398" s="3">
        <v>1</v>
      </c>
      <c r="G1398" s="3">
        <v>10</v>
      </c>
      <c r="H1398" s="1">
        <f>VLOOKUP(D1398,products!A:D,4,FALSE)</f>
        <v>6500</v>
      </c>
      <c r="I1398" s="1" t="str">
        <f>VLOOKUP(C1398,branches!A:B,2,FALSE)</f>
        <v>Naija Mart Ikeja</v>
      </c>
      <c r="J1398" s="1">
        <f t="shared" si="42"/>
        <v>5850</v>
      </c>
      <c r="K1398" s="1" t="str">
        <f>VLOOKUP(D1398,products!A:D,2,FALSE)</f>
        <v>Small Gadgets</v>
      </c>
      <c r="L1398" s="1" t="str">
        <f t="shared" si="43"/>
        <v>Jan-2025</v>
      </c>
    </row>
    <row r="1399" spans="1:12" x14ac:dyDescent="0.25">
      <c r="A1399" s="3" t="s">
        <v>1645</v>
      </c>
      <c r="B1399" s="6">
        <v>45828</v>
      </c>
      <c r="C1399" s="3" t="s">
        <v>12</v>
      </c>
      <c r="D1399" s="3" t="s">
        <v>49</v>
      </c>
      <c r="E1399" s="3" t="s">
        <v>376</v>
      </c>
      <c r="F1399" s="3">
        <v>1</v>
      </c>
      <c r="G1399" s="3">
        <v>0</v>
      </c>
      <c r="H1399" s="1">
        <f>VLOOKUP(D1399,products!A:D,4,FALSE)</f>
        <v>28000</v>
      </c>
      <c r="I1399" s="1" t="str">
        <f>VLOOKUP(C1399,branches!A:B,2,FALSE)</f>
        <v>Naija Mart Wuse</v>
      </c>
      <c r="J1399" s="1">
        <f t="shared" si="42"/>
        <v>28000</v>
      </c>
      <c r="K1399" s="1" t="str">
        <f>VLOOKUP(D1399,products!A:D,2,FALSE)</f>
        <v>Home Appliances</v>
      </c>
      <c r="L1399" s="1" t="str">
        <f t="shared" si="43"/>
        <v>Jun-2025</v>
      </c>
    </row>
    <row r="1400" spans="1:12" x14ac:dyDescent="0.25">
      <c r="A1400" s="3" t="s">
        <v>1646</v>
      </c>
      <c r="B1400" s="6">
        <v>45913</v>
      </c>
      <c r="C1400" s="3" t="s">
        <v>12</v>
      </c>
      <c r="D1400" s="3" t="s">
        <v>23</v>
      </c>
      <c r="E1400" s="3" t="s">
        <v>367</v>
      </c>
      <c r="F1400" s="3">
        <v>1</v>
      </c>
      <c r="G1400" s="3">
        <v>0</v>
      </c>
      <c r="H1400" s="1">
        <f>VLOOKUP(D1400,products!A:D,4,FALSE)</f>
        <v>19500</v>
      </c>
      <c r="I1400" s="1" t="str">
        <f>VLOOKUP(C1400,branches!A:B,2,FALSE)</f>
        <v>Naija Mart Wuse</v>
      </c>
      <c r="J1400" s="1">
        <f t="shared" si="42"/>
        <v>19500</v>
      </c>
      <c r="K1400" s="1" t="str">
        <f>VLOOKUP(D1400,products!A:D,2,FALSE)</f>
        <v>Home Appliances</v>
      </c>
      <c r="L1400" s="1" t="str">
        <f t="shared" si="43"/>
        <v>Sep-2025</v>
      </c>
    </row>
    <row r="1401" spans="1:12" x14ac:dyDescent="0.25">
      <c r="A1401" s="3" t="s">
        <v>1647</v>
      </c>
      <c r="B1401" s="6">
        <v>46005</v>
      </c>
      <c r="C1401" s="3" t="s">
        <v>16</v>
      </c>
      <c r="D1401" s="3" t="s">
        <v>23</v>
      </c>
      <c r="E1401" s="3" t="s">
        <v>205</v>
      </c>
      <c r="F1401" s="3">
        <v>1</v>
      </c>
      <c r="G1401" s="3">
        <v>10</v>
      </c>
      <c r="H1401" s="1">
        <f>VLOOKUP(D1401,products!A:D,4,FALSE)</f>
        <v>19500</v>
      </c>
      <c r="I1401" s="1" t="str">
        <f>VLOOKUP(C1401,branches!A:B,2,FALSE)</f>
        <v>Naija Mart Ikeja</v>
      </c>
      <c r="J1401" s="1">
        <f t="shared" si="42"/>
        <v>17550</v>
      </c>
      <c r="K1401" s="1" t="str">
        <f>VLOOKUP(D1401,products!A:D,2,FALSE)</f>
        <v>Home Appliances</v>
      </c>
      <c r="L1401" s="1" t="str">
        <f t="shared" si="43"/>
        <v>Dec-2025</v>
      </c>
    </row>
    <row r="1402" spans="1:12" x14ac:dyDescent="0.25">
      <c r="A1402" s="3" t="s">
        <v>1648</v>
      </c>
      <c r="B1402" s="6">
        <v>45668</v>
      </c>
      <c r="C1402" s="3" t="s">
        <v>16</v>
      </c>
      <c r="D1402" s="3" t="s">
        <v>23</v>
      </c>
      <c r="E1402" s="3" t="s">
        <v>250</v>
      </c>
      <c r="F1402" s="3">
        <v>2</v>
      </c>
      <c r="G1402" s="3">
        <v>5</v>
      </c>
      <c r="H1402" s="1">
        <f>VLOOKUP(D1402,products!A:D,4,FALSE)</f>
        <v>19500</v>
      </c>
      <c r="I1402" s="1" t="str">
        <f>VLOOKUP(C1402,branches!A:B,2,FALSE)</f>
        <v>Naija Mart Ikeja</v>
      </c>
      <c r="J1402" s="1">
        <f t="shared" si="42"/>
        <v>37050</v>
      </c>
      <c r="K1402" s="1" t="str">
        <f>VLOOKUP(D1402,products!A:D,2,FALSE)</f>
        <v>Home Appliances</v>
      </c>
      <c r="L1402" s="1" t="str">
        <f t="shared" si="43"/>
        <v>Jan-2025</v>
      </c>
    </row>
    <row r="1403" spans="1:12" x14ac:dyDescent="0.25">
      <c r="A1403" s="3" t="s">
        <v>1649</v>
      </c>
      <c r="B1403" s="6">
        <v>45861</v>
      </c>
      <c r="C1403" s="3" t="s">
        <v>8</v>
      </c>
      <c r="D1403" s="3" t="s">
        <v>46</v>
      </c>
      <c r="E1403" s="3" t="s">
        <v>57</v>
      </c>
      <c r="F1403" s="3">
        <v>2</v>
      </c>
      <c r="G1403" s="3">
        <v>0</v>
      </c>
      <c r="H1403" s="1">
        <f>VLOOKUP(D1403,products!A:D,4,FALSE)</f>
        <v>62000</v>
      </c>
      <c r="I1403" s="1" t="str">
        <f>VLOOKUP(C1403,branches!A:B,2,FALSE)</f>
        <v>Naija Mart GRA</v>
      </c>
      <c r="J1403" s="1">
        <f t="shared" si="42"/>
        <v>124000</v>
      </c>
      <c r="K1403" s="1" t="str">
        <f>VLOOKUP(D1403,products!A:D,2,FALSE)</f>
        <v>Home Appliances</v>
      </c>
      <c r="L1403" s="1" t="str">
        <f t="shared" si="43"/>
        <v>Jul-2025</v>
      </c>
    </row>
    <row r="1404" spans="1:12" x14ac:dyDescent="0.25">
      <c r="A1404" s="3" t="s">
        <v>1650</v>
      </c>
      <c r="B1404" s="6">
        <v>45708</v>
      </c>
      <c r="C1404" s="3" t="s">
        <v>36</v>
      </c>
      <c r="D1404" s="3" t="s">
        <v>51</v>
      </c>
      <c r="E1404" s="3" t="s">
        <v>398</v>
      </c>
      <c r="F1404" s="3">
        <v>2</v>
      </c>
      <c r="G1404" s="3">
        <v>0</v>
      </c>
      <c r="H1404" s="1">
        <f>VLOOKUP(D1404,products!A:D,4,FALSE)</f>
        <v>18000</v>
      </c>
      <c r="I1404" s="1" t="str">
        <f>VLOOKUP(C1404,branches!A:B,2,FALSE)</f>
        <v>Naija Mart Sabon Gari</v>
      </c>
      <c r="J1404" s="1">
        <f t="shared" si="42"/>
        <v>36000</v>
      </c>
      <c r="K1404" s="1" t="str">
        <f>VLOOKUP(D1404,products!A:D,2,FALSE)</f>
        <v>Small Gadgets</v>
      </c>
      <c r="L1404" s="1" t="str">
        <f t="shared" si="43"/>
        <v>Feb-2025</v>
      </c>
    </row>
    <row r="1405" spans="1:12" x14ac:dyDescent="0.25">
      <c r="A1405" s="3" t="s">
        <v>1651</v>
      </c>
      <c r="B1405" s="6">
        <v>45711</v>
      </c>
      <c r="C1405" s="3" t="s">
        <v>16</v>
      </c>
      <c r="D1405" s="3" t="s">
        <v>258</v>
      </c>
      <c r="E1405" s="3" t="s">
        <v>104</v>
      </c>
      <c r="F1405" s="3">
        <v>2</v>
      </c>
      <c r="G1405" s="3">
        <v>5</v>
      </c>
      <c r="H1405" s="1">
        <f>VLOOKUP(D1405,products!A:D,4,FALSE)</f>
        <v>95000</v>
      </c>
      <c r="I1405" s="1" t="str">
        <f>VLOOKUP(C1405,branches!A:B,2,FALSE)</f>
        <v>Naija Mart Ikeja</v>
      </c>
      <c r="J1405" s="1">
        <f t="shared" si="42"/>
        <v>180500</v>
      </c>
      <c r="K1405" s="1" t="str">
        <f>VLOOKUP(D1405,products!A:D,2,FALSE)</f>
        <v>Electronics</v>
      </c>
      <c r="L1405" s="1" t="str">
        <f t="shared" si="43"/>
        <v>Feb-2025</v>
      </c>
    </row>
    <row r="1406" spans="1:12" x14ac:dyDescent="0.25">
      <c r="A1406" s="3" t="s">
        <v>1652</v>
      </c>
      <c r="B1406" s="6">
        <v>45863</v>
      </c>
      <c r="C1406" s="3" t="s">
        <v>12</v>
      </c>
      <c r="D1406" s="3" t="s">
        <v>94</v>
      </c>
      <c r="E1406" s="3" t="s">
        <v>65</v>
      </c>
      <c r="F1406" s="3">
        <v>1</v>
      </c>
      <c r="G1406" s="3">
        <v>0</v>
      </c>
      <c r="H1406" s="1">
        <f>VLOOKUP(D1406,products!A:D,4,FALSE)</f>
        <v>320000</v>
      </c>
      <c r="I1406" s="1" t="str">
        <f>VLOOKUP(C1406,branches!A:B,2,FALSE)</f>
        <v>Naija Mart Wuse</v>
      </c>
      <c r="J1406" s="1">
        <f t="shared" si="42"/>
        <v>320000</v>
      </c>
      <c r="K1406" s="1" t="str">
        <f>VLOOKUP(D1406,products!A:D,2,FALSE)</f>
        <v>Electronics</v>
      </c>
      <c r="L1406" s="1" t="str">
        <f t="shared" si="43"/>
        <v>Jul-2025</v>
      </c>
    </row>
    <row r="1407" spans="1:12" x14ac:dyDescent="0.25">
      <c r="A1407" s="3" t="s">
        <v>1653</v>
      </c>
      <c r="B1407" s="6">
        <v>45952</v>
      </c>
      <c r="C1407" s="3" t="s">
        <v>16</v>
      </c>
      <c r="D1407" s="3" t="s">
        <v>94</v>
      </c>
      <c r="E1407" s="3" t="s">
        <v>623</v>
      </c>
      <c r="F1407" s="3">
        <v>1</v>
      </c>
      <c r="G1407" s="3">
        <v>0</v>
      </c>
      <c r="H1407" s="1">
        <f>VLOOKUP(D1407,products!A:D,4,FALSE)</f>
        <v>320000</v>
      </c>
      <c r="I1407" s="1" t="str">
        <f>VLOOKUP(C1407,branches!A:B,2,FALSE)</f>
        <v>Naija Mart Ikeja</v>
      </c>
      <c r="J1407" s="1">
        <f t="shared" si="42"/>
        <v>320000</v>
      </c>
      <c r="K1407" s="1" t="str">
        <f>VLOOKUP(D1407,products!A:D,2,FALSE)</f>
        <v>Electronics</v>
      </c>
      <c r="L1407" s="1" t="str">
        <f t="shared" si="43"/>
        <v>Oct-2025</v>
      </c>
    </row>
    <row r="1408" spans="1:12" x14ac:dyDescent="0.25">
      <c r="A1408" s="3" t="s">
        <v>1654</v>
      </c>
      <c r="B1408" s="6">
        <v>45984</v>
      </c>
      <c r="C1408" s="3" t="s">
        <v>16</v>
      </c>
      <c r="D1408" s="3" t="s">
        <v>149</v>
      </c>
      <c r="E1408" s="3" t="s">
        <v>138</v>
      </c>
      <c r="F1408" s="3">
        <v>1</v>
      </c>
      <c r="G1408" s="3">
        <v>0</v>
      </c>
      <c r="H1408" s="1">
        <f>VLOOKUP(D1408,products!A:D,4,FALSE)</f>
        <v>6500</v>
      </c>
      <c r="I1408" s="1" t="str">
        <f>VLOOKUP(C1408,branches!A:B,2,FALSE)</f>
        <v>Naija Mart Ikeja</v>
      </c>
      <c r="J1408" s="1">
        <f t="shared" si="42"/>
        <v>6500</v>
      </c>
      <c r="K1408" s="1" t="str">
        <f>VLOOKUP(D1408,products!A:D,2,FALSE)</f>
        <v>Small Gadgets</v>
      </c>
      <c r="L1408" s="1" t="str">
        <f t="shared" si="43"/>
        <v>Nov-2025</v>
      </c>
    </row>
    <row r="1409" spans="1:12" x14ac:dyDescent="0.25">
      <c r="A1409" s="3" t="s">
        <v>1655</v>
      </c>
      <c r="B1409" s="6">
        <v>45985</v>
      </c>
      <c r="C1409" s="3" t="s">
        <v>8</v>
      </c>
      <c r="D1409" s="3" t="s">
        <v>197</v>
      </c>
      <c r="E1409" s="3" t="s">
        <v>969</v>
      </c>
      <c r="F1409" s="3">
        <v>1</v>
      </c>
      <c r="G1409" s="3">
        <v>0</v>
      </c>
      <c r="H1409" s="1">
        <f>VLOOKUP(D1409,products!A:D,4,FALSE)</f>
        <v>78000</v>
      </c>
      <c r="I1409" s="1" t="str">
        <f>VLOOKUP(C1409,branches!A:B,2,FALSE)</f>
        <v>Naija Mart GRA</v>
      </c>
      <c r="J1409" s="1">
        <f t="shared" si="42"/>
        <v>78000</v>
      </c>
      <c r="K1409" s="1" t="str">
        <f>VLOOKUP(D1409,products!A:D,2,FALSE)</f>
        <v>Electronics</v>
      </c>
      <c r="L1409" s="1" t="str">
        <f t="shared" si="43"/>
        <v>Nov-2025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pivot_branch_revenue</vt:lpstr>
      <vt:lpstr>branches</vt:lpstr>
      <vt:lpstr>products</vt:lpstr>
      <vt:lpstr>customers</vt:lpstr>
      <vt:lpstr>pivot_category_revenue</vt:lpstr>
      <vt:lpstr>pivot_avg_order_value</vt:lpstr>
      <vt:lpstr>pivot_monthly_trend</vt:lpstr>
      <vt:lpstr>transactions</vt:lpstr>
      <vt:lpstr>branches!branches</vt:lpstr>
      <vt:lpstr>customers!customers</vt:lpstr>
      <vt:lpstr>products!products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2026-08-23T14:26:24Z</dcterms:created>
  <dcterms:modified xsi:type="dcterms:W3CDTF">2026-08-23T20:02:40Z</dcterms:modified>
</cp:coreProperties>
</file>